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haley_oleynik_ubc_ca/Documents/Documents/GitHub/Fraser_salmon_retrospective-analysis/"/>
    </mc:Choice>
  </mc:AlternateContent>
  <xr:revisionPtr revIDLastSave="1" documentId="8_{9D00EA9A-B08E-4FC7-B7E7-B65D2EA16C2F}" xr6:coauthVersionLast="47" xr6:coauthVersionMax="47" xr10:uidLastSave="{C8BB806E-7321-4A1C-A975-FD3370059628}"/>
  <bookViews>
    <workbookView xWindow="-110" yWindow="-110" windowWidth="19420" windowHeight="11500" xr2:uid="{5F10EF54-0717-4CC3-A02B-9575343A0392}"/>
  </bookViews>
  <sheets>
    <sheet name="Sheet1" sheetId="1" r:id="rId1"/>
  </sheets>
  <definedNames>
    <definedName name="ra">Sheet1!$Y$1</definedName>
    <definedName name="rb">Sheet1!$Y$2</definedName>
    <definedName name="retroU">Sheet1!$L$4</definedName>
    <definedName name="useretro">Sheet1!$L$5</definedName>
    <definedName name="yrretro">Sheet1!$L$6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" i="1" l="1"/>
  <c r="Y1" i="1"/>
  <c r="Z40" i="1" s="1"/>
  <c r="N76" i="1"/>
  <c r="N77" i="1" s="1"/>
  <c r="AB77" i="1" s="1"/>
  <c r="W75" i="1"/>
  <c r="U75" i="1"/>
  <c r="P75" i="1"/>
  <c r="O75" i="1"/>
  <c r="T75" i="1" s="1"/>
  <c r="V75" i="1" s="1"/>
  <c r="N75" i="1"/>
  <c r="AB75" i="1" s="1"/>
  <c r="W74" i="1"/>
  <c r="U74" i="1"/>
  <c r="P74" i="1"/>
  <c r="Q74" i="1" s="1"/>
  <c r="R74" i="1" s="1"/>
  <c r="S74" i="1" s="1"/>
  <c r="O74" i="1"/>
  <c r="T74" i="1" s="1"/>
  <c r="V74" i="1" s="1"/>
  <c r="N74" i="1"/>
  <c r="AB74" i="1" s="1"/>
  <c r="W73" i="1"/>
  <c r="U73" i="1"/>
  <c r="P73" i="1"/>
  <c r="T73" i="1" s="1"/>
  <c r="V73" i="1" s="1"/>
  <c r="O73" i="1"/>
  <c r="N73" i="1"/>
  <c r="AB73" i="1" s="1"/>
  <c r="W72" i="1"/>
  <c r="U72" i="1"/>
  <c r="P72" i="1"/>
  <c r="Q72" i="1" s="1"/>
  <c r="O72" i="1"/>
  <c r="N72" i="1"/>
  <c r="AB72" i="1" s="1"/>
  <c r="X71" i="1"/>
  <c r="Y71" i="1" s="1"/>
  <c r="W71" i="1"/>
  <c r="U71" i="1"/>
  <c r="P71" i="1"/>
  <c r="O71" i="1"/>
  <c r="N71" i="1"/>
  <c r="AB71" i="1" s="1"/>
  <c r="X70" i="1"/>
  <c r="W70" i="1"/>
  <c r="Y70" i="1" s="1"/>
  <c r="U70" i="1"/>
  <c r="P70" i="1"/>
  <c r="O70" i="1"/>
  <c r="Q70" i="1" s="1"/>
  <c r="N70" i="1"/>
  <c r="AB70" i="1" s="1"/>
  <c r="AB69" i="1"/>
  <c r="X69" i="1"/>
  <c r="W69" i="1"/>
  <c r="Y69" i="1" s="1"/>
  <c r="U69" i="1"/>
  <c r="T69" i="1"/>
  <c r="V69" i="1" s="1"/>
  <c r="P69" i="1"/>
  <c r="Q69" i="1" s="1"/>
  <c r="O69" i="1"/>
  <c r="N69" i="1"/>
  <c r="AB68" i="1"/>
  <c r="Y68" i="1"/>
  <c r="X68" i="1"/>
  <c r="W68" i="1"/>
  <c r="U68" i="1"/>
  <c r="T68" i="1"/>
  <c r="V68" i="1" s="1"/>
  <c r="Q68" i="1"/>
  <c r="R68" i="1" s="1"/>
  <c r="S68" i="1" s="1"/>
  <c r="P68" i="1"/>
  <c r="O68" i="1"/>
  <c r="N68" i="1"/>
  <c r="W67" i="1"/>
  <c r="U67" i="1"/>
  <c r="T67" i="1"/>
  <c r="V67" i="1" s="1"/>
  <c r="Q67" i="1"/>
  <c r="P67" i="1"/>
  <c r="O67" i="1"/>
  <c r="N67" i="1"/>
  <c r="AB67" i="1" s="1"/>
  <c r="W66" i="1"/>
  <c r="U66" i="1"/>
  <c r="P66" i="1"/>
  <c r="O66" i="1"/>
  <c r="N66" i="1"/>
  <c r="AB66" i="1" s="1"/>
  <c r="AB65" i="1"/>
  <c r="X65" i="1"/>
  <c r="Y65" i="1" s="1"/>
  <c r="W65" i="1"/>
  <c r="U65" i="1"/>
  <c r="P65" i="1"/>
  <c r="O65" i="1"/>
  <c r="N65" i="1"/>
  <c r="X64" i="1"/>
  <c r="W64" i="1"/>
  <c r="U64" i="1"/>
  <c r="Q64" i="1"/>
  <c r="P64" i="1"/>
  <c r="T64" i="1" s="1"/>
  <c r="V64" i="1" s="1"/>
  <c r="O64" i="1"/>
  <c r="N64" i="1"/>
  <c r="AB64" i="1" s="1"/>
  <c r="Y63" i="1"/>
  <c r="X63" i="1"/>
  <c r="W63" i="1"/>
  <c r="U63" i="1"/>
  <c r="P63" i="1"/>
  <c r="Q63" i="1" s="1"/>
  <c r="O63" i="1"/>
  <c r="N63" i="1"/>
  <c r="AB63" i="1" s="1"/>
  <c r="X62" i="1"/>
  <c r="Y62" i="1" s="1"/>
  <c r="W62" i="1"/>
  <c r="U62" i="1"/>
  <c r="P62" i="1"/>
  <c r="Q62" i="1" s="1"/>
  <c r="O62" i="1"/>
  <c r="T62" i="1" s="1"/>
  <c r="V62" i="1" s="1"/>
  <c r="N62" i="1"/>
  <c r="AB62" i="1" s="1"/>
  <c r="AB61" i="1"/>
  <c r="W61" i="1"/>
  <c r="U61" i="1"/>
  <c r="P61" i="1"/>
  <c r="Q61" i="1" s="1"/>
  <c r="O61" i="1"/>
  <c r="N61" i="1"/>
  <c r="AB60" i="1"/>
  <c r="X60" i="1"/>
  <c r="Y60" i="1" s="1"/>
  <c r="W60" i="1"/>
  <c r="U60" i="1"/>
  <c r="P60" i="1"/>
  <c r="O60" i="1"/>
  <c r="N60" i="1"/>
  <c r="AB59" i="1"/>
  <c r="W59" i="1"/>
  <c r="U59" i="1"/>
  <c r="T59" i="1"/>
  <c r="V59" i="1" s="1"/>
  <c r="Q59" i="1"/>
  <c r="P59" i="1"/>
  <c r="O59" i="1"/>
  <c r="R59" i="1" s="1"/>
  <c r="S59" i="1" s="1"/>
  <c r="N59" i="1"/>
  <c r="AB58" i="1"/>
  <c r="X58" i="1"/>
  <c r="Y58" i="1" s="1"/>
  <c r="W58" i="1"/>
  <c r="U58" i="1"/>
  <c r="P58" i="1"/>
  <c r="O58" i="1"/>
  <c r="N58" i="1"/>
  <c r="W57" i="1"/>
  <c r="U57" i="1"/>
  <c r="T57" i="1"/>
  <c r="V57" i="1" s="1"/>
  <c r="P57" i="1"/>
  <c r="O57" i="1"/>
  <c r="Q57" i="1" s="1"/>
  <c r="N57" i="1"/>
  <c r="AB57" i="1" s="1"/>
  <c r="AB56" i="1"/>
  <c r="X56" i="1"/>
  <c r="W56" i="1"/>
  <c r="Y56" i="1" s="1"/>
  <c r="V56" i="1"/>
  <c r="U56" i="1"/>
  <c r="R56" i="1"/>
  <c r="S56" i="1" s="1"/>
  <c r="Q56" i="1"/>
  <c r="P56" i="1"/>
  <c r="O56" i="1"/>
  <c r="T56" i="1" s="1"/>
  <c r="N56" i="1"/>
  <c r="Y55" i="1"/>
  <c r="X55" i="1"/>
  <c r="W55" i="1"/>
  <c r="R55" i="1" s="1"/>
  <c r="S55" i="1" s="1"/>
  <c r="U55" i="1"/>
  <c r="Q55" i="1"/>
  <c r="P55" i="1"/>
  <c r="O55" i="1"/>
  <c r="N55" i="1"/>
  <c r="AB55" i="1" s="1"/>
  <c r="AB54" i="1"/>
  <c r="W54" i="1"/>
  <c r="U54" i="1"/>
  <c r="P54" i="1"/>
  <c r="T54" i="1" s="1"/>
  <c r="V54" i="1" s="1"/>
  <c r="O54" i="1"/>
  <c r="N54" i="1"/>
  <c r="AB53" i="1"/>
  <c r="Y53" i="1"/>
  <c r="X53" i="1"/>
  <c r="W53" i="1"/>
  <c r="U53" i="1"/>
  <c r="P53" i="1"/>
  <c r="Q53" i="1" s="1"/>
  <c r="O53" i="1"/>
  <c r="N53" i="1"/>
  <c r="AB52" i="1"/>
  <c r="Y52" i="1"/>
  <c r="X52" i="1"/>
  <c r="W52" i="1"/>
  <c r="U52" i="1"/>
  <c r="P52" i="1"/>
  <c r="T52" i="1" s="1"/>
  <c r="V52" i="1" s="1"/>
  <c r="O52" i="1"/>
  <c r="N52" i="1"/>
  <c r="W51" i="1"/>
  <c r="U51" i="1"/>
  <c r="T51" i="1"/>
  <c r="V51" i="1" s="1"/>
  <c r="Q51" i="1"/>
  <c r="R51" i="1" s="1"/>
  <c r="S51" i="1" s="1"/>
  <c r="P51" i="1"/>
  <c r="O51" i="1"/>
  <c r="N51" i="1"/>
  <c r="AB51" i="1" s="1"/>
  <c r="X50" i="1"/>
  <c r="Y50" i="1" s="1"/>
  <c r="W50" i="1"/>
  <c r="U50" i="1"/>
  <c r="P50" i="1"/>
  <c r="O50" i="1"/>
  <c r="N50" i="1"/>
  <c r="AB50" i="1" s="1"/>
  <c r="AB49" i="1"/>
  <c r="X49" i="1"/>
  <c r="W49" i="1"/>
  <c r="U49" i="1"/>
  <c r="P49" i="1"/>
  <c r="O49" i="1"/>
  <c r="T49" i="1" s="1"/>
  <c r="V49" i="1" s="1"/>
  <c r="N49" i="1"/>
  <c r="X48" i="1"/>
  <c r="W48" i="1"/>
  <c r="R48" i="1" s="1"/>
  <c r="S48" i="1" s="1"/>
  <c r="V48" i="1"/>
  <c r="U48" i="1"/>
  <c r="Q48" i="1"/>
  <c r="P48" i="1"/>
  <c r="O48" i="1"/>
  <c r="T48" i="1" s="1"/>
  <c r="N48" i="1"/>
  <c r="AB48" i="1" s="1"/>
  <c r="Y47" i="1"/>
  <c r="X47" i="1"/>
  <c r="W47" i="1"/>
  <c r="U47" i="1"/>
  <c r="P47" i="1"/>
  <c r="Q47" i="1" s="1"/>
  <c r="O47" i="1"/>
  <c r="N47" i="1"/>
  <c r="AB47" i="1" s="1"/>
  <c r="AB46" i="1"/>
  <c r="W46" i="1"/>
  <c r="U46" i="1"/>
  <c r="P46" i="1"/>
  <c r="Q46" i="1" s="1"/>
  <c r="R46" i="1" s="1"/>
  <c r="S46" i="1" s="1"/>
  <c r="O46" i="1"/>
  <c r="N46" i="1"/>
  <c r="AB45" i="1"/>
  <c r="W45" i="1"/>
  <c r="U45" i="1"/>
  <c r="P45" i="1"/>
  <c r="O45" i="1"/>
  <c r="N45" i="1"/>
  <c r="AB44" i="1"/>
  <c r="X44" i="1"/>
  <c r="Y44" i="1" s="1"/>
  <c r="W44" i="1"/>
  <c r="U44" i="1"/>
  <c r="P44" i="1"/>
  <c r="Q44" i="1" s="1"/>
  <c r="R44" i="1" s="1"/>
  <c r="S44" i="1" s="1"/>
  <c r="O44" i="1"/>
  <c r="N44" i="1"/>
  <c r="W43" i="1"/>
  <c r="U43" i="1"/>
  <c r="T43" i="1"/>
  <c r="V43" i="1" s="1"/>
  <c r="Q43" i="1"/>
  <c r="R43" i="1" s="1"/>
  <c r="S43" i="1" s="1"/>
  <c r="P43" i="1"/>
  <c r="O43" i="1"/>
  <c r="N43" i="1"/>
  <c r="AB43" i="1" s="1"/>
  <c r="AB42" i="1"/>
  <c r="X42" i="1"/>
  <c r="Y42" i="1" s="1"/>
  <c r="W42" i="1"/>
  <c r="U42" i="1"/>
  <c r="P42" i="1"/>
  <c r="O42" i="1"/>
  <c r="N42" i="1"/>
  <c r="AB41" i="1"/>
  <c r="W41" i="1"/>
  <c r="U41" i="1"/>
  <c r="T41" i="1"/>
  <c r="V41" i="1" s="1"/>
  <c r="P41" i="1"/>
  <c r="Q41" i="1" s="1"/>
  <c r="O41" i="1"/>
  <c r="N41" i="1"/>
  <c r="X40" i="1"/>
  <c r="Y40" i="1" s="1"/>
  <c r="W40" i="1"/>
  <c r="V40" i="1"/>
  <c r="U40" i="1"/>
  <c r="T40" i="1"/>
  <c r="Q40" i="1"/>
  <c r="R40" i="1" s="1"/>
  <c r="S40" i="1" s="1"/>
  <c r="P40" i="1"/>
  <c r="O40" i="1"/>
  <c r="N40" i="1"/>
  <c r="Y39" i="1"/>
  <c r="X39" i="1"/>
  <c r="W39" i="1"/>
  <c r="U39" i="1"/>
  <c r="P39" i="1"/>
  <c r="Q39" i="1" s="1"/>
  <c r="R39" i="1" s="1"/>
  <c r="S39" i="1" s="1"/>
  <c r="O39" i="1"/>
  <c r="N39" i="1"/>
  <c r="AB38" i="1"/>
  <c r="W38" i="1"/>
  <c r="U38" i="1"/>
  <c r="T38" i="1"/>
  <c r="V38" i="1" s="1"/>
  <c r="Q38" i="1"/>
  <c r="R38" i="1" s="1"/>
  <c r="S38" i="1" s="1"/>
  <c r="P38" i="1"/>
  <c r="O38" i="1"/>
  <c r="N38" i="1"/>
  <c r="X37" i="1"/>
  <c r="Y37" i="1" s="1"/>
  <c r="W37" i="1"/>
  <c r="U37" i="1"/>
  <c r="P37" i="1"/>
  <c r="Q37" i="1" s="1"/>
  <c r="AB37" i="1" s="1"/>
  <c r="O37" i="1"/>
  <c r="T37" i="1" s="1"/>
  <c r="V37" i="1" s="1"/>
  <c r="N37" i="1"/>
  <c r="Y36" i="1"/>
  <c r="X36" i="1"/>
  <c r="W36" i="1"/>
  <c r="U36" i="1"/>
  <c r="P36" i="1"/>
  <c r="T36" i="1" s="1"/>
  <c r="V36" i="1" s="1"/>
  <c r="O36" i="1"/>
  <c r="N36" i="1"/>
  <c r="W35" i="1"/>
  <c r="U35" i="1"/>
  <c r="T35" i="1"/>
  <c r="V35" i="1" s="1"/>
  <c r="Q35" i="1"/>
  <c r="R35" i="1" s="1"/>
  <c r="S35" i="1" s="1"/>
  <c r="P35" i="1"/>
  <c r="O35" i="1"/>
  <c r="N35" i="1"/>
  <c r="AB35" i="1" s="1"/>
  <c r="X34" i="1"/>
  <c r="Y34" i="1" s="1"/>
  <c r="W34" i="1"/>
  <c r="U34" i="1"/>
  <c r="P34" i="1"/>
  <c r="O34" i="1"/>
  <c r="T34" i="1" s="1"/>
  <c r="V34" i="1" s="1"/>
  <c r="N34" i="1"/>
  <c r="X33" i="1"/>
  <c r="Y33" i="1" s="1"/>
  <c r="W33" i="1"/>
  <c r="U33" i="1"/>
  <c r="P33" i="1"/>
  <c r="Q33" i="1" s="1"/>
  <c r="O33" i="1"/>
  <c r="N33" i="1"/>
  <c r="AB33" i="1" s="1"/>
  <c r="X32" i="1"/>
  <c r="W32" i="1"/>
  <c r="V32" i="1"/>
  <c r="U32" i="1"/>
  <c r="Q32" i="1"/>
  <c r="P32" i="1"/>
  <c r="O32" i="1"/>
  <c r="T32" i="1" s="1"/>
  <c r="N32" i="1"/>
  <c r="X31" i="1"/>
  <c r="W31" i="1"/>
  <c r="R31" i="1" s="1"/>
  <c r="S31" i="1" s="1"/>
  <c r="U31" i="1"/>
  <c r="P31" i="1"/>
  <c r="Q31" i="1" s="1"/>
  <c r="O31" i="1"/>
  <c r="N31" i="1"/>
  <c r="AB31" i="1" s="1"/>
  <c r="W30" i="1"/>
  <c r="U30" i="1"/>
  <c r="P30" i="1"/>
  <c r="Q30" i="1" s="1"/>
  <c r="R30" i="1" s="1"/>
  <c r="S30" i="1" s="1"/>
  <c r="O30" i="1"/>
  <c r="N30" i="1"/>
  <c r="AB30" i="1" s="1"/>
  <c r="X29" i="1"/>
  <c r="Y29" i="1" s="1"/>
  <c r="W29" i="1"/>
  <c r="U29" i="1"/>
  <c r="P29" i="1"/>
  <c r="O29" i="1"/>
  <c r="N29" i="1"/>
  <c r="X28" i="1"/>
  <c r="Y28" i="1" s="1"/>
  <c r="W28" i="1"/>
  <c r="U28" i="1"/>
  <c r="T28" i="1"/>
  <c r="V28" i="1" s="1"/>
  <c r="P28" i="1"/>
  <c r="Q28" i="1" s="1"/>
  <c r="R28" i="1" s="1"/>
  <c r="S28" i="1" s="1"/>
  <c r="O28" i="1"/>
  <c r="N28" i="1"/>
  <c r="AB28" i="1" s="1"/>
  <c r="W27" i="1"/>
  <c r="V27" i="1"/>
  <c r="U27" i="1"/>
  <c r="T27" i="1"/>
  <c r="Q27" i="1"/>
  <c r="R27" i="1" s="1"/>
  <c r="S27" i="1" s="1"/>
  <c r="P27" i="1"/>
  <c r="O27" i="1"/>
  <c r="N27" i="1"/>
  <c r="AB27" i="1" s="1"/>
  <c r="X26" i="1"/>
  <c r="Y26" i="1" s="1"/>
  <c r="W26" i="1"/>
  <c r="U26" i="1"/>
  <c r="P26" i="1"/>
  <c r="O26" i="1"/>
  <c r="N26" i="1"/>
  <c r="W25" i="1"/>
  <c r="U25" i="1"/>
  <c r="T25" i="1"/>
  <c r="V25" i="1" s="1"/>
  <c r="P25" i="1"/>
  <c r="Q25" i="1" s="1"/>
  <c r="AB25" i="1" s="1"/>
  <c r="O25" i="1"/>
  <c r="X21" i="1" s="1"/>
  <c r="N25" i="1"/>
  <c r="X24" i="1"/>
  <c r="Y24" i="1" s="1"/>
  <c r="W24" i="1"/>
  <c r="V24" i="1"/>
  <c r="U24" i="1"/>
  <c r="T24" i="1"/>
  <c r="Q24" i="1"/>
  <c r="R24" i="1" s="1"/>
  <c r="S24" i="1" s="1"/>
  <c r="P24" i="1"/>
  <c r="O24" i="1"/>
  <c r="N24" i="1"/>
  <c r="Y23" i="1"/>
  <c r="X23" i="1"/>
  <c r="W23" i="1"/>
  <c r="U23" i="1"/>
  <c r="Q23" i="1"/>
  <c r="R23" i="1" s="1"/>
  <c r="S23" i="1" s="1"/>
  <c r="P23" i="1"/>
  <c r="O23" i="1"/>
  <c r="N23" i="1"/>
  <c r="X22" i="1"/>
  <c r="Y22" i="1" s="1"/>
  <c r="W22" i="1"/>
  <c r="U22" i="1"/>
  <c r="Q22" i="1"/>
  <c r="R22" i="1" s="1"/>
  <c r="S22" i="1" s="1"/>
  <c r="P22" i="1"/>
  <c r="T22" i="1" s="1"/>
  <c r="V22" i="1" s="1"/>
  <c r="O22" i="1"/>
  <c r="N22" i="1"/>
  <c r="Y21" i="1"/>
  <c r="W21" i="1"/>
  <c r="U21" i="1"/>
  <c r="Q21" i="1"/>
  <c r="R21" i="1" s="1"/>
  <c r="S21" i="1" s="1"/>
  <c r="P21" i="1"/>
  <c r="O21" i="1"/>
  <c r="T21" i="1" s="1"/>
  <c r="V21" i="1" s="1"/>
  <c r="N21" i="1"/>
  <c r="X20" i="1"/>
  <c r="Y20" i="1" s="1"/>
  <c r="W20" i="1"/>
  <c r="U20" i="1"/>
  <c r="T20" i="1"/>
  <c r="V20" i="1" s="1"/>
  <c r="P20" i="1"/>
  <c r="Q20" i="1" s="1"/>
  <c r="AB20" i="1" s="1"/>
  <c r="O20" i="1"/>
  <c r="N20" i="1"/>
  <c r="X19" i="1"/>
  <c r="Y19" i="1" s="1"/>
  <c r="W19" i="1"/>
  <c r="U19" i="1"/>
  <c r="T19" i="1"/>
  <c r="V19" i="1" s="1"/>
  <c r="P19" i="1"/>
  <c r="O19" i="1"/>
  <c r="N19" i="1"/>
  <c r="Y18" i="1"/>
  <c r="X18" i="1"/>
  <c r="W18" i="1"/>
  <c r="U18" i="1"/>
  <c r="P18" i="1"/>
  <c r="T18" i="1" s="1"/>
  <c r="V18" i="1" s="1"/>
  <c r="O18" i="1"/>
  <c r="N18" i="1"/>
  <c r="W17" i="1"/>
  <c r="U17" i="1"/>
  <c r="P17" i="1"/>
  <c r="O17" i="1"/>
  <c r="N17" i="1"/>
  <c r="X16" i="1"/>
  <c r="Y16" i="1" s="1"/>
  <c r="W16" i="1"/>
  <c r="U16" i="1"/>
  <c r="P16" i="1"/>
  <c r="O16" i="1"/>
  <c r="N16" i="1"/>
  <c r="Y15" i="1"/>
  <c r="X15" i="1"/>
  <c r="W15" i="1"/>
  <c r="U15" i="1"/>
  <c r="T15" i="1"/>
  <c r="V15" i="1" s="1"/>
  <c r="P15" i="1"/>
  <c r="Q15" i="1" s="1"/>
  <c r="AB15" i="1" s="1"/>
  <c r="O15" i="1"/>
  <c r="X11" i="1" s="1"/>
  <c r="Y11" i="1" s="1"/>
  <c r="N15" i="1"/>
  <c r="Y14" i="1"/>
  <c r="X14" i="1"/>
  <c r="W14" i="1"/>
  <c r="U14" i="1"/>
  <c r="P14" i="1"/>
  <c r="T14" i="1" s="1"/>
  <c r="V14" i="1" s="1"/>
  <c r="O14" i="1"/>
  <c r="N14" i="1"/>
  <c r="W13" i="1"/>
  <c r="U13" i="1"/>
  <c r="R13" i="1"/>
  <c r="S13" i="1" s="1"/>
  <c r="Q13" i="1"/>
  <c r="P13" i="1"/>
  <c r="O13" i="1"/>
  <c r="T13" i="1" s="1"/>
  <c r="V13" i="1" s="1"/>
  <c r="N13" i="1"/>
  <c r="AB13" i="1" s="1"/>
  <c r="W12" i="1"/>
  <c r="U12" i="1"/>
  <c r="T12" i="1"/>
  <c r="V12" i="1" s="1"/>
  <c r="P12" i="1"/>
  <c r="O12" i="1"/>
  <c r="N12" i="1"/>
  <c r="W11" i="1"/>
  <c r="U11" i="1"/>
  <c r="P11" i="1"/>
  <c r="T11" i="1" s="1"/>
  <c r="V11" i="1" s="1"/>
  <c r="O11" i="1"/>
  <c r="N11" i="1"/>
  <c r="X10" i="1"/>
  <c r="Y10" i="1" s="1"/>
  <c r="W10" i="1"/>
  <c r="U10" i="1"/>
  <c r="P10" i="1"/>
  <c r="T10" i="1" s="1"/>
  <c r="V10" i="1" s="1"/>
  <c r="O10" i="1"/>
  <c r="N10" i="1"/>
  <c r="X9" i="1"/>
  <c r="Y9" i="1" s="1"/>
  <c r="W9" i="1"/>
  <c r="U9" i="1"/>
  <c r="P9" i="1"/>
  <c r="Q9" i="1" s="1"/>
  <c r="O9" i="1"/>
  <c r="T9" i="1" s="1"/>
  <c r="V9" i="1" s="1"/>
  <c r="N9" i="1"/>
  <c r="X8" i="1"/>
  <c r="Y8" i="1" s="1"/>
  <c r="W8" i="1"/>
  <c r="U8" i="1"/>
  <c r="P8" i="1"/>
  <c r="T8" i="1" s="1"/>
  <c r="V8" i="1" s="1"/>
  <c r="O8" i="1"/>
  <c r="N8" i="1"/>
  <c r="Y7" i="1"/>
  <c r="X7" i="1"/>
  <c r="W7" i="1"/>
  <c r="U7" i="1"/>
  <c r="T7" i="1"/>
  <c r="V7" i="1" s="1"/>
  <c r="Q7" i="1"/>
  <c r="AB7" i="1" s="1"/>
  <c r="P7" i="1"/>
  <c r="O7" i="1"/>
  <c r="AA7" i="1" s="1"/>
  <c r="N7" i="1"/>
  <c r="AA6" i="1"/>
  <c r="AD6" i="1" s="1"/>
  <c r="X6" i="1"/>
  <c r="Y6" i="1" s="1"/>
  <c r="W6" i="1"/>
  <c r="U6" i="1"/>
  <c r="P6" i="1"/>
  <c r="Q6" i="1" s="1"/>
  <c r="R6" i="1" s="1"/>
  <c r="S6" i="1" s="1"/>
  <c r="O6" i="1"/>
  <c r="T6" i="1" s="1"/>
  <c r="V6" i="1" s="1"/>
  <c r="N6" i="1"/>
  <c r="AB6" i="1" s="1"/>
  <c r="AC6" i="1" s="1"/>
  <c r="AA5" i="1"/>
  <c r="AD5" i="1" s="1"/>
  <c r="W5" i="1"/>
  <c r="R5" i="1" s="1"/>
  <c r="S5" i="1" s="1"/>
  <c r="U5" i="1"/>
  <c r="P5" i="1"/>
  <c r="O5" i="1"/>
  <c r="Q5" i="1" s="1"/>
  <c r="N5" i="1"/>
  <c r="AB5" i="1" s="1"/>
  <c r="X4" i="1"/>
  <c r="Y4" i="1" s="1"/>
  <c r="W4" i="1"/>
  <c r="U4" i="1"/>
  <c r="T4" i="1"/>
  <c r="V4" i="1" s="1"/>
  <c r="P4" i="1"/>
  <c r="L8" i="1" s="1"/>
  <c r="O4" i="1"/>
  <c r="AA4" i="1" s="1"/>
  <c r="N4" i="1"/>
  <c r="Z20" i="1" l="1"/>
  <c r="Z24" i="1"/>
  <c r="Z36" i="1"/>
  <c r="Z58" i="1"/>
  <c r="Z6" i="1"/>
  <c r="AA10" i="1" s="1"/>
  <c r="Z8" i="1"/>
  <c r="Z11" i="1"/>
  <c r="Z19" i="1"/>
  <c r="Z29" i="1"/>
  <c r="Z34" i="1"/>
  <c r="Z18" i="1"/>
  <c r="Z33" i="1"/>
  <c r="Z44" i="1"/>
  <c r="Z52" i="1"/>
  <c r="Z53" i="1"/>
  <c r="Z55" i="1"/>
  <c r="Z56" i="1"/>
  <c r="Z7" i="1"/>
  <c r="Z28" i="1"/>
  <c r="Z63" i="1"/>
  <c r="Z71" i="1"/>
  <c r="X75" i="1" s="1"/>
  <c r="Z26" i="1"/>
  <c r="Z42" i="1"/>
  <c r="Z50" i="1"/>
  <c r="Z62" i="1"/>
  <c r="Z70" i="1"/>
  <c r="Z4" i="1"/>
  <c r="Z10" i="1"/>
  <c r="Z39" i="1"/>
  <c r="Z69" i="1"/>
  <c r="X73" i="1" s="1"/>
  <c r="Z16" i="1"/>
  <c r="Z22" i="1"/>
  <c r="Z23" i="1"/>
  <c r="Z37" i="1"/>
  <c r="Z47" i="1"/>
  <c r="Z68" i="1"/>
  <c r="X72" i="1" s="1"/>
  <c r="Z9" i="1"/>
  <c r="Z14" i="1"/>
  <c r="Z15" i="1"/>
  <c r="Z21" i="1"/>
  <c r="Z60" i="1"/>
  <c r="Z65" i="1"/>
  <c r="AD7" i="1"/>
  <c r="R9" i="1"/>
  <c r="S9" i="1" s="1"/>
  <c r="T16" i="1"/>
  <c r="V16" i="1" s="1"/>
  <c r="X12" i="1"/>
  <c r="Y12" i="1" s="1"/>
  <c r="Z12" i="1" s="1"/>
  <c r="X41" i="1"/>
  <c r="Y41" i="1" s="1"/>
  <c r="Z41" i="1" s="1"/>
  <c r="T58" i="1"/>
  <c r="V58" i="1" s="1"/>
  <c r="AB40" i="1"/>
  <c r="T5" i="1"/>
  <c r="V5" i="1" s="1"/>
  <c r="R7" i="1"/>
  <c r="S7" i="1" s="1"/>
  <c r="Q8" i="1"/>
  <c r="Q14" i="1"/>
  <c r="Q16" i="1"/>
  <c r="R16" i="1" s="1"/>
  <c r="S16" i="1" s="1"/>
  <c r="X25" i="1"/>
  <c r="Y25" i="1" s="1"/>
  <c r="Z25" i="1" s="1"/>
  <c r="X30" i="1"/>
  <c r="Y30" i="1" s="1"/>
  <c r="Z30" i="1" s="1"/>
  <c r="Q34" i="1"/>
  <c r="Q36" i="1"/>
  <c r="T44" i="1"/>
  <c r="V44" i="1" s="1"/>
  <c r="Q45" i="1"/>
  <c r="R45" i="1" s="1"/>
  <c r="S45" i="1" s="1"/>
  <c r="X54" i="1"/>
  <c r="Y54" i="1" s="1"/>
  <c r="Z54" i="1" s="1"/>
  <c r="T65" i="1"/>
  <c r="V65" i="1" s="1"/>
  <c r="Q65" i="1"/>
  <c r="Q66" i="1"/>
  <c r="T66" i="1"/>
  <c r="V66" i="1" s="1"/>
  <c r="Q11" i="1"/>
  <c r="AB11" i="1" s="1"/>
  <c r="AC5" i="1"/>
  <c r="Q10" i="1"/>
  <c r="R15" i="1"/>
  <c r="S15" i="1" s="1"/>
  <c r="Q18" i="1"/>
  <c r="R20" i="1"/>
  <c r="S20" i="1" s="1"/>
  <c r="Q29" i="1"/>
  <c r="AB29" i="1" s="1"/>
  <c r="R34" i="1"/>
  <c r="S34" i="1" s="1"/>
  <c r="Y48" i="1"/>
  <c r="Z48" i="1" s="1"/>
  <c r="Y49" i="1"/>
  <c r="Z49" i="1" s="1"/>
  <c r="Q52" i="1"/>
  <c r="R52" i="1" s="1"/>
  <c r="S52" i="1" s="1"/>
  <c r="T53" i="1"/>
  <c r="V53" i="1" s="1"/>
  <c r="R61" i="1"/>
  <c r="S61" i="1" s="1"/>
  <c r="X57" i="1"/>
  <c r="Y57" i="1" s="1"/>
  <c r="Z57" i="1" s="1"/>
  <c r="T26" i="1"/>
  <c r="V26" i="1" s="1"/>
  <c r="Y31" i="1"/>
  <c r="Z31" i="1" s="1"/>
  <c r="R32" i="1"/>
  <c r="S32" i="1" s="1"/>
  <c r="R33" i="1"/>
  <c r="S33" i="1" s="1"/>
  <c r="R42" i="1"/>
  <c r="S42" i="1" s="1"/>
  <c r="T45" i="1"/>
  <c r="V45" i="1" s="1"/>
  <c r="T60" i="1"/>
  <c r="V60" i="1" s="1"/>
  <c r="Q60" i="1"/>
  <c r="R60" i="1" s="1"/>
  <c r="S60" i="1" s="1"/>
  <c r="R66" i="1"/>
  <c r="S66" i="1" s="1"/>
  <c r="R67" i="1"/>
  <c r="S67" i="1" s="1"/>
  <c r="T17" i="1"/>
  <c r="V17" i="1" s="1"/>
  <c r="X13" i="1"/>
  <c r="Y13" i="1" s="1"/>
  <c r="Z13" i="1" s="1"/>
  <c r="AB22" i="1"/>
  <c r="AB24" i="1"/>
  <c r="R25" i="1"/>
  <c r="S25" i="1" s="1"/>
  <c r="T29" i="1"/>
  <c r="V29" i="1" s="1"/>
  <c r="Y32" i="1"/>
  <c r="Z32" i="1" s="1"/>
  <c r="T46" i="1"/>
  <c r="V46" i="1" s="1"/>
  <c r="T61" i="1"/>
  <c r="V61" i="1" s="1"/>
  <c r="Z72" i="1"/>
  <c r="X76" i="1" s="1"/>
  <c r="Q4" i="1"/>
  <c r="AB4" i="1" s="1"/>
  <c r="X5" i="1"/>
  <c r="Y5" i="1" s="1"/>
  <c r="Z5" i="1" s="1"/>
  <c r="Q12" i="1"/>
  <c r="AB12" i="1" s="1"/>
  <c r="AB21" i="1"/>
  <c r="T30" i="1"/>
  <c r="V30" i="1" s="1"/>
  <c r="AB32" i="1"/>
  <c r="X38" i="1"/>
  <c r="Y38" i="1" s="1"/>
  <c r="Z38" i="1" s="1"/>
  <c r="T42" i="1"/>
  <c r="V42" i="1" s="1"/>
  <c r="R50" i="1"/>
  <c r="S50" i="1" s="1"/>
  <c r="Q54" i="1"/>
  <c r="R54" i="1" s="1"/>
  <c r="S54" i="1" s="1"/>
  <c r="R57" i="1"/>
  <c r="S57" i="1" s="1"/>
  <c r="Q17" i="1"/>
  <c r="AB17" i="1" s="1"/>
  <c r="Q19" i="1"/>
  <c r="AB19" i="1" s="1"/>
  <c r="X45" i="1"/>
  <c r="Y45" i="1" s="1"/>
  <c r="Z45" i="1" s="1"/>
  <c r="Q49" i="1"/>
  <c r="R49" i="1" s="1"/>
  <c r="S49" i="1" s="1"/>
  <c r="Q50" i="1"/>
  <c r="R53" i="1"/>
  <c r="S53" i="1" s="1"/>
  <c r="R62" i="1"/>
  <c r="S62" i="1" s="1"/>
  <c r="R64" i="1"/>
  <c r="S64" i="1" s="1"/>
  <c r="Y64" i="1"/>
  <c r="Z64" i="1" s="1"/>
  <c r="R37" i="1"/>
  <c r="S37" i="1" s="1"/>
  <c r="AB9" i="1"/>
  <c r="AB16" i="1"/>
  <c r="T33" i="1"/>
  <c r="V33" i="1" s="1"/>
  <c r="AB34" i="1"/>
  <c r="R41" i="1"/>
  <c r="S41" i="1" s="1"/>
  <c r="X46" i="1"/>
  <c r="Y46" i="1" s="1"/>
  <c r="Z46" i="1" s="1"/>
  <c r="R47" i="1"/>
  <c r="S47" i="1" s="1"/>
  <c r="T50" i="1"/>
  <c r="V50" i="1" s="1"/>
  <c r="X61" i="1"/>
  <c r="Y61" i="1" s="1"/>
  <c r="Z61" i="1" s="1"/>
  <c r="R72" i="1"/>
  <c r="S72" i="1" s="1"/>
  <c r="R70" i="1"/>
  <c r="S70" i="1" s="1"/>
  <c r="T72" i="1"/>
  <c r="V72" i="1" s="1"/>
  <c r="X74" i="1"/>
  <c r="Q75" i="1"/>
  <c r="R75" i="1" s="1"/>
  <c r="S75" i="1" s="1"/>
  <c r="X17" i="1"/>
  <c r="Y17" i="1" s="1"/>
  <c r="Z17" i="1" s="1"/>
  <c r="T31" i="1"/>
  <c r="V31" i="1" s="1"/>
  <c r="X27" i="1"/>
  <c r="Y27" i="1" s="1"/>
  <c r="Z27" i="1" s="1"/>
  <c r="T47" i="1"/>
  <c r="V47" i="1" s="1"/>
  <c r="X43" i="1"/>
  <c r="Y43" i="1" s="1"/>
  <c r="Z43" i="1" s="1"/>
  <c r="T63" i="1"/>
  <c r="V63" i="1" s="1"/>
  <c r="X59" i="1"/>
  <c r="Y59" i="1" s="1"/>
  <c r="Z59" i="1" s="1"/>
  <c r="R69" i="1"/>
  <c r="S69" i="1" s="1"/>
  <c r="T70" i="1"/>
  <c r="V70" i="1" s="1"/>
  <c r="Q26" i="1"/>
  <c r="AB26" i="1" s="1"/>
  <c r="Q42" i="1"/>
  <c r="Q58" i="1"/>
  <c r="R58" i="1" s="1"/>
  <c r="S58" i="1" s="1"/>
  <c r="AB23" i="1"/>
  <c r="AB39" i="1"/>
  <c r="R63" i="1"/>
  <c r="S63" i="1" s="1"/>
  <c r="Q73" i="1"/>
  <c r="R73" i="1" s="1"/>
  <c r="S73" i="1" s="1"/>
  <c r="T23" i="1"/>
  <c r="V23" i="1" s="1"/>
  <c r="T39" i="1"/>
  <c r="V39" i="1" s="1"/>
  <c r="X35" i="1"/>
  <c r="Y35" i="1" s="1"/>
  <c r="Z35" i="1" s="1"/>
  <c r="T55" i="1"/>
  <c r="V55" i="1" s="1"/>
  <c r="X51" i="1"/>
  <c r="Y51" i="1" s="1"/>
  <c r="Z51" i="1" s="1"/>
  <c r="T71" i="1"/>
  <c r="V71" i="1" s="1"/>
  <c r="X67" i="1"/>
  <c r="Y67" i="1" s="1"/>
  <c r="Z67" i="1" s="1"/>
  <c r="R65" i="1"/>
  <c r="S65" i="1" s="1"/>
  <c r="X66" i="1"/>
  <c r="Y66" i="1" s="1"/>
  <c r="Z66" i="1" s="1"/>
  <c r="Q71" i="1"/>
  <c r="R71" i="1" s="1"/>
  <c r="S71" i="1" s="1"/>
  <c r="AB76" i="1"/>
  <c r="AA9" i="1" l="1"/>
  <c r="R26" i="1"/>
  <c r="S26" i="1" s="1"/>
  <c r="AD4" i="1"/>
  <c r="R14" i="1"/>
  <c r="S14" i="1" s="1"/>
  <c r="AB14" i="1"/>
  <c r="R4" i="1"/>
  <c r="S4" i="1" s="1"/>
  <c r="R19" i="1"/>
  <c r="S19" i="1" s="1"/>
  <c r="R36" i="1"/>
  <c r="S36" i="1" s="1"/>
  <c r="AB36" i="1"/>
  <c r="AB8" i="1"/>
  <c r="R8" i="1"/>
  <c r="S8" i="1" s="1"/>
  <c r="R17" i="1"/>
  <c r="S17" i="1" s="1"/>
  <c r="Z73" i="1"/>
  <c r="R18" i="1"/>
  <c r="S18" i="1" s="1"/>
  <c r="AB18" i="1"/>
  <c r="AC7" i="1"/>
  <c r="AA11" i="1" s="1"/>
  <c r="R12" i="1"/>
  <c r="S12" i="1" s="1"/>
  <c r="R11" i="1"/>
  <c r="S11" i="1" s="1"/>
  <c r="AB10" i="1"/>
  <c r="AD10" i="1" s="1"/>
  <c r="R10" i="1"/>
  <c r="S10" i="1" s="1"/>
  <c r="R29" i="1"/>
  <c r="S29" i="1" s="1"/>
  <c r="AC10" i="1" l="1"/>
  <c r="AA14" i="1" s="1"/>
  <c r="X77" i="1"/>
  <c r="Z74" i="1"/>
  <c r="AD9" i="1"/>
  <c r="AC9" i="1"/>
  <c r="AA13" i="1" s="1"/>
  <c r="Z75" i="1"/>
  <c r="AD11" i="1"/>
  <c r="AC11" i="1"/>
  <c r="AA15" i="1" s="1"/>
  <c r="AC4" i="1"/>
  <c r="AA8" i="1" s="1"/>
  <c r="Z76" i="1" l="1"/>
  <c r="Z77" i="1" s="1"/>
  <c r="AD8" i="1"/>
  <c r="AC8" i="1"/>
  <c r="AA12" i="1" s="1"/>
  <c r="AD13" i="1"/>
  <c r="AC13" i="1"/>
  <c r="AA17" i="1" s="1"/>
  <c r="AD15" i="1"/>
  <c r="AC15" i="1"/>
  <c r="AA19" i="1" s="1"/>
  <c r="AD14" i="1"/>
  <c r="AC14" i="1"/>
  <c r="AA18" i="1" s="1"/>
  <c r="AC12" i="1" l="1"/>
  <c r="AA16" i="1" s="1"/>
  <c r="AD12" i="1"/>
  <c r="AD19" i="1"/>
  <c r="AC19" i="1"/>
  <c r="AA23" i="1" s="1"/>
  <c r="AD17" i="1"/>
  <c r="AC17" i="1"/>
  <c r="AA21" i="1" s="1"/>
  <c r="AD18" i="1"/>
  <c r="AC18" i="1"/>
  <c r="AA22" i="1" s="1"/>
  <c r="AC22" i="1" l="1"/>
  <c r="AA26" i="1" s="1"/>
  <c r="AD22" i="1"/>
  <c r="AD21" i="1"/>
  <c r="AC21" i="1"/>
  <c r="AA25" i="1" s="1"/>
  <c r="AC23" i="1"/>
  <c r="AA27" i="1" s="1"/>
  <c r="AD23" i="1"/>
  <c r="AC16" i="1"/>
  <c r="AA20" i="1" s="1"/>
  <c r="AD16" i="1"/>
  <c r="AC20" i="1" l="1"/>
  <c r="AA24" i="1" s="1"/>
  <c r="AD20" i="1"/>
  <c r="AD27" i="1"/>
  <c r="AC27" i="1"/>
  <c r="AA31" i="1" s="1"/>
  <c r="AD25" i="1"/>
  <c r="AC25" i="1"/>
  <c r="AA29" i="1" s="1"/>
  <c r="AC26" i="1"/>
  <c r="AA30" i="1" s="1"/>
  <c r="AD26" i="1"/>
  <c r="AD29" i="1" l="1"/>
  <c r="AC29" i="1"/>
  <c r="AA33" i="1" s="1"/>
  <c r="AC30" i="1"/>
  <c r="AA34" i="1" s="1"/>
  <c r="AD30" i="1"/>
  <c r="AC31" i="1"/>
  <c r="AA35" i="1" s="1"/>
  <c r="AD31" i="1"/>
  <c r="AD24" i="1"/>
  <c r="AC24" i="1"/>
  <c r="AA28" i="1" s="1"/>
  <c r="AD28" i="1" l="1"/>
  <c r="AC28" i="1"/>
  <c r="AA32" i="1" s="1"/>
  <c r="AD35" i="1"/>
  <c r="AC35" i="1"/>
  <c r="AA39" i="1" s="1"/>
  <c r="AD34" i="1"/>
  <c r="AC34" i="1"/>
  <c r="AA38" i="1" s="1"/>
  <c r="AD33" i="1"/>
  <c r="AC33" i="1"/>
  <c r="AA37" i="1" s="1"/>
  <c r="AC38" i="1" l="1"/>
  <c r="AA42" i="1" s="1"/>
  <c r="AD38" i="1"/>
  <c r="AD37" i="1"/>
  <c r="AC37" i="1"/>
  <c r="AA41" i="1" s="1"/>
  <c r="AC39" i="1"/>
  <c r="AA43" i="1" s="1"/>
  <c r="AD39" i="1"/>
  <c r="AD32" i="1"/>
  <c r="AC32" i="1"/>
  <c r="AA36" i="1" s="1"/>
  <c r="AD36" i="1" l="1"/>
  <c r="AC36" i="1"/>
  <c r="AA40" i="1" s="1"/>
  <c r="AD43" i="1"/>
  <c r="AC43" i="1"/>
  <c r="AA47" i="1" s="1"/>
  <c r="AD41" i="1"/>
  <c r="AC41" i="1"/>
  <c r="AA45" i="1" s="1"/>
  <c r="AD42" i="1"/>
  <c r="AC42" i="1"/>
  <c r="AA46" i="1" s="1"/>
  <c r="AC46" i="1" l="1"/>
  <c r="AA50" i="1" s="1"/>
  <c r="AD46" i="1"/>
  <c r="AD45" i="1"/>
  <c r="AC45" i="1"/>
  <c r="AA49" i="1" s="1"/>
  <c r="AD40" i="1"/>
  <c r="AC40" i="1"/>
  <c r="AA44" i="1" s="1"/>
  <c r="AC47" i="1"/>
  <c r="AA51" i="1" s="1"/>
  <c r="AD47" i="1"/>
  <c r="AD51" i="1" l="1"/>
  <c r="AC51" i="1"/>
  <c r="AA55" i="1" s="1"/>
  <c r="AD44" i="1"/>
  <c r="AC44" i="1"/>
  <c r="AA48" i="1" s="1"/>
  <c r="AD49" i="1"/>
  <c r="AC49" i="1"/>
  <c r="AA53" i="1" s="1"/>
  <c r="AD50" i="1"/>
  <c r="AC50" i="1"/>
  <c r="AA54" i="1" s="1"/>
  <c r="AC54" i="1" l="1"/>
  <c r="AA58" i="1" s="1"/>
  <c r="AD54" i="1"/>
  <c r="AD53" i="1"/>
  <c r="AC53" i="1"/>
  <c r="AA57" i="1" s="1"/>
  <c r="AD48" i="1"/>
  <c r="AC48" i="1"/>
  <c r="AA52" i="1" s="1"/>
  <c r="AC55" i="1"/>
  <c r="AA59" i="1" s="1"/>
  <c r="AD55" i="1"/>
  <c r="AC59" i="1" l="1"/>
  <c r="AA63" i="1" s="1"/>
  <c r="AD59" i="1"/>
  <c r="AD52" i="1"/>
  <c r="AC52" i="1"/>
  <c r="AA56" i="1" s="1"/>
  <c r="AD57" i="1"/>
  <c r="AC57" i="1"/>
  <c r="AA61" i="1" s="1"/>
  <c r="AC58" i="1"/>
  <c r="AA62" i="1" s="1"/>
  <c r="AD58" i="1"/>
  <c r="AC62" i="1" l="1"/>
  <c r="AA66" i="1" s="1"/>
  <c r="AD62" i="1"/>
  <c r="AD56" i="1"/>
  <c r="AC56" i="1"/>
  <c r="AA60" i="1" s="1"/>
  <c r="AD61" i="1"/>
  <c r="AC61" i="1"/>
  <c r="AA65" i="1" s="1"/>
  <c r="AD63" i="1"/>
  <c r="AC63" i="1"/>
  <c r="AA67" i="1" s="1"/>
  <c r="AD67" i="1" l="1"/>
  <c r="AC67" i="1"/>
  <c r="AA71" i="1" s="1"/>
  <c r="AD60" i="1"/>
  <c r="AC60" i="1"/>
  <c r="AA64" i="1" s="1"/>
  <c r="AD65" i="1"/>
  <c r="AC65" i="1"/>
  <c r="AA69" i="1" s="1"/>
  <c r="AD66" i="1"/>
  <c r="AC66" i="1"/>
  <c r="AA70" i="1" s="1"/>
  <c r="AC70" i="1" l="1"/>
  <c r="AA74" i="1" s="1"/>
  <c r="AD70" i="1"/>
  <c r="AD71" i="1"/>
  <c r="AC71" i="1"/>
  <c r="AA75" i="1" s="1"/>
  <c r="AD69" i="1"/>
  <c r="AC69" i="1"/>
  <c r="AA73" i="1" s="1"/>
  <c r="AD64" i="1"/>
  <c r="AC64" i="1"/>
  <c r="AA68" i="1" s="1"/>
  <c r="AD68" i="1" l="1"/>
  <c r="AC68" i="1"/>
  <c r="AA72" i="1" s="1"/>
  <c r="AD73" i="1"/>
  <c r="AC73" i="1"/>
  <c r="AA77" i="1" s="1"/>
  <c r="AD75" i="1"/>
  <c r="AC75" i="1"/>
  <c r="AD74" i="1"/>
  <c r="AC74" i="1"/>
  <c r="AD77" i="1" l="1"/>
  <c r="AC77" i="1"/>
  <c r="AC72" i="1"/>
  <c r="AA76" i="1" s="1"/>
  <c r="AD72" i="1"/>
  <c r="L9" i="1" s="1"/>
  <c r="L10" i="1" s="1"/>
  <c r="AC76" i="1" l="1"/>
  <c r="AD76" i="1"/>
</calcChain>
</file>

<file path=xl/sharedStrings.xml><?xml version="1.0" encoding="utf-8"?>
<sst xmlns="http://schemas.openxmlformats.org/spreadsheetml/2006/main" count="35" uniqueCount="34">
  <si>
    <t>Sum of Adult Escapement</t>
  </si>
  <si>
    <t>Sum of Jack Escapement</t>
  </si>
  <si>
    <t>Sum of Total Escapement</t>
  </si>
  <si>
    <t>Sum of DBE</t>
  </si>
  <si>
    <t>Sum of Below Mission Catch (excluding Alaska catch)</t>
  </si>
  <si>
    <t>Sum of Above Mission Catch</t>
  </si>
  <si>
    <t>Sum of Alaska Catch</t>
  </si>
  <si>
    <t>Sum of Run Size</t>
  </si>
  <si>
    <t>Year</t>
  </si>
  <si>
    <t>PARAMETERS FOR RETRO RUNS</t>
  </si>
  <si>
    <t>retroU</t>
  </si>
  <si>
    <t>useretro</t>
  </si>
  <si>
    <t>yrretro</t>
  </si>
  <si>
    <t>hist catch</t>
  </si>
  <si>
    <t>retro catch</t>
  </si>
  <si>
    <t>retro-hist</t>
  </si>
  <si>
    <t>Run-Jacks</t>
  </si>
  <si>
    <t>Catch</t>
  </si>
  <si>
    <t>Ut=C/Nadult</t>
  </si>
  <si>
    <t>ENS</t>
  </si>
  <si>
    <t>migmort</t>
  </si>
  <si>
    <t>run-(catch+escapement)</t>
  </si>
  <si>
    <t>minus DBE</t>
  </si>
  <si>
    <t>loss/(run-catch)</t>
  </si>
  <si>
    <t>Adult spawners</t>
  </si>
  <si>
    <t>adult return</t>
  </si>
  <si>
    <t>lnR/S</t>
  </si>
  <si>
    <t>wt</t>
  </si>
  <si>
    <t>retro R</t>
  </si>
  <si>
    <t>retro u</t>
  </si>
  <si>
    <t>retro S</t>
  </si>
  <si>
    <t>Retro C</t>
  </si>
  <si>
    <t>ra</t>
  </si>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</sst>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0000E+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1257-D5E5-4661-BADF-4766D249EEAD}">
  <dimension ref="A1:AD77"/>
  <sheetViews>
    <sheetView tabSelected="1" topLeftCell="M1" workbookViewId="0">
      <selection activeCell="AC2" sqref="AC2"/>
    </sheetView>
  </sheetViews>
  <sheetFormatPr defaultRowHeight="14.5" x14ac:dyDescent="0.35"/>
  <sheetData>
    <row r="1" spans="1:30" x14ac:dyDescent="0.35">
      <c r="X1" t="s">
        <v>32</v>
      </c>
      <c r="Y1">
        <f>INTERCEPT(Y4:Y71,W4:W71)</f>
        <v>1.9887608484220265</v>
      </c>
    </row>
    <row r="2" spans="1:30" x14ac:dyDescent="0.35">
      <c r="X2" t="s">
        <v>33</v>
      </c>
      <c r="Y2">
        <f>-SLOPE(Y4:Y71,W4:W71)</f>
        <v>8.0334902012979351E-6</v>
      </c>
    </row>
    <row r="3" spans="1:30" x14ac:dyDescent="0.35">
      <c r="A3" t="s">
        <v>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K3" s="1" t="s">
        <v>9</v>
      </c>
      <c r="N3" t="s">
        <v>8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</row>
    <row r="4" spans="1:30" x14ac:dyDescent="0.35">
      <c r="A4">
        <v>1952</v>
      </c>
      <c r="B4">
        <v>47041</v>
      </c>
      <c r="C4">
        <v>30345</v>
      </c>
      <c r="D4">
        <v>77386</v>
      </c>
      <c r="F4">
        <v>185093.39058228899</v>
      </c>
      <c r="G4">
        <v>11549.6280107277</v>
      </c>
      <c r="I4">
        <v>274029</v>
      </c>
      <c r="K4" s="1" t="s">
        <v>10</v>
      </c>
      <c r="L4" s="1">
        <v>0.3</v>
      </c>
      <c r="N4">
        <f>A4</f>
        <v>1952</v>
      </c>
      <c r="O4">
        <f>I4-C4</f>
        <v>243684</v>
      </c>
      <c r="P4">
        <f>F4+G4</f>
        <v>196643.01859301669</v>
      </c>
      <c r="Q4">
        <f>MIN(0.999,P4/O4)</f>
        <v>0.80695908879128997</v>
      </c>
      <c r="R4">
        <f>MIN(1,MAX(0.0001,W4/O4/(1-Q4)))</f>
        <v>1</v>
      </c>
      <c r="S4" s="3">
        <f>1-R4</f>
        <v>0</v>
      </c>
      <c r="T4">
        <f>O4-(P4+B4)</f>
        <v>-1.859301669173874E-2</v>
      </c>
      <c r="U4">
        <f>-E4</f>
        <v>0</v>
      </c>
      <c r="V4">
        <f>T4/(O4-P4)</f>
        <v>-3.9525146235530232E-7</v>
      </c>
      <c r="W4">
        <f>B4</f>
        <v>47041</v>
      </c>
      <c r="X4">
        <f>O8</f>
        <v>250299</v>
      </c>
      <c r="Y4">
        <f>LN(X4/W4)</f>
        <v>1.6716366413561805</v>
      </c>
      <c r="Z4">
        <f t="shared" ref="Z4:Z35" si="0">Y4-(ra-rb*W4)</f>
        <v>6.0779205493410204E-2</v>
      </c>
      <c r="AA4" s="4">
        <f>O4</f>
        <v>243684</v>
      </c>
      <c r="AB4">
        <f t="shared" ref="AB4:AB35" si="1">IF(AND(useretro,N4&gt;=yrretro),retroU,Q4)</f>
        <v>0.80695908879128997</v>
      </c>
      <c r="AC4">
        <f>AA4*(1-AB4)*R4</f>
        <v>47040.981406983294</v>
      </c>
      <c r="AD4">
        <f>AA4*AB4</f>
        <v>196643.01859301669</v>
      </c>
    </row>
    <row r="5" spans="1:30" x14ac:dyDescent="0.35">
      <c r="A5">
        <v>1953</v>
      </c>
      <c r="B5">
        <v>42491</v>
      </c>
      <c r="C5">
        <v>13332</v>
      </c>
      <c r="D5">
        <v>55823</v>
      </c>
      <c r="F5">
        <v>209837.04128653699</v>
      </c>
      <c r="G5">
        <v>10862.627347858799</v>
      </c>
      <c r="I5">
        <v>276523</v>
      </c>
      <c r="K5" s="1" t="s">
        <v>11</v>
      </c>
      <c r="L5" s="1" t="b">
        <v>1</v>
      </c>
      <c r="N5">
        <f t="shared" ref="N5:N68" si="2">A5</f>
        <v>1953</v>
      </c>
      <c r="O5">
        <f>I5-C5</f>
        <v>263191</v>
      </c>
      <c r="P5">
        <f t="shared" ref="P5:P68" si="3">F5+G5</f>
        <v>220699.66863439578</v>
      </c>
      <c r="Q5">
        <f t="shared" ref="Q5:Q68" si="4">MIN(0.999,P5/O5)</f>
        <v>0.83855325081175192</v>
      </c>
      <c r="R5">
        <f>MIN(1,MAX(0.0001,W5/O5/(1-Q5)))</f>
        <v>0.99999220157162516</v>
      </c>
      <c r="S5" s="3">
        <f t="shared" ref="S5:S68" si="5">1-R5</f>
        <v>7.7984283748389061E-6</v>
      </c>
      <c r="T5">
        <f t="shared" ref="T5:T68" si="6">O5-(P5+B5)</f>
        <v>0.33136560418643057</v>
      </c>
      <c r="U5">
        <f t="shared" ref="U5:U68" si="7">-E5</f>
        <v>0</v>
      </c>
      <c r="V5">
        <f t="shared" ref="V5:V68" si="8">T5/(O5-P5)</f>
        <v>7.7984283743734055E-6</v>
      </c>
      <c r="W5">
        <f t="shared" ref="W5:W68" si="9">B5</f>
        <v>42491</v>
      </c>
      <c r="X5">
        <f t="shared" ref="X5:X68" si="10">O9</f>
        <v>150036</v>
      </c>
      <c r="Y5">
        <f>LN(X5/W5)</f>
        <v>1.2615829765016855</v>
      </c>
      <c r="Z5">
        <f t="shared" si="0"/>
        <v>-0.38582683977699039</v>
      </c>
      <c r="AA5" s="4">
        <f t="shared" ref="AA5:AA7" si="11">O5</f>
        <v>263191</v>
      </c>
      <c r="AB5">
        <f t="shared" si="1"/>
        <v>0.83855325081175192</v>
      </c>
      <c r="AC5">
        <f t="shared" ref="AC5:AC68" si="12">AA5*(1-AB5)*R5</f>
        <v>42490.999999999993</v>
      </c>
      <c r="AD5">
        <f t="shared" ref="AD5:AD68" si="13">AA5*AB5</f>
        <v>220699.66863439578</v>
      </c>
    </row>
    <row r="6" spans="1:30" x14ac:dyDescent="0.35">
      <c r="A6">
        <v>1954</v>
      </c>
      <c r="B6">
        <v>18213</v>
      </c>
      <c r="C6">
        <v>22240</v>
      </c>
      <c r="D6">
        <v>40453</v>
      </c>
      <c r="F6">
        <v>192583</v>
      </c>
      <c r="G6">
        <v>4958</v>
      </c>
      <c r="I6">
        <v>237994</v>
      </c>
      <c r="K6" s="1" t="s">
        <v>12</v>
      </c>
      <c r="L6" s="1">
        <v>1990</v>
      </c>
      <c r="N6">
        <f t="shared" si="2"/>
        <v>1954</v>
      </c>
      <c r="O6">
        <f t="shared" ref="O6:O69" si="14">I6-C6</f>
        <v>215754</v>
      </c>
      <c r="P6">
        <f t="shared" si="3"/>
        <v>197541</v>
      </c>
      <c r="Q6">
        <f t="shared" si="4"/>
        <v>0.91558441558441561</v>
      </c>
      <c r="R6">
        <f t="shared" ref="R6:R69" si="15">MIN(1,MAX(0.0001,W6/O6/(1-Q6)))</f>
        <v>1</v>
      </c>
      <c r="S6" s="3">
        <f t="shared" si="5"/>
        <v>0</v>
      </c>
      <c r="T6">
        <f t="shared" si="6"/>
        <v>0</v>
      </c>
      <c r="U6">
        <f t="shared" si="7"/>
        <v>0</v>
      </c>
      <c r="V6">
        <f t="shared" si="8"/>
        <v>0</v>
      </c>
      <c r="W6">
        <f t="shared" si="9"/>
        <v>18213</v>
      </c>
      <c r="X6">
        <f t="shared" si="10"/>
        <v>192641</v>
      </c>
      <c r="Y6">
        <f t="shared" ref="Y6:Y69" si="16">LN(X6/W6)</f>
        <v>2.3586927283204764</v>
      </c>
      <c r="Z6">
        <f t="shared" si="0"/>
        <v>0.51624583693468917</v>
      </c>
      <c r="AA6" s="4">
        <f t="shared" si="11"/>
        <v>215754</v>
      </c>
      <c r="AB6">
        <f t="shared" si="1"/>
        <v>0.91558441558441561</v>
      </c>
      <c r="AC6">
        <f t="shared" si="12"/>
        <v>18212.999999999993</v>
      </c>
      <c r="AD6">
        <f t="shared" si="13"/>
        <v>197541</v>
      </c>
    </row>
    <row r="7" spans="1:30" x14ac:dyDescent="0.35">
      <c r="A7">
        <v>1955</v>
      </c>
      <c r="B7">
        <v>14553</v>
      </c>
      <c r="C7">
        <v>9897</v>
      </c>
      <c r="D7">
        <v>24450</v>
      </c>
      <c r="F7">
        <v>136298</v>
      </c>
      <c r="G7">
        <v>3575</v>
      </c>
      <c r="I7">
        <v>164323</v>
      </c>
      <c r="K7" s="1"/>
      <c r="L7" s="1"/>
      <c r="N7">
        <f t="shared" si="2"/>
        <v>1955</v>
      </c>
      <c r="O7">
        <f t="shared" si="14"/>
        <v>154426</v>
      </c>
      <c r="P7">
        <f t="shared" si="3"/>
        <v>139873</v>
      </c>
      <c r="Q7">
        <f t="shared" si="4"/>
        <v>0.90576068796705222</v>
      </c>
      <c r="R7">
        <f t="shared" si="15"/>
        <v>1</v>
      </c>
      <c r="S7" s="3">
        <f t="shared" si="5"/>
        <v>0</v>
      </c>
      <c r="T7">
        <f t="shared" si="6"/>
        <v>0</v>
      </c>
      <c r="U7">
        <f t="shared" si="7"/>
        <v>0</v>
      </c>
      <c r="V7">
        <f t="shared" si="8"/>
        <v>0</v>
      </c>
      <c r="W7">
        <f t="shared" si="9"/>
        <v>14553</v>
      </c>
      <c r="X7">
        <f t="shared" si="10"/>
        <v>244966</v>
      </c>
      <c r="Y7">
        <f t="shared" si="16"/>
        <v>2.8233222674731215</v>
      </c>
      <c r="Z7">
        <f t="shared" si="0"/>
        <v>0.95147280195058381</v>
      </c>
      <c r="AA7" s="4">
        <f t="shared" si="11"/>
        <v>154426</v>
      </c>
      <c r="AB7">
        <f t="shared" si="1"/>
        <v>0.90576068796705222</v>
      </c>
      <c r="AC7">
        <f t="shared" si="12"/>
        <v>14552.999999999993</v>
      </c>
      <c r="AD7">
        <f t="shared" si="13"/>
        <v>139873</v>
      </c>
    </row>
    <row r="8" spans="1:30" x14ac:dyDescent="0.35">
      <c r="A8">
        <v>1956</v>
      </c>
      <c r="B8">
        <v>49754</v>
      </c>
      <c r="C8">
        <v>8145</v>
      </c>
      <c r="D8">
        <v>57899</v>
      </c>
      <c r="F8">
        <v>191738</v>
      </c>
      <c r="G8">
        <v>8807</v>
      </c>
      <c r="I8">
        <v>258444</v>
      </c>
      <c r="K8" s="1" t="s">
        <v>13</v>
      </c>
      <c r="L8" s="2">
        <f>SUM(P4:P75)</f>
        <v>15924453.254291451</v>
      </c>
      <c r="N8">
        <f t="shared" si="2"/>
        <v>1956</v>
      </c>
      <c r="O8">
        <f t="shared" si="14"/>
        <v>250299</v>
      </c>
      <c r="P8">
        <f t="shared" si="3"/>
        <v>200545</v>
      </c>
      <c r="Q8">
        <f t="shared" si="4"/>
        <v>0.80122173880039471</v>
      </c>
      <c r="R8">
        <f t="shared" si="15"/>
        <v>0.99999999999999989</v>
      </c>
      <c r="S8" s="3">
        <f t="shared" si="5"/>
        <v>0</v>
      </c>
      <c r="T8">
        <f t="shared" si="6"/>
        <v>0</v>
      </c>
      <c r="U8">
        <f t="shared" si="7"/>
        <v>0</v>
      </c>
      <c r="V8">
        <f t="shared" si="8"/>
        <v>0</v>
      </c>
      <c r="W8">
        <f t="shared" si="9"/>
        <v>49754</v>
      </c>
      <c r="X8">
        <f t="shared" si="10"/>
        <v>211717</v>
      </c>
      <c r="Y8">
        <f t="shared" si="16"/>
        <v>1.4481596148487736</v>
      </c>
      <c r="Z8">
        <f t="shared" si="0"/>
        <v>-0.14090296209787545</v>
      </c>
      <c r="AA8" s="5">
        <f t="shared" ref="AA8:AA39" si="17">AC4*EXP(ra-rb*AC4+Z4)</f>
        <v>250298.93845534633</v>
      </c>
      <c r="AB8">
        <f t="shared" si="1"/>
        <v>0.80122173880039471</v>
      </c>
      <c r="AC8">
        <f t="shared" si="12"/>
        <v>49753.987766260754</v>
      </c>
      <c r="AD8">
        <f t="shared" si="13"/>
        <v>200544.95068908556</v>
      </c>
    </row>
    <row r="9" spans="1:30" x14ac:dyDescent="0.35">
      <c r="A9">
        <v>1957</v>
      </c>
      <c r="B9">
        <v>14536</v>
      </c>
      <c r="C9">
        <v>9632</v>
      </c>
      <c r="D9">
        <v>24168</v>
      </c>
      <c r="F9">
        <v>129861</v>
      </c>
      <c r="G9">
        <v>5639</v>
      </c>
      <c r="I9">
        <v>159668</v>
      </c>
      <c r="K9" s="1" t="s">
        <v>14</v>
      </c>
      <c r="L9" s="2">
        <f>SUM(AD4:AD75)</f>
        <v>13626483.669883566</v>
      </c>
      <c r="N9">
        <f t="shared" si="2"/>
        <v>1957</v>
      </c>
      <c r="O9">
        <f t="shared" si="14"/>
        <v>150036</v>
      </c>
      <c r="P9">
        <f t="shared" si="3"/>
        <v>135500</v>
      </c>
      <c r="Q9">
        <f t="shared" si="4"/>
        <v>0.90311658535284867</v>
      </c>
      <c r="R9">
        <f t="shared" si="15"/>
        <v>1</v>
      </c>
      <c r="S9" s="3">
        <f t="shared" si="5"/>
        <v>0</v>
      </c>
      <c r="T9">
        <f t="shared" si="6"/>
        <v>0</v>
      </c>
      <c r="U9">
        <f t="shared" si="7"/>
        <v>0</v>
      </c>
      <c r="V9">
        <f t="shared" si="8"/>
        <v>0</v>
      </c>
      <c r="W9">
        <f t="shared" si="9"/>
        <v>14536</v>
      </c>
      <c r="X9">
        <f t="shared" si="10"/>
        <v>87310</v>
      </c>
      <c r="Y9">
        <f t="shared" si="16"/>
        <v>1.7928366727288463</v>
      </c>
      <c r="Z9">
        <f t="shared" si="0"/>
        <v>-7.9149362127113321E-2</v>
      </c>
      <c r="AA9" s="5">
        <f t="shared" si="17"/>
        <v>150035.99999999997</v>
      </c>
      <c r="AB9">
        <f t="shared" si="1"/>
        <v>0.90311658535284867</v>
      </c>
      <c r="AC9">
        <f t="shared" si="12"/>
        <v>14535.999999999995</v>
      </c>
      <c r="AD9">
        <f t="shared" si="13"/>
        <v>135499.99999999997</v>
      </c>
    </row>
    <row r="10" spans="1:30" x14ac:dyDescent="0.35">
      <c r="A10">
        <v>1958</v>
      </c>
      <c r="B10">
        <v>15166</v>
      </c>
      <c r="C10">
        <v>17889</v>
      </c>
      <c r="D10">
        <v>33055</v>
      </c>
      <c r="F10">
        <v>171432</v>
      </c>
      <c r="G10">
        <v>6043</v>
      </c>
      <c r="I10">
        <v>210530</v>
      </c>
      <c r="K10" s="1" t="s">
        <v>15</v>
      </c>
      <c r="L10" s="2">
        <f>L9-L8</f>
        <v>-2297969.5844078846</v>
      </c>
      <c r="N10">
        <f t="shared" si="2"/>
        <v>1958</v>
      </c>
      <c r="O10">
        <f t="shared" si="14"/>
        <v>192641</v>
      </c>
      <c r="P10">
        <f t="shared" si="3"/>
        <v>177475</v>
      </c>
      <c r="Q10">
        <f t="shared" si="4"/>
        <v>0.92127324920447884</v>
      </c>
      <c r="R10">
        <f t="shared" si="15"/>
        <v>1</v>
      </c>
      <c r="S10" s="3">
        <f t="shared" si="5"/>
        <v>0</v>
      </c>
      <c r="T10">
        <f t="shared" si="6"/>
        <v>0</v>
      </c>
      <c r="U10">
        <f t="shared" si="7"/>
        <v>0</v>
      </c>
      <c r="V10">
        <f t="shared" si="8"/>
        <v>0</v>
      </c>
      <c r="W10">
        <f t="shared" si="9"/>
        <v>15166</v>
      </c>
      <c r="X10">
        <f t="shared" si="10"/>
        <v>114352</v>
      </c>
      <c r="Y10">
        <f t="shared" si="16"/>
        <v>2.0202253301988793</v>
      </c>
      <c r="Z10">
        <f t="shared" si="0"/>
        <v>0.15330039416973729</v>
      </c>
      <c r="AA10" s="5">
        <f t="shared" si="17"/>
        <v>192640.99999999988</v>
      </c>
      <c r="AB10">
        <f t="shared" si="1"/>
        <v>0.92127324920447884</v>
      </c>
      <c r="AC10">
        <f t="shared" si="12"/>
        <v>15165.999999999984</v>
      </c>
      <c r="AD10">
        <f t="shared" si="13"/>
        <v>177474.99999999991</v>
      </c>
    </row>
    <row r="11" spans="1:30" x14ac:dyDescent="0.35">
      <c r="A11">
        <v>1959</v>
      </c>
      <c r="B11">
        <v>26159</v>
      </c>
      <c r="C11">
        <v>12445</v>
      </c>
      <c r="D11">
        <v>38604</v>
      </c>
      <c r="F11">
        <v>213324</v>
      </c>
      <c r="G11">
        <v>5483</v>
      </c>
      <c r="I11">
        <v>257411</v>
      </c>
      <c r="N11">
        <f t="shared" si="2"/>
        <v>1959</v>
      </c>
      <c r="O11">
        <f t="shared" si="14"/>
        <v>244966</v>
      </c>
      <c r="P11">
        <f t="shared" si="3"/>
        <v>218807</v>
      </c>
      <c r="Q11">
        <f t="shared" si="4"/>
        <v>0.89321375211253806</v>
      </c>
      <c r="R11">
        <f t="shared" si="15"/>
        <v>1</v>
      </c>
      <c r="S11" s="3">
        <f t="shared" si="5"/>
        <v>0</v>
      </c>
      <c r="T11">
        <f t="shared" si="6"/>
        <v>0</v>
      </c>
      <c r="U11">
        <f t="shared" si="7"/>
        <v>0</v>
      </c>
      <c r="V11">
        <f t="shared" si="8"/>
        <v>0</v>
      </c>
      <c r="W11">
        <f t="shared" si="9"/>
        <v>26159</v>
      </c>
      <c r="X11">
        <f t="shared" si="10"/>
        <v>232934</v>
      </c>
      <c r="Y11">
        <f t="shared" si="16"/>
        <v>2.1865618520782633</v>
      </c>
      <c r="Z11">
        <f t="shared" si="0"/>
        <v>0.40794907383198953</v>
      </c>
      <c r="AA11" s="5">
        <f t="shared" si="17"/>
        <v>244965.99999999985</v>
      </c>
      <c r="AB11">
        <f t="shared" si="1"/>
        <v>0.89321375211253806</v>
      </c>
      <c r="AC11">
        <f t="shared" si="12"/>
        <v>26158.999999999985</v>
      </c>
      <c r="AD11">
        <f t="shared" si="13"/>
        <v>218806.99999999985</v>
      </c>
    </row>
    <row r="12" spans="1:30" x14ac:dyDescent="0.35">
      <c r="A12">
        <v>1960</v>
      </c>
      <c r="B12">
        <v>36838</v>
      </c>
      <c r="C12">
        <v>3010</v>
      </c>
      <c r="D12">
        <v>39848</v>
      </c>
      <c r="F12">
        <v>167555</v>
      </c>
      <c r="G12">
        <v>7324</v>
      </c>
      <c r="I12">
        <v>214727</v>
      </c>
      <c r="N12">
        <f t="shared" si="2"/>
        <v>1960</v>
      </c>
      <c r="O12">
        <f t="shared" si="14"/>
        <v>211717</v>
      </c>
      <c r="P12">
        <f t="shared" si="3"/>
        <v>174879</v>
      </c>
      <c r="Q12">
        <f t="shared" si="4"/>
        <v>0.82600358025099541</v>
      </c>
      <c r="R12">
        <f t="shared" si="15"/>
        <v>0.99999999999999989</v>
      </c>
      <c r="S12" s="3">
        <f t="shared" si="5"/>
        <v>0</v>
      </c>
      <c r="T12">
        <f t="shared" si="6"/>
        <v>0</v>
      </c>
      <c r="U12">
        <f t="shared" si="7"/>
        <v>0</v>
      </c>
      <c r="V12">
        <f t="shared" si="8"/>
        <v>0</v>
      </c>
      <c r="W12">
        <f t="shared" si="9"/>
        <v>36838</v>
      </c>
      <c r="X12">
        <f t="shared" si="10"/>
        <v>179397</v>
      </c>
      <c r="Y12">
        <f t="shared" si="16"/>
        <v>1.5830713059799368</v>
      </c>
      <c r="Z12">
        <f t="shared" si="0"/>
        <v>-0.10975183040667624</v>
      </c>
      <c r="AA12" s="5">
        <f t="shared" si="17"/>
        <v>211716.96874952663</v>
      </c>
      <c r="AB12">
        <f t="shared" si="1"/>
        <v>0.82600358025099541</v>
      </c>
      <c r="AC12">
        <f t="shared" si="12"/>
        <v>36837.994562529515</v>
      </c>
      <c r="AD12">
        <f t="shared" si="13"/>
        <v>174878.9741869971</v>
      </c>
    </row>
    <row r="13" spans="1:30" x14ac:dyDescent="0.35">
      <c r="A13">
        <v>1961</v>
      </c>
      <c r="B13">
        <v>31681</v>
      </c>
      <c r="C13">
        <v>17946</v>
      </c>
      <c r="D13">
        <v>49627</v>
      </c>
      <c r="F13">
        <v>48803</v>
      </c>
      <c r="G13">
        <v>6826</v>
      </c>
      <c r="I13">
        <v>105256</v>
      </c>
      <c r="N13">
        <f t="shared" si="2"/>
        <v>1961</v>
      </c>
      <c r="O13">
        <f t="shared" si="14"/>
        <v>87310</v>
      </c>
      <c r="P13">
        <f t="shared" si="3"/>
        <v>55629</v>
      </c>
      <c r="Q13">
        <f t="shared" si="4"/>
        <v>0.63714351162524341</v>
      </c>
      <c r="R13">
        <f t="shared" si="15"/>
        <v>1</v>
      </c>
      <c r="S13" s="3">
        <f t="shared" si="5"/>
        <v>0</v>
      </c>
      <c r="T13">
        <f t="shared" si="6"/>
        <v>0</v>
      </c>
      <c r="U13">
        <f t="shared" si="7"/>
        <v>0</v>
      </c>
      <c r="V13">
        <f t="shared" si="8"/>
        <v>0</v>
      </c>
      <c r="W13">
        <f t="shared" si="9"/>
        <v>31681</v>
      </c>
      <c r="X13">
        <f t="shared" si="10"/>
        <v>97988</v>
      </c>
      <c r="Y13">
        <f t="shared" si="16"/>
        <v>1.1291278900888859</v>
      </c>
      <c r="Z13">
        <f t="shared" si="0"/>
        <v>-0.60512395526582075</v>
      </c>
      <c r="AA13" s="5">
        <f t="shared" si="17"/>
        <v>87309.999999999985</v>
      </c>
      <c r="AB13">
        <f t="shared" si="1"/>
        <v>0.63714351162524341</v>
      </c>
      <c r="AC13">
        <f t="shared" si="12"/>
        <v>31680.999999999993</v>
      </c>
      <c r="AD13">
        <f t="shared" si="13"/>
        <v>55628.999999999993</v>
      </c>
    </row>
    <row r="14" spans="1:30" x14ac:dyDescent="0.35">
      <c r="A14">
        <v>1962</v>
      </c>
      <c r="B14">
        <v>26369</v>
      </c>
      <c r="C14">
        <v>25777</v>
      </c>
      <c r="D14">
        <v>52146</v>
      </c>
      <c r="F14">
        <v>74628</v>
      </c>
      <c r="G14">
        <v>13355</v>
      </c>
      <c r="I14">
        <v>140129</v>
      </c>
      <c r="N14">
        <f t="shared" si="2"/>
        <v>1962</v>
      </c>
      <c r="O14">
        <f t="shared" si="14"/>
        <v>114352</v>
      </c>
      <c r="P14">
        <f t="shared" si="3"/>
        <v>87983</v>
      </c>
      <c r="Q14">
        <f t="shared" si="4"/>
        <v>0.76940499510284033</v>
      </c>
      <c r="R14">
        <f t="shared" si="15"/>
        <v>0.99999999999999989</v>
      </c>
      <c r="S14" s="3">
        <f t="shared" si="5"/>
        <v>0</v>
      </c>
      <c r="T14">
        <f t="shared" si="6"/>
        <v>0</v>
      </c>
      <c r="U14">
        <f t="shared" si="7"/>
        <v>0</v>
      </c>
      <c r="V14">
        <f t="shared" si="8"/>
        <v>0</v>
      </c>
      <c r="W14">
        <f t="shared" si="9"/>
        <v>26369</v>
      </c>
      <c r="X14">
        <f t="shared" si="10"/>
        <v>143907</v>
      </c>
      <c r="Y14">
        <f t="shared" si="16"/>
        <v>1.6969781798372667</v>
      </c>
      <c r="Z14">
        <f t="shared" si="0"/>
        <v>-7.9947565466734538E-2</v>
      </c>
      <c r="AA14" s="5">
        <f t="shared" si="17"/>
        <v>114351.99999999993</v>
      </c>
      <c r="AB14">
        <f t="shared" si="1"/>
        <v>0.76940499510284033</v>
      </c>
      <c r="AC14">
        <f t="shared" si="12"/>
        <v>26368.999999999982</v>
      </c>
      <c r="AD14">
        <f t="shared" si="13"/>
        <v>87982.999999999942</v>
      </c>
    </row>
    <row r="15" spans="1:30" x14ac:dyDescent="0.35">
      <c r="A15">
        <v>1963</v>
      </c>
      <c r="B15">
        <v>48893</v>
      </c>
      <c r="C15">
        <v>18258</v>
      </c>
      <c r="D15">
        <v>67151</v>
      </c>
      <c r="F15">
        <v>171848.47352608701</v>
      </c>
      <c r="G15">
        <v>12192.566601225501</v>
      </c>
      <c r="I15">
        <v>251192</v>
      </c>
      <c r="N15">
        <f t="shared" si="2"/>
        <v>1963</v>
      </c>
      <c r="O15">
        <f t="shared" si="14"/>
        <v>232934</v>
      </c>
      <c r="P15">
        <f t="shared" si="3"/>
        <v>184041.0401273125</v>
      </c>
      <c r="Q15">
        <f t="shared" si="4"/>
        <v>0.79009951371338016</v>
      </c>
      <c r="R15">
        <f t="shared" si="15"/>
        <v>1</v>
      </c>
      <c r="S15" s="3">
        <f t="shared" si="5"/>
        <v>0</v>
      </c>
      <c r="T15">
        <f t="shared" si="6"/>
        <v>-4.0127312502590939E-2</v>
      </c>
      <c r="U15">
        <f t="shared" si="7"/>
        <v>0</v>
      </c>
      <c r="V15">
        <f t="shared" si="8"/>
        <v>-8.2071759629767863E-7</v>
      </c>
      <c r="W15">
        <f t="shared" si="9"/>
        <v>48893</v>
      </c>
      <c r="X15">
        <f t="shared" si="10"/>
        <v>318512</v>
      </c>
      <c r="Y15">
        <f t="shared" si="16"/>
        <v>1.8740259139618416</v>
      </c>
      <c r="Z15">
        <f t="shared" si="0"/>
        <v>0.27804650195187497</v>
      </c>
      <c r="AA15" s="5">
        <f t="shared" si="17"/>
        <v>232933.99999999988</v>
      </c>
      <c r="AB15">
        <f t="shared" si="1"/>
        <v>0.79009951371338016</v>
      </c>
      <c r="AC15">
        <f t="shared" si="12"/>
        <v>48892.959872687483</v>
      </c>
      <c r="AD15">
        <f t="shared" si="13"/>
        <v>184041.04012731242</v>
      </c>
    </row>
    <row r="16" spans="1:30" x14ac:dyDescent="0.35">
      <c r="A16">
        <v>1964</v>
      </c>
      <c r="B16">
        <v>48908</v>
      </c>
      <c r="C16">
        <v>21031</v>
      </c>
      <c r="D16">
        <v>69939</v>
      </c>
      <c r="F16">
        <v>119955.67896541901</v>
      </c>
      <c r="G16">
        <v>10532.8253929694</v>
      </c>
      <c r="I16">
        <v>200428</v>
      </c>
      <c r="N16">
        <f t="shared" si="2"/>
        <v>1964</v>
      </c>
      <c r="O16">
        <f t="shared" si="14"/>
        <v>179397</v>
      </c>
      <c r="P16">
        <f t="shared" si="3"/>
        <v>130488.50435838841</v>
      </c>
      <c r="Q16">
        <f t="shared" si="4"/>
        <v>0.72737283431934985</v>
      </c>
      <c r="R16">
        <f t="shared" si="15"/>
        <v>0.99998986594036288</v>
      </c>
      <c r="S16" s="3">
        <f t="shared" si="5"/>
        <v>1.0134059637123549E-5</v>
      </c>
      <c r="T16">
        <f t="shared" si="6"/>
        <v>0.49564161157468334</v>
      </c>
      <c r="U16">
        <f t="shared" si="7"/>
        <v>0</v>
      </c>
      <c r="V16">
        <f t="shared" si="8"/>
        <v>1.0134059636726774E-5</v>
      </c>
      <c r="W16">
        <f t="shared" si="9"/>
        <v>48908</v>
      </c>
      <c r="X16">
        <f t="shared" si="10"/>
        <v>305965</v>
      </c>
      <c r="Y16">
        <f t="shared" si="16"/>
        <v>1.8335297340436834</v>
      </c>
      <c r="Z16">
        <f t="shared" si="0"/>
        <v>0.23767082438673626</v>
      </c>
      <c r="AA16" s="5">
        <f t="shared" si="17"/>
        <v>179396.98135651273</v>
      </c>
      <c r="AB16">
        <f t="shared" si="1"/>
        <v>0.72737283431934985</v>
      </c>
      <c r="AC16">
        <f t="shared" si="12"/>
        <v>48907.994917330419</v>
      </c>
      <c r="AD16">
        <f t="shared" si="13"/>
        <v>130488.49079762223</v>
      </c>
    </row>
    <row r="17" spans="1:30" x14ac:dyDescent="0.35">
      <c r="A17">
        <v>1965</v>
      </c>
      <c r="B17">
        <v>16230</v>
      </c>
      <c r="C17">
        <v>13778</v>
      </c>
      <c r="D17">
        <v>30008</v>
      </c>
      <c r="F17">
        <v>75083.893539157696</v>
      </c>
      <c r="G17">
        <v>6673.8798323241799</v>
      </c>
      <c r="I17">
        <v>111766</v>
      </c>
      <c r="N17">
        <f t="shared" si="2"/>
        <v>1965</v>
      </c>
      <c r="O17">
        <f t="shared" si="14"/>
        <v>97988</v>
      </c>
      <c r="P17">
        <f t="shared" si="3"/>
        <v>81757.773371481875</v>
      </c>
      <c r="Q17">
        <f t="shared" si="4"/>
        <v>0.8343651607490904</v>
      </c>
      <c r="R17">
        <f t="shared" si="15"/>
        <v>0.99998603663871632</v>
      </c>
      <c r="S17" s="3">
        <f t="shared" si="5"/>
        <v>1.3963361283675368E-5</v>
      </c>
      <c r="T17">
        <f t="shared" si="6"/>
        <v>0.2266285181249259</v>
      </c>
      <c r="U17">
        <f t="shared" si="7"/>
        <v>0</v>
      </c>
      <c r="V17">
        <f t="shared" si="8"/>
        <v>1.3963361283367235E-5</v>
      </c>
      <c r="W17">
        <f t="shared" si="9"/>
        <v>16230</v>
      </c>
      <c r="X17">
        <f t="shared" si="10"/>
        <v>232937</v>
      </c>
      <c r="Y17">
        <f t="shared" si="16"/>
        <v>2.6639066492121493</v>
      </c>
      <c r="Z17">
        <f t="shared" si="0"/>
        <v>0.80552934675718824</v>
      </c>
      <c r="AA17" s="5">
        <f t="shared" si="17"/>
        <v>97987.999999999985</v>
      </c>
      <c r="AB17">
        <f t="shared" si="1"/>
        <v>0.8343651607490904</v>
      </c>
      <c r="AC17">
        <f t="shared" si="12"/>
        <v>16229.999999999998</v>
      </c>
      <c r="AD17">
        <f t="shared" si="13"/>
        <v>81757.773371481861</v>
      </c>
    </row>
    <row r="18" spans="1:30" x14ac:dyDescent="0.35">
      <c r="A18">
        <v>1966</v>
      </c>
      <c r="B18">
        <v>20116</v>
      </c>
      <c r="C18">
        <v>61018</v>
      </c>
      <c r="D18">
        <v>81134</v>
      </c>
      <c r="F18">
        <v>118143</v>
      </c>
      <c r="G18">
        <v>5648</v>
      </c>
      <c r="I18">
        <v>204925</v>
      </c>
      <c r="N18">
        <f t="shared" si="2"/>
        <v>1966</v>
      </c>
      <c r="O18">
        <f t="shared" si="14"/>
        <v>143907</v>
      </c>
      <c r="P18">
        <f t="shared" si="3"/>
        <v>123791</v>
      </c>
      <c r="Q18">
        <f t="shared" si="4"/>
        <v>0.86021527792254715</v>
      </c>
      <c r="R18">
        <f t="shared" si="15"/>
        <v>0.99999999999999956</v>
      </c>
      <c r="S18" s="3">
        <f t="shared" si="5"/>
        <v>0</v>
      </c>
      <c r="T18">
        <f t="shared" si="6"/>
        <v>0</v>
      </c>
      <c r="U18">
        <f t="shared" si="7"/>
        <v>0</v>
      </c>
      <c r="V18">
        <f t="shared" si="8"/>
        <v>0</v>
      </c>
      <c r="W18">
        <f t="shared" si="9"/>
        <v>20116</v>
      </c>
      <c r="X18">
        <f t="shared" si="10"/>
        <v>196580</v>
      </c>
      <c r="Y18">
        <f t="shared" si="16"/>
        <v>2.2795539548287649</v>
      </c>
      <c r="Z18">
        <f t="shared" si="0"/>
        <v>0.45239479529604765</v>
      </c>
      <c r="AA18" s="5">
        <f t="shared" si="17"/>
        <v>143906.99999999994</v>
      </c>
      <c r="AB18">
        <f t="shared" si="1"/>
        <v>0.86021527792254715</v>
      </c>
      <c r="AC18">
        <f t="shared" si="12"/>
        <v>20115.999999999993</v>
      </c>
      <c r="AD18">
        <f t="shared" si="13"/>
        <v>123790.99999999994</v>
      </c>
    </row>
    <row r="19" spans="1:30" x14ac:dyDescent="0.35">
      <c r="A19">
        <v>1967</v>
      </c>
      <c r="B19">
        <v>39876</v>
      </c>
      <c r="C19">
        <v>18160</v>
      </c>
      <c r="D19">
        <v>58036</v>
      </c>
      <c r="F19">
        <v>271400</v>
      </c>
      <c r="G19">
        <v>7236</v>
      </c>
      <c r="I19">
        <v>336672</v>
      </c>
      <c r="N19">
        <f t="shared" si="2"/>
        <v>1967</v>
      </c>
      <c r="O19">
        <f t="shared" si="14"/>
        <v>318512</v>
      </c>
      <c r="P19">
        <f t="shared" si="3"/>
        <v>278636</v>
      </c>
      <c r="Q19">
        <f t="shared" si="4"/>
        <v>0.87480534485356909</v>
      </c>
      <c r="R19">
        <f t="shared" si="15"/>
        <v>1</v>
      </c>
      <c r="S19" s="3">
        <f t="shared" si="5"/>
        <v>0</v>
      </c>
      <c r="T19">
        <f t="shared" si="6"/>
        <v>0</v>
      </c>
      <c r="U19">
        <f t="shared" si="7"/>
        <v>0</v>
      </c>
      <c r="V19">
        <f t="shared" si="8"/>
        <v>0</v>
      </c>
      <c r="W19">
        <f t="shared" si="9"/>
        <v>39876</v>
      </c>
      <c r="X19">
        <f t="shared" si="10"/>
        <v>483445</v>
      </c>
      <c r="Y19">
        <f t="shared" si="16"/>
        <v>2.495162915384455</v>
      </c>
      <c r="Z19">
        <f t="shared" si="0"/>
        <v>0.82674552222938491</v>
      </c>
      <c r="AA19" s="5">
        <f t="shared" si="17"/>
        <v>318511.84126802749</v>
      </c>
      <c r="AB19">
        <f t="shared" si="1"/>
        <v>0.87480534485356909</v>
      </c>
      <c r="AC19">
        <f t="shared" si="12"/>
        <v>39875.980127605442</v>
      </c>
      <c r="AD19">
        <f t="shared" si="13"/>
        <v>278635.86114042206</v>
      </c>
    </row>
    <row r="20" spans="1:30" x14ac:dyDescent="0.35">
      <c r="A20">
        <v>1968</v>
      </c>
      <c r="B20">
        <v>57947</v>
      </c>
      <c r="C20">
        <v>25803</v>
      </c>
      <c r="D20">
        <v>83750</v>
      </c>
      <c r="F20">
        <v>240817.70584552799</v>
      </c>
      <c r="G20">
        <v>7200</v>
      </c>
      <c r="I20">
        <v>331768</v>
      </c>
      <c r="N20">
        <f t="shared" si="2"/>
        <v>1968</v>
      </c>
      <c r="O20">
        <f t="shared" si="14"/>
        <v>305965</v>
      </c>
      <c r="P20">
        <f t="shared" si="3"/>
        <v>248017.70584552799</v>
      </c>
      <c r="Q20">
        <f t="shared" si="4"/>
        <v>0.810608095192352</v>
      </c>
      <c r="R20">
        <f t="shared" si="15"/>
        <v>0.99999492375828214</v>
      </c>
      <c r="S20" s="3">
        <f t="shared" si="5"/>
        <v>5.0762417178606967E-6</v>
      </c>
      <c r="T20">
        <f t="shared" si="6"/>
        <v>0.29415447200881317</v>
      </c>
      <c r="U20">
        <f t="shared" si="7"/>
        <v>0</v>
      </c>
      <c r="V20">
        <f t="shared" si="8"/>
        <v>5.0762417175973033E-6</v>
      </c>
      <c r="W20">
        <f t="shared" si="9"/>
        <v>57947</v>
      </c>
      <c r="X20">
        <f t="shared" si="10"/>
        <v>299866</v>
      </c>
      <c r="Y20">
        <f t="shared" si="16"/>
        <v>1.6438069085247298</v>
      </c>
      <c r="Z20">
        <f t="shared" si="0"/>
        <v>0.12056271679731467</v>
      </c>
      <c r="AA20" s="5">
        <f t="shared" si="17"/>
        <v>305964.98069620953</v>
      </c>
      <c r="AB20">
        <f t="shared" si="1"/>
        <v>0.810608095192352</v>
      </c>
      <c r="AC20">
        <f t="shared" si="12"/>
        <v>57946.99634403691</v>
      </c>
      <c r="AD20">
        <f t="shared" si="13"/>
        <v>248017.69019771914</v>
      </c>
    </row>
    <row r="21" spans="1:30" x14ac:dyDescent="0.35">
      <c r="A21">
        <v>1969</v>
      </c>
      <c r="B21">
        <v>37382</v>
      </c>
      <c r="C21">
        <v>27145</v>
      </c>
      <c r="D21">
        <v>64527</v>
      </c>
      <c r="F21">
        <v>191276</v>
      </c>
      <c r="G21">
        <v>4279</v>
      </c>
      <c r="I21">
        <v>260082</v>
      </c>
      <c r="N21">
        <f t="shared" si="2"/>
        <v>1969</v>
      </c>
      <c r="O21">
        <f t="shared" si="14"/>
        <v>232937</v>
      </c>
      <c r="P21">
        <f t="shared" si="3"/>
        <v>195555</v>
      </c>
      <c r="Q21">
        <f t="shared" si="4"/>
        <v>0.83951883985798736</v>
      </c>
      <c r="R21">
        <f t="shared" si="15"/>
        <v>1</v>
      </c>
      <c r="S21" s="3">
        <f t="shared" si="5"/>
        <v>0</v>
      </c>
      <c r="T21">
        <f t="shared" si="6"/>
        <v>0</v>
      </c>
      <c r="U21">
        <f t="shared" si="7"/>
        <v>0</v>
      </c>
      <c r="V21">
        <f t="shared" si="8"/>
        <v>0</v>
      </c>
      <c r="W21">
        <f t="shared" si="9"/>
        <v>37382</v>
      </c>
      <c r="X21">
        <f t="shared" si="10"/>
        <v>533922</v>
      </c>
      <c r="Y21">
        <f t="shared" si="16"/>
        <v>2.6590604557315944</v>
      </c>
      <c r="Z21">
        <f t="shared" si="0"/>
        <v>0.9706075380144874</v>
      </c>
      <c r="AA21" s="5">
        <f t="shared" si="17"/>
        <v>232936.99999999997</v>
      </c>
      <c r="AB21">
        <f t="shared" si="1"/>
        <v>0.83951883985798736</v>
      </c>
      <c r="AC21">
        <f t="shared" si="12"/>
        <v>37381.999999999993</v>
      </c>
      <c r="AD21">
        <f t="shared" si="13"/>
        <v>195554.99999999997</v>
      </c>
    </row>
    <row r="22" spans="1:30" x14ac:dyDescent="0.35">
      <c r="A22">
        <v>1970</v>
      </c>
      <c r="B22">
        <v>30656</v>
      </c>
      <c r="C22">
        <v>42104</v>
      </c>
      <c r="D22">
        <v>72760</v>
      </c>
      <c r="F22">
        <v>159314</v>
      </c>
      <c r="G22">
        <v>6610</v>
      </c>
      <c r="I22">
        <v>238684</v>
      </c>
      <c r="N22">
        <f t="shared" si="2"/>
        <v>1970</v>
      </c>
      <c r="O22">
        <f t="shared" si="14"/>
        <v>196580</v>
      </c>
      <c r="P22">
        <f t="shared" si="3"/>
        <v>165924</v>
      </c>
      <c r="Q22">
        <f t="shared" si="4"/>
        <v>0.84405331162885344</v>
      </c>
      <c r="R22">
        <f t="shared" si="15"/>
        <v>1</v>
      </c>
      <c r="S22" s="3">
        <f t="shared" si="5"/>
        <v>0</v>
      </c>
      <c r="T22">
        <f t="shared" si="6"/>
        <v>0</v>
      </c>
      <c r="U22">
        <f t="shared" si="7"/>
        <v>0</v>
      </c>
      <c r="V22">
        <f t="shared" si="8"/>
        <v>0</v>
      </c>
      <c r="W22">
        <f t="shared" si="9"/>
        <v>30656</v>
      </c>
      <c r="X22">
        <f t="shared" si="10"/>
        <v>825149</v>
      </c>
      <c r="Y22">
        <f t="shared" si="16"/>
        <v>3.2927355742995257</v>
      </c>
      <c r="Z22">
        <f t="shared" si="0"/>
        <v>1.5502494014884887</v>
      </c>
      <c r="AA22" s="5">
        <f t="shared" si="17"/>
        <v>196579.99999999991</v>
      </c>
      <c r="AB22">
        <f t="shared" si="1"/>
        <v>0.84405331162885344</v>
      </c>
      <c r="AC22">
        <f t="shared" si="12"/>
        <v>30655.999999999978</v>
      </c>
      <c r="AD22">
        <f t="shared" si="13"/>
        <v>165923.99999999994</v>
      </c>
    </row>
    <row r="23" spans="1:30" x14ac:dyDescent="0.35">
      <c r="A23">
        <v>1971</v>
      </c>
      <c r="B23">
        <v>24629</v>
      </c>
      <c r="C23">
        <v>8043</v>
      </c>
      <c r="D23">
        <v>32672</v>
      </c>
      <c r="F23">
        <v>452003</v>
      </c>
      <c r="G23">
        <v>6813</v>
      </c>
      <c r="I23">
        <v>491488</v>
      </c>
      <c r="N23">
        <f t="shared" si="2"/>
        <v>1971</v>
      </c>
      <c r="O23">
        <f t="shared" si="14"/>
        <v>483445</v>
      </c>
      <c r="P23">
        <f t="shared" si="3"/>
        <v>458816</v>
      </c>
      <c r="Q23">
        <f t="shared" si="4"/>
        <v>0.94905521827715666</v>
      </c>
      <c r="R23">
        <f t="shared" si="15"/>
        <v>1</v>
      </c>
      <c r="S23" s="3">
        <f t="shared" si="5"/>
        <v>0</v>
      </c>
      <c r="T23">
        <f t="shared" si="6"/>
        <v>0</v>
      </c>
      <c r="U23">
        <f t="shared" si="7"/>
        <v>0</v>
      </c>
      <c r="V23">
        <f t="shared" si="8"/>
        <v>0</v>
      </c>
      <c r="W23">
        <f t="shared" si="9"/>
        <v>24629</v>
      </c>
      <c r="X23">
        <f t="shared" si="10"/>
        <v>322766</v>
      </c>
      <c r="Y23">
        <f t="shared" si="16"/>
        <v>2.5730029920566784</v>
      </c>
      <c r="Z23">
        <f t="shared" si="0"/>
        <v>0.78209897380241866</v>
      </c>
      <c r="AA23" s="5">
        <f t="shared" si="17"/>
        <v>483444.83625227446</v>
      </c>
      <c r="AB23">
        <f t="shared" si="1"/>
        <v>0.94905521827715666</v>
      </c>
      <c r="AC23">
        <f t="shared" si="12"/>
        <v>24628.99165790786</v>
      </c>
      <c r="AD23">
        <f t="shared" si="13"/>
        <v>458815.84459436662</v>
      </c>
    </row>
    <row r="24" spans="1:30" x14ac:dyDescent="0.35">
      <c r="A24">
        <v>1972</v>
      </c>
      <c r="B24">
        <v>54516</v>
      </c>
      <c r="C24">
        <v>58581</v>
      </c>
      <c r="D24">
        <v>113097</v>
      </c>
      <c r="F24">
        <v>240050.683811353</v>
      </c>
      <c r="G24">
        <v>5298.9935432155298</v>
      </c>
      <c r="I24">
        <v>358447</v>
      </c>
      <c r="N24">
        <f t="shared" si="2"/>
        <v>1972</v>
      </c>
      <c r="O24">
        <f t="shared" si="14"/>
        <v>299866</v>
      </c>
      <c r="P24">
        <f t="shared" si="3"/>
        <v>245349.67735456853</v>
      </c>
      <c r="Q24">
        <f t="shared" si="4"/>
        <v>0.81819771949660358</v>
      </c>
      <c r="R24">
        <f t="shared" si="15"/>
        <v>0.99999408167286752</v>
      </c>
      <c r="S24" s="3">
        <f t="shared" si="5"/>
        <v>5.9183271324814157E-6</v>
      </c>
      <c r="T24">
        <f t="shared" si="6"/>
        <v>0.32264543150085956</v>
      </c>
      <c r="U24">
        <f t="shared" si="7"/>
        <v>0</v>
      </c>
      <c r="V24">
        <f t="shared" si="8"/>
        <v>5.9183271329453399E-6</v>
      </c>
      <c r="W24">
        <f t="shared" si="9"/>
        <v>54516</v>
      </c>
      <c r="X24">
        <f t="shared" si="10"/>
        <v>500054</v>
      </c>
      <c r="Y24">
        <f t="shared" si="16"/>
        <v>2.2162218560253448</v>
      </c>
      <c r="Z24">
        <f t="shared" si="0"/>
        <v>0.66541475941727657</v>
      </c>
      <c r="AA24" s="5">
        <f t="shared" si="17"/>
        <v>299865.98988811165</v>
      </c>
      <c r="AB24">
        <f t="shared" si="1"/>
        <v>0.81819771949660358</v>
      </c>
      <c r="AC24">
        <f t="shared" si="12"/>
        <v>54515.998161646516</v>
      </c>
      <c r="AD24">
        <f t="shared" si="13"/>
        <v>245349.66908104456</v>
      </c>
    </row>
    <row r="25" spans="1:30" x14ac:dyDescent="0.35">
      <c r="A25">
        <v>1973</v>
      </c>
      <c r="B25">
        <v>56653</v>
      </c>
      <c r="C25">
        <v>82642</v>
      </c>
      <c r="D25">
        <v>139295</v>
      </c>
      <c r="F25">
        <v>469938.64109811198</v>
      </c>
      <c r="G25">
        <v>7330.3165642059303</v>
      </c>
      <c r="I25">
        <v>616564</v>
      </c>
      <c r="N25">
        <f t="shared" si="2"/>
        <v>1973</v>
      </c>
      <c r="O25">
        <f t="shared" si="14"/>
        <v>533922</v>
      </c>
      <c r="P25">
        <f t="shared" si="3"/>
        <v>477268.9576623179</v>
      </c>
      <c r="Q25">
        <f t="shared" si="4"/>
        <v>0.89389266159161429</v>
      </c>
      <c r="R25">
        <f t="shared" si="15"/>
        <v>0.99999925268475676</v>
      </c>
      <c r="S25" s="3">
        <f t="shared" si="5"/>
        <v>7.4731524324356258E-7</v>
      </c>
      <c r="T25">
        <f t="shared" si="6"/>
        <v>4.2337682098150253E-2</v>
      </c>
      <c r="U25">
        <f t="shared" si="7"/>
        <v>0</v>
      </c>
      <c r="V25">
        <f t="shared" si="8"/>
        <v>7.4731524294485853E-7</v>
      </c>
      <c r="W25">
        <f t="shared" si="9"/>
        <v>56653</v>
      </c>
      <c r="X25">
        <f t="shared" si="10"/>
        <v>229218</v>
      </c>
      <c r="Y25">
        <f t="shared" si="16"/>
        <v>1.3977285729645206</v>
      </c>
      <c r="Z25">
        <f t="shared" si="0"/>
        <v>-0.13591095508337392</v>
      </c>
      <c r="AA25" s="5">
        <f t="shared" si="17"/>
        <v>533921.99999999988</v>
      </c>
      <c r="AB25">
        <f t="shared" si="1"/>
        <v>0.89389266159161429</v>
      </c>
      <c r="AC25">
        <f t="shared" si="12"/>
        <v>56652.999999999993</v>
      </c>
      <c r="AD25">
        <f t="shared" si="13"/>
        <v>477268.95766231779</v>
      </c>
    </row>
    <row r="26" spans="1:30" x14ac:dyDescent="0.35">
      <c r="A26">
        <v>1974</v>
      </c>
      <c r="B26">
        <v>119637</v>
      </c>
      <c r="C26">
        <v>53826</v>
      </c>
      <c r="D26">
        <v>173463</v>
      </c>
      <c r="F26">
        <v>681483.32523025596</v>
      </c>
      <c r="G26">
        <v>24028.399907897801</v>
      </c>
      <c r="I26">
        <v>878975</v>
      </c>
      <c r="N26">
        <f t="shared" si="2"/>
        <v>1974</v>
      </c>
      <c r="O26">
        <f t="shared" si="14"/>
        <v>825149</v>
      </c>
      <c r="P26">
        <f t="shared" si="3"/>
        <v>705511.72513815376</v>
      </c>
      <c r="Q26">
        <f t="shared" si="4"/>
        <v>0.85501130721621643</v>
      </c>
      <c r="R26">
        <f t="shared" si="15"/>
        <v>0.99999770254006071</v>
      </c>
      <c r="S26" s="3">
        <f t="shared" si="5"/>
        <v>2.2974599392933115E-6</v>
      </c>
      <c r="T26">
        <f t="shared" si="6"/>
        <v>0.27486184623558074</v>
      </c>
      <c r="U26">
        <f t="shared" si="7"/>
        <v>0</v>
      </c>
      <c r="V26">
        <f t="shared" si="8"/>
        <v>2.2974599392453855E-6</v>
      </c>
      <c r="W26">
        <f t="shared" si="9"/>
        <v>119637</v>
      </c>
      <c r="X26">
        <f t="shared" si="10"/>
        <v>466382</v>
      </c>
      <c r="Y26">
        <f t="shared" si="16"/>
        <v>1.3605428825878638</v>
      </c>
      <c r="Z26">
        <f t="shared" si="0"/>
        <v>0.33288470137851833</v>
      </c>
      <c r="AA26" s="5">
        <f t="shared" si="17"/>
        <v>825148.9999999993</v>
      </c>
      <c r="AB26">
        <f t="shared" si="1"/>
        <v>0.85501130721621643</v>
      </c>
      <c r="AC26">
        <f t="shared" si="12"/>
        <v>119636.99999999988</v>
      </c>
      <c r="AD26">
        <f t="shared" si="13"/>
        <v>705511.72513815318</v>
      </c>
    </row>
    <row r="27" spans="1:30" x14ac:dyDescent="0.35">
      <c r="A27">
        <v>1975</v>
      </c>
      <c r="B27">
        <v>61538</v>
      </c>
      <c r="C27">
        <v>31390</v>
      </c>
      <c r="D27">
        <v>92928</v>
      </c>
      <c r="F27">
        <v>249754.741215432</v>
      </c>
      <c r="G27">
        <v>11473.444032138401</v>
      </c>
      <c r="I27">
        <v>354156</v>
      </c>
      <c r="N27">
        <f t="shared" si="2"/>
        <v>1975</v>
      </c>
      <c r="O27">
        <f t="shared" si="14"/>
        <v>322766</v>
      </c>
      <c r="P27">
        <f t="shared" si="3"/>
        <v>261228.18524757039</v>
      </c>
      <c r="Q27">
        <f t="shared" si="4"/>
        <v>0.80934232616685275</v>
      </c>
      <c r="R27">
        <f t="shared" si="15"/>
        <v>1</v>
      </c>
      <c r="S27" s="3">
        <f t="shared" si="5"/>
        <v>0</v>
      </c>
      <c r="T27">
        <f t="shared" si="6"/>
        <v>-0.1852475703926757</v>
      </c>
      <c r="U27">
        <f t="shared" si="7"/>
        <v>0</v>
      </c>
      <c r="V27">
        <f t="shared" si="8"/>
        <v>-3.0103046580048056E-6</v>
      </c>
      <c r="W27">
        <f t="shared" si="9"/>
        <v>61538</v>
      </c>
      <c r="X27">
        <f t="shared" si="10"/>
        <v>335121</v>
      </c>
      <c r="Y27">
        <f t="shared" si="16"/>
        <v>1.6948367904617911</v>
      </c>
      <c r="Z27">
        <f t="shared" si="0"/>
        <v>0.2004408620472371</v>
      </c>
      <c r="AA27" s="5">
        <f t="shared" si="17"/>
        <v>322765.91230639844</v>
      </c>
      <c r="AB27">
        <f t="shared" si="1"/>
        <v>0.80934232616685275</v>
      </c>
      <c r="AC27">
        <f t="shared" si="12"/>
        <v>61537.798032971521</v>
      </c>
      <c r="AD27">
        <f t="shared" si="13"/>
        <v>261228.11427342691</v>
      </c>
    </row>
    <row r="28" spans="1:30" x14ac:dyDescent="0.35">
      <c r="A28">
        <v>1976</v>
      </c>
      <c r="B28">
        <v>77305</v>
      </c>
      <c r="C28">
        <v>30816</v>
      </c>
      <c r="D28">
        <v>108121</v>
      </c>
      <c r="F28">
        <v>408731.15002632001</v>
      </c>
      <c r="G28">
        <v>14018.2554557124</v>
      </c>
      <c r="I28">
        <v>530870</v>
      </c>
      <c r="N28">
        <f t="shared" si="2"/>
        <v>1976</v>
      </c>
      <c r="O28">
        <f t="shared" si="14"/>
        <v>500054</v>
      </c>
      <c r="P28">
        <f t="shared" si="3"/>
        <v>422749.40548203239</v>
      </c>
      <c r="Q28">
        <f t="shared" si="4"/>
        <v>0.84540750695331379</v>
      </c>
      <c r="R28">
        <f t="shared" si="15"/>
        <v>1</v>
      </c>
      <c r="S28" s="3">
        <f t="shared" si="5"/>
        <v>0</v>
      </c>
      <c r="T28">
        <f t="shared" si="6"/>
        <v>-0.40548203239450231</v>
      </c>
      <c r="U28">
        <f t="shared" si="7"/>
        <v>0</v>
      </c>
      <c r="V28">
        <f t="shared" si="8"/>
        <v>-5.2452513970596881E-6</v>
      </c>
      <c r="W28">
        <f t="shared" si="9"/>
        <v>77305</v>
      </c>
      <c r="X28">
        <f t="shared" si="10"/>
        <v>542517</v>
      </c>
      <c r="Y28">
        <f t="shared" si="16"/>
        <v>1.9484607847746118</v>
      </c>
      <c r="Z28">
        <f t="shared" si="0"/>
        <v>0.58072889636392233</v>
      </c>
      <c r="AA28" s="5">
        <f t="shared" si="17"/>
        <v>500053.99052249512</v>
      </c>
      <c r="AB28">
        <f t="shared" si="1"/>
        <v>0.84540750695331379</v>
      </c>
      <c r="AC28">
        <f t="shared" si="12"/>
        <v>77304.593052816519</v>
      </c>
      <c r="AD28">
        <f t="shared" si="13"/>
        <v>422749.3974696786</v>
      </c>
    </row>
    <row r="29" spans="1:30" x14ac:dyDescent="0.35">
      <c r="A29">
        <v>1977</v>
      </c>
      <c r="B29">
        <v>23845</v>
      </c>
      <c r="C29">
        <v>19294</v>
      </c>
      <c r="D29">
        <v>43139</v>
      </c>
      <c r="E29">
        <v>5865.2561213234703</v>
      </c>
      <c r="F29">
        <v>185454.65854940601</v>
      </c>
      <c r="G29">
        <v>19918.602751200899</v>
      </c>
      <c r="I29">
        <v>248512</v>
      </c>
      <c r="N29">
        <f t="shared" si="2"/>
        <v>1977</v>
      </c>
      <c r="O29">
        <f t="shared" si="14"/>
        <v>229218</v>
      </c>
      <c r="P29">
        <f t="shared" si="3"/>
        <v>205373.26130060692</v>
      </c>
      <c r="Q29">
        <f t="shared" si="4"/>
        <v>0.89597353305851601</v>
      </c>
      <c r="R29">
        <f t="shared" si="15"/>
        <v>1</v>
      </c>
      <c r="S29" s="3">
        <f t="shared" si="5"/>
        <v>0</v>
      </c>
      <c r="T29">
        <f t="shared" si="6"/>
        <v>-0.26130060691502877</v>
      </c>
      <c r="U29">
        <f t="shared" si="7"/>
        <v>-5865.2561213234703</v>
      </c>
      <c r="V29">
        <f t="shared" si="8"/>
        <v>-1.0958417712569843E-5</v>
      </c>
      <c r="W29">
        <f t="shared" si="9"/>
        <v>23845</v>
      </c>
      <c r="X29">
        <f t="shared" si="10"/>
        <v>499225</v>
      </c>
      <c r="Y29">
        <f t="shared" si="16"/>
        <v>3.0414823441792675</v>
      </c>
      <c r="Z29">
        <f t="shared" si="0"/>
        <v>1.2442800696071903</v>
      </c>
      <c r="AA29" s="5">
        <f t="shared" si="17"/>
        <v>229218</v>
      </c>
      <c r="AB29">
        <f t="shared" si="1"/>
        <v>0.89597353305851601</v>
      </c>
      <c r="AC29">
        <f t="shared" si="12"/>
        <v>23844.738699393078</v>
      </c>
      <c r="AD29">
        <f t="shared" si="13"/>
        <v>205373.26130060692</v>
      </c>
    </row>
    <row r="30" spans="1:30" x14ac:dyDescent="0.35">
      <c r="A30">
        <v>1978</v>
      </c>
      <c r="B30">
        <v>94782</v>
      </c>
      <c r="C30">
        <v>5075</v>
      </c>
      <c r="D30">
        <v>99857</v>
      </c>
      <c r="E30">
        <v>-1106.6805415501101</v>
      </c>
      <c r="F30">
        <v>348925.72416397999</v>
      </c>
      <c r="G30">
        <v>21567.104371374899</v>
      </c>
      <c r="I30">
        <v>471457</v>
      </c>
      <c r="N30">
        <f t="shared" si="2"/>
        <v>1978</v>
      </c>
      <c r="O30">
        <f t="shared" si="14"/>
        <v>466382</v>
      </c>
      <c r="P30">
        <f t="shared" si="3"/>
        <v>370492.82853535487</v>
      </c>
      <c r="Q30">
        <f t="shared" si="4"/>
        <v>0.79439778665419092</v>
      </c>
      <c r="R30">
        <f t="shared" si="15"/>
        <v>0.98845363404716291</v>
      </c>
      <c r="S30" s="3">
        <f t="shared" si="5"/>
        <v>1.154636595283709E-2</v>
      </c>
      <c r="T30">
        <f t="shared" si="6"/>
        <v>1107.1714646451292</v>
      </c>
      <c r="U30">
        <f t="shared" si="7"/>
        <v>1106.6805415501101</v>
      </c>
      <c r="V30">
        <f t="shared" si="8"/>
        <v>1.1546365952837015E-2</v>
      </c>
      <c r="W30">
        <f t="shared" si="9"/>
        <v>94782</v>
      </c>
      <c r="X30">
        <f t="shared" si="10"/>
        <v>664903</v>
      </c>
      <c r="Y30">
        <f t="shared" si="16"/>
        <v>1.9480616475399006</v>
      </c>
      <c r="Z30">
        <f t="shared" si="0"/>
        <v>0.72073106737729487</v>
      </c>
      <c r="AA30" s="5">
        <f t="shared" si="17"/>
        <v>466381.99999999994</v>
      </c>
      <c r="AB30">
        <f t="shared" si="1"/>
        <v>0.79439778665419092</v>
      </c>
      <c r="AC30">
        <f t="shared" si="12"/>
        <v>94781.999999999985</v>
      </c>
      <c r="AD30">
        <f t="shared" si="13"/>
        <v>370492.82853535481</v>
      </c>
    </row>
    <row r="31" spans="1:30" x14ac:dyDescent="0.35">
      <c r="A31">
        <v>1979</v>
      </c>
      <c r="B31">
        <v>60988</v>
      </c>
      <c r="C31">
        <v>17100</v>
      </c>
      <c r="D31">
        <v>78088</v>
      </c>
      <c r="E31">
        <v>33313.460260956803</v>
      </c>
      <c r="F31">
        <v>257827.43432949699</v>
      </c>
      <c r="G31">
        <v>16305.529118803801</v>
      </c>
      <c r="I31">
        <v>352221</v>
      </c>
      <c r="N31">
        <f t="shared" si="2"/>
        <v>1979</v>
      </c>
      <c r="O31">
        <f t="shared" si="14"/>
        <v>335121</v>
      </c>
      <c r="P31">
        <f t="shared" si="3"/>
        <v>274132.96344830078</v>
      </c>
      <c r="Q31">
        <f t="shared" si="4"/>
        <v>0.81801189256507589</v>
      </c>
      <c r="R31">
        <f t="shared" si="15"/>
        <v>0.99999940067427529</v>
      </c>
      <c r="S31" s="3">
        <f t="shared" si="5"/>
        <v>5.9932572471499412E-7</v>
      </c>
      <c r="T31">
        <f t="shared" si="6"/>
        <v>3.6551699216943234E-2</v>
      </c>
      <c r="U31">
        <f t="shared" si="7"/>
        <v>-33313.460260956803</v>
      </c>
      <c r="V31">
        <f t="shared" si="8"/>
        <v>5.993257249060406E-7</v>
      </c>
      <c r="W31">
        <f t="shared" si="9"/>
        <v>60988</v>
      </c>
      <c r="X31">
        <f t="shared" si="10"/>
        <v>526605</v>
      </c>
      <c r="Y31">
        <f t="shared" si="16"/>
        <v>2.1557736183802412</v>
      </c>
      <c r="Z31">
        <f t="shared" si="0"/>
        <v>0.65695927035497315</v>
      </c>
      <c r="AA31" s="5">
        <f t="shared" si="17"/>
        <v>335120.44386914955</v>
      </c>
      <c r="AB31">
        <f t="shared" si="1"/>
        <v>0.81801189256507589</v>
      </c>
      <c r="AC31">
        <f t="shared" si="12"/>
        <v>60987.89879085969</v>
      </c>
      <c r="AD31">
        <f t="shared" si="13"/>
        <v>274132.50852665131</v>
      </c>
    </row>
    <row r="32" spans="1:30" x14ac:dyDescent="0.35">
      <c r="A32">
        <v>1980</v>
      </c>
      <c r="B32">
        <v>78613</v>
      </c>
      <c r="C32">
        <v>12309</v>
      </c>
      <c r="D32">
        <v>90922</v>
      </c>
      <c r="E32">
        <v>-35032.083588916903</v>
      </c>
      <c r="F32">
        <v>409592.97103027999</v>
      </c>
      <c r="G32">
        <v>19278.727638280201</v>
      </c>
      <c r="I32">
        <v>554826</v>
      </c>
      <c r="N32">
        <f t="shared" si="2"/>
        <v>1980</v>
      </c>
      <c r="O32">
        <f t="shared" si="14"/>
        <v>542517</v>
      </c>
      <c r="P32">
        <f t="shared" si="3"/>
        <v>428871.69866856019</v>
      </c>
      <c r="Q32">
        <f t="shared" si="4"/>
        <v>0.7905221378658368</v>
      </c>
      <c r="R32">
        <f t="shared" si="15"/>
        <v>0.69173999346202464</v>
      </c>
      <c r="S32" s="3">
        <f t="shared" si="5"/>
        <v>0.30826000653797536</v>
      </c>
      <c r="T32">
        <f>O32-(P32+B32)</f>
        <v>35032.301331439812</v>
      </c>
      <c r="U32">
        <f t="shared" si="7"/>
        <v>35032.083588916903</v>
      </c>
      <c r="V32">
        <f t="shared" si="8"/>
        <v>0.30826000653797531</v>
      </c>
      <c r="W32">
        <f t="shared" si="9"/>
        <v>78613</v>
      </c>
      <c r="X32">
        <f t="shared" si="10"/>
        <v>326666</v>
      </c>
      <c r="Y32">
        <f t="shared" si="16"/>
        <v>1.4244011620170487</v>
      </c>
      <c r="Z32">
        <f t="shared" si="0"/>
        <v>6.7177078789656619E-2</v>
      </c>
      <c r="AA32" s="5">
        <f t="shared" si="17"/>
        <v>542515.91768813191</v>
      </c>
      <c r="AB32">
        <f t="shared" si="1"/>
        <v>0.7905221378658368</v>
      </c>
      <c r="AC32">
        <f t="shared" si="12"/>
        <v>78612.84316844838</v>
      </c>
      <c r="AD32">
        <f t="shared" si="13"/>
        <v>428870.84307706839</v>
      </c>
    </row>
    <row r="33" spans="1:30" x14ac:dyDescent="0.35">
      <c r="A33">
        <v>1981</v>
      </c>
      <c r="B33">
        <v>49023</v>
      </c>
      <c r="C33">
        <v>16472</v>
      </c>
      <c r="D33">
        <v>65495</v>
      </c>
      <c r="E33">
        <v>-32204.063341025601</v>
      </c>
      <c r="F33">
        <v>408972.81974229001</v>
      </c>
      <c r="G33">
        <v>9025.0034609521208</v>
      </c>
      <c r="I33">
        <v>515697</v>
      </c>
      <c r="N33">
        <f t="shared" si="2"/>
        <v>1981</v>
      </c>
      <c r="O33">
        <f t="shared" si="14"/>
        <v>499225</v>
      </c>
      <c r="P33">
        <f t="shared" si="3"/>
        <v>417997.82320324215</v>
      </c>
      <c r="Q33">
        <f t="shared" si="4"/>
        <v>0.83729345125593102</v>
      </c>
      <c r="R33">
        <f t="shared" si="15"/>
        <v>0.60352953202673343</v>
      </c>
      <c r="S33" s="3">
        <f t="shared" si="5"/>
        <v>0.39647046797326657</v>
      </c>
      <c r="T33">
        <f t="shared" si="6"/>
        <v>32204.176796757849</v>
      </c>
      <c r="U33">
        <f t="shared" si="7"/>
        <v>32204.063341025601</v>
      </c>
      <c r="V33">
        <f t="shared" si="8"/>
        <v>0.39647046797326663</v>
      </c>
      <c r="W33">
        <f t="shared" si="9"/>
        <v>49023</v>
      </c>
      <c r="X33">
        <f t="shared" si="10"/>
        <v>128142</v>
      </c>
      <c r="Y33">
        <f t="shared" si="16"/>
        <v>0.96084944828014418</v>
      </c>
      <c r="Z33">
        <f t="shared" si="0"/>
        <v>-0.6340856100036536</v>
      </c>
      <c r="AA33" s="5">
        <f t="shared" si="17"/>
        <v>499220.57728456991</v>
      </c>
      <c r="AB33">
        <f t="shared" si="1"/>
        <v>0.83729345125593102</v>
      </c>
      <c r="AC33">
        <f t="shared" si="12"/>
        <v>49022.565697273705</v>
      </c>
      <c r="AD33">
        <f t="shared" si="13"/>
        <v>417994.12009257579</v>
      </c>
    </row>
    <row r="34" spans="1:30" x14ac:dyDescent="0.35">
      <c r="A34">
        <v>1982</v>
      </c>
      <c r="B34">
        <v>119738</v>
      </c>
      <c r="C34">
        <v>9033</v>
      </c>
      <c r="D34">
        <v>128771</v>
      </c>
      <c r="E34">
        <v>-34097.791604205602</v>
      </c>
      <c r="F34">
        <v>489836.120076021</v>
      </c>
      <c r="G34">
        <v>21231.4290998488</v>
      </c>
      <c r="I34">
        <v>673936</v>
      </c>
      <c r="N34">
        <f t="shared" si="2"/>
        <v>1982</v>
      </c>
      <c r="O34">
        <f t="shared" si="14"/>
        <v>664903</v>
      </c>
      <c r="P34">
        <f t="shared" si="3"/>
        <v>511067.54917586979</v>
      </c>
      <c r="Q34">
        <f t="shared" si="4"/>
        <v>0.76863474698695866</v>
      </c>
      <c r="R34">
        <f t="shared" si="15"/>
        <v>0.77835114961172669</v>
      </c>
      <c r="S34" s="3">
        <f t="shared" si="5"/>
        <v>0.22164885038827331</v>
      </c>
      <c r="T34">
        <f t="shared" si="6"/>
        <v>34097.45082413021</v>
      </c>
      <c r="U34">
        <f t="shared" si="7"/>
        <v>34097.791604205602</v>
      </c>
      <c r="V34">
        <f t="shared" si="8"/>
        <v>0.22164885038827328</v>
      </c>
      <c r="W34">
        <f t="shared" si="9"/>
        <v>119738</v>
      </c>
      <c r="X34">
        <f t="shared" si="10"/>
        <v>1640130</v>
      </c>
      <c r="Y34">
        <f t="shared" si="16"/>
        <v>2.6172247634678385</v>
      </c>
      <c r="Z34">
        <f t="shared" si="0"/>
        <v>1.5903779647688241</v>
      </c>
      <c r="AA34" s="5">
        <f t="shared" si="17"/>
        <v>664903</v>
      </c>
      <c r="AB34">
        <f t="shared" si="1"/>
        <v>0.76863474698695866</v>
      </c>
      <c r="AC34">
        <f t="shared" si="12"/>
        <v>119738.00000000001</v>
      </c>
      <c r="AD34">
        <f t="shared" si="13"/>
        <v>511067.54917586979</v>
      </c>
    </row>
    <row r="35" spans="1:30" x14ac:dyDescent="0.35">
      <c r="A35">
        <v>1983</v>
      </c>
      <c r="B35">
        <v>44029</v>
      </c>
      <c r="C35">
        <v>4812</v>
      </c>
      <c r="D35">
        <v>48841</v>
      </c>
      <c r="E35">
        <v>-62722.097496869501</v>
      </c>
      <c r="F35">
        <v>397752.39029373199</v>
      </c>
      <c r="G35">
        <v>12636.490054031699</v>
      </c>
      <c r="H35">
        <v>9464.8647447989497</v>
      </c>
      <c r="I35">
        <v>531417</v>
      </c>
      <c r="N35">
        <f t="shared" si="2"/>
        <v>1983</v>
      </c>
      <c r="O35">
        <f t="shared" si="14"/>
        <v>526605</v>
      </c>
      <c r="P35">
        <f t="shared" si="3"/>
        <v>410388.88034776371</v>
      </c>
      <c r="Q35">
        <f t="shared" si="4"/>
        <v>0.77931064146326701</v>
      </c>
      <c r="R35">
        <f t="shared" si="15"/>
        <v>0.37885450083647476</v>
      </c>
      <c r="S35" s="3">
        <f t="shared" si="5"/>
        <v>0.62114549916352524</v>
      </c>
      <c r="T35">
        <f t="shared" si="6"/>
        <v>72187.119652236288</v>
      </c>
      <c r="U35">
        <f t="shared" si="7"/>
        <v>62722.097496869501</v>
      </c>
      <c r="V35">
        <f t="shared" si="8"/>
        <v>0.62114549916352524</v>
      </c>
      <c r="W35">
        <f t="shared" si="9"/>
        <v>44029</v>
      </c>
      <c r="X35">
        <f t="shared" si="10"/>
        <v>1047046</v>
      </c>
      <c r="Y35">
        <f t="shared" si="16"/>
        <v>3.1688796372356234</v>
      </c>
      <c r="Z35">
        <f t="shared" si="0"/>
        <v>1.5338253288865435</v>
      </c>
      <c r="AA35" s="5">
        <f t="shared" si="17"/>
        <v>526604.5542651643</v>
      </c>
      <c r="AB35">
        <f t="shared" si="1"/>
        <v>0.77931064146326701</v>
      </c>
      <c r="AC35">
        <f t="shared" si="12"/>
        <v>44028.962732486245</v>
      </c>
      <c r="AD35">
        <f t="shared" si="13"/>
        <v>410388.53298186301</v>
      </c>
    </row>
    <row r="36" spans="1:30" x14ac:dyDescent="0.35">
      <c r="A36">
        <v>1984</v>
      </c>
      <c r="B36">
        <v>40245</v>
      </c>
      <c r="C36">
        <v>2604</v>
      </c>
      <c r="D36">
        <v>42849</v>
      </c>
      <c r="E36">
        <v>-72162.6865269259</v>
      </c>
      <c r="F36">
        <v>201770.92067992</v>
      </c>
      <c r="G36">
        <v>12487.6136346679</v>
      </c>
      <c r="H36">
        <v>0</v>
      </c>
      <c r="I36">
        <v>329270</v>
      </c>
      <c r="N36">
        <f t="shared" si="2"/>
        <v>1984</v>
      </c>
      <c r="O36">
        <f t="shared" si="14"/>
        <v>326666</v>
      </c>
      <c r="P36">
        <f t="shared" si="3"/>
        <v>214258.53431458792</v>
      </c>
      <c r="Q36">
        <f t="shared" si="4"/>
        <v>0.65589481095243429</v>
      </c>
      <c r="R36">
        <f t="shared" si="15"/>
        <v>0.35802782096903796</v>
      </c>
      <c r="S36" s="3">
        <f t="shared" si="5"/>
        <v>0.64197217903096204</v>
      </c>
      <c r="T36">
        <f t="shared" si="6"/>
        <v>72162.465685412084</v>
      </c>
      <c r="U36">
        <f t="shared" si="7"/>
        <v>72162.6865269259</v>
      </c>
      <c r="V36">
        <f t="shared" si="8"/>
        <v>0.64197217903096204</v>
      </c>
      <c r="W36">
        <f t="shared" si="9"/>
        <v>40245</v>
      </c>
      <c r="X36">
        <f t="shared" si="10"/>
        <v>562528</v>
      </c>
      <c r="Y36">
        <f t="shared" si="16"/>
        <v>2.6374551380717834</v>
      </c>
      <c r="Z36">
        <f t="shared" ref="Z36:Z67" si="18">Y36-(ra-rb*W36)</f>
        <v>0.97200210280099242</v>
      </c>
      <c r="AA36" s="5">
        <f t="shared" si="17"/>
        <v>326665.75987455616</v>
      </c>
      <c r="AB36">
        <f t="shared" ref="AB36:AB67" si="19">IF(AND(useretro,N36&gt;=yrretro),retroU,Q36)</f>
        <v>0.65589481095243429</v>
      </c>
      <c r="AC36">
        <f t="shared" si="12"/>
        <v>40244.970416729971</v>
      </c>
      <c r="AD36">
        <f t="shared" si="13"/>
        <v>214258.37681755531</v>
      </c>
    </row>
    <row r="37" spans="1:30" x14ac:dyDescent="0.35">
      <c r="A37">
        <v>1985</v>
      </c>
      <c r="B37">
        <v>11905</v>
      </c>
      <c r="C37">
        <v>25707</v>
      </c>
      <c r="D37">
        <v>37612</v>
      </c>
      <c r="E37">
        <v>19038.864320212098</v>
      </c>
      <c r="F37">
        <v>112586.914207018</v>
      </c>
      <c r="G37">
        <v>3496.6374583143001</v>
      </c>
      <c r="H37">
        <v>153.71501296308401</v>
      </c>
      <c r="I37">
        <v>153849</v>
      </c>
      <c r="N37">
        <f t="shared" si="2"/>
        <v>1985</v>
      </c>
      <c r="O37">
        <f t="shared" si="14"/>
        <v>128142</v>
      </c>
      <c r="P37">
        <f t="shared" si="3"/>
        <v>116083.5516653323</v>
      </c>
      <c r="Q37">
        <f t="shared" si="4"/>
        <v>0.9058977670500874</v>
      </c>
      <c r="R37">
        <f t="shared" si="15"/>
        <v>0.98727462021572532</v>
      </c>
      <c r="S37" s="3">
        <f t="shared" si="5"/>
        <v>1.2725379784274682E-2</v>
      </c>
      <c r="T37">
        <f t="shared" si="6"/>
        <v>153.44833466770069</v>
      </c>
      <c r="U37">
        <f t="shared" si="7"/>
        <v>-19038.864320212098</v>
      </c>
      <c r="V37">
        <f t="shared" si="8"/>
        <v>1.2725379784274651E-2</v>
      </c>
      <c r="W37">
        <f t="shared" si="9"/>
        <v>11905</v>
      </c>
      <c r="X37">
        <f t="shared" si="10"/>
        <v>243397</v>
      </c>
      <c r="Y37">
        <f t="shared" si="16"/>
        <v>3.0177353751483382</v>
      </c>
      <c r="Z37">
        <f t="shared" si="18"/>
        <v>1.1246132275727636</v>
      </c>
      <c r="AA37" s="5">
        <f t="shared" si="17"/>
        <v>128141.31184918043</v>
      </c>
      <c r="AB37">
        <f t="shared" si="19"/>
        <v>0.9058977670500874</v>
      </c>
      <c r="AC37">
        <f t="shared" si="12"/>
        <v>11904.936067522694</v>
      </c>
      <c r="AD37">
        <f t="shared" si="13"/>
        <v>116082.92827104146</v>
      </c>
    </row>
    <row r="38" spans="1:30" x14ac:dyDescent="0.35">
      <c r="A38">
        <v>1986</v>
      </c>
      <c r="B38">
        <v>335630</v>
      </c>
      <c r="C38">
        <v>12664</v>
      </c>
      <c r="D38">
        <v>348294</v>
      </c>
      <c r="E38">
        <v>114870.52606952999</v>
      </c>
      <c r="F38">
        <v>1283883.7305916599</v>
      </c>
      <c r="G38">
        <v>15690.971069011501</v>
      </c>
      <c r="H38">
        <v>4925.6370314527603</v>
      </c>
      <c r="I38">
        <v>1652794</v>
      </c>
      <c r="N38">
        <f t="shared" si="2"/>
        <v>1986</v>
      </c>
      <c r="O38">
        <f t="shared" si="14"/>
        <v>1640130</v>
      </c>
      <c r="P38">
        <f t="shared" si="3"/>
        <v>1299574.7016606715</v>
      </c>
      <c r="Q38">
        <f t="shared" si="4"/>
        <v>0.79236078948660871</v>
      </c>
      <c r="R38">
        <f t="shared" si="15"/>
        <v>0.98553744909168639</v>
      </c>
      <c r="S38" s="3">
        <f t="shared" si="5"/>
        <v>1.4462550908313609E-2</v>
      </c>
      <c r="T38">
        <f t="shared" si="6"/>
        <v>4925.2983393284958</v>
      </c>
      <c r="U38">
        <f t="shared" si="7"/>
        <v>-114870.52606952999</v>
      </c>
      <c r="V38">
        <f t="shared" si="8"/>
        <v>1.4462550908313693E-2</v>
      </c>
      <c r="W38">
        <f t="shared" si="9"/>
        <v>335630</v>
      </c>
      <c r="X38">
        <f t="shared" si="10"/>
        <v>1001073</v>
      </c>
      <c r="Y38">
        <f t="shared" si="16"/>
        <v>1.0928183409977932</v>
      </c>
      <c r="Z38">
        <f t="shared" si="18"/>
        <v>1.8003378088373927</v>
      </c>
      <c r="AA38" s="5">
        <f t="shared" si="17"/>
        <v>1640130</v>
      </c>
      <c r="AB38">
        <f t="shared" si="19"/>
        <v>0.79236078948660871</v>
      </c>
      <c r="AC38">
        <f t="shared" si="12"/>
        <v>335629.99999999994</v>
      </c>
      <c r="AD38">
        <f t="shared" si="13"/>
        <v>1299574.7016606715</v>
      </c>
    </row>
    <row r="39" spans="1:30" x14ac:dyDescent="0.35">
      <c r="A39">
        <v>1987</v>
      </c>
      <c r="B39">
        <v>164849</v>
      </c>
      <c r="C39">
        <v>3992</v>
      </c>
      <c r="D39">
        <v>168841</v>
      </c>
      <c r="E39">
        <v>-125656.057430491</v>
      </c>
      <c r="F39">
        <v>739667.34221818601</v>
      </c>
      <c r="G39">
        <v>16032.243636847101</v>
      </c>
      <c r="H39">
        <v>841.31655902790203</v>
      </c>
      <c r="I39">
        <v>1051038</v>
      </c>
      <c r="N39">
        <f t="shared" si="2"/>
        <v>1987</v>
      </c>
      <c r="O39">
        <f t="shared" si="14"/>
        <v>1047046</v>
      </c>
      <c r="P39">
        <f t="shared" si="3"/>
        <v>755699.58585503313</v>
      </c>
      <c r="Q39">
        <f t="shared" si="4"/>
        <v>0.72174439886598407</v>
      </c>
      <c r="R39">
        <f t="shared" si="15"/>
        <v>0.5658178443135915</v>
      </c>
      <c r="S39" s="3">
        <f t="shared" si="5"/>
        <v>0.4341821556864085</v>
      </c>
      <c r="T39">
        <f t="shared" si="6"/>
        <v>126497.41414496687</v>
      </c>
      <c r="U39">
        <f t="shared" si="7"/>
        <v>125656.057430491</v>
      </c>
      <c r="V39">
        <f t="shared" si="8"/>
        <v>0.43418215568640856</v>
      </c>
      <c r="W39">
        <f t="shared" si="9"/>
        <v>164849</v>
      </c>
      <c r="X39">
        <f t="shared" si="10"/>
        <v>887527</v>
      </c>
      <c r="Y39">
        <f t="shared" si="16"/>
        <v>1.683409040043401</v>
      </c>
      <c r="Z39">
        <f t="shared" si="18"/>
        <v>1.0189610178151378</v>
      </c>
      <c r="AA39" s="5">
        <f t="shared" si="17"/>
        <v>1047045.427220735</v>
      </c>
      <c r="AB39">
        <f t="shared" si="19"/>
        <v>0.72174439886598407</v>
      </c>
      <c r="AC39">
        <f t="shared" si="12"/>
        <v>164848.9098204959</v>
      </c>
      <c r="AD39">
        <f t="shared" si="13"/>
        <v>755699.17245480686</v>
      </c>
    </row>
    <row r="40" spans="1:30" x14ac:dyDescent="0.35">
      <c r="A40">
        <v>1988</v>
      </c>
      <c r="B40">
        <v>166591</v>
      </c>
      <c r="C40">
        <v>10736</v>
      </c>
      <c r="D40">
        <v>177327</v>
      </c>
      <c r="E40">
        <v>-49007.441456336201</v>
      </c>
      <c r="F40">
        <v>331670.82899178303</v>
      </c>
      <c r="G40">
        <v>15258.6885968838</v>
      </c>
      <c r="H40">
        <v>0</v>
      </c>
      <c r="I40">
        <v>573264</v>
      </c>
      <c r="N40">
        <f t="shared" si="2"/>
        <v>1988</v>
      </c>
      <c r="O40">
        <f t="shared" si="14"/>
        <v>562528</v>
      </c>
      <c r="P40">
        <f t="shared" si="3"/>
        <v>346929.51758866681</v>
      </c>
      <c r="Q40">
        <f t="shared" si="4"/>
        <v>0.61673288723168773</v>
      </c>
      <c r="R40">
        <f t="shared" si="15"/>
        <v>0.77269096765795686</v>
      </c>
      <c r="S40" s="3">
        <f t="shared" si="5"/>
        <v>0.22730903234204314</v>
      </c>
      <c r="T40">
        <f t="shared" si="6"/>
        <v>49007.482411333185</v>
      </c>
      <c r="U40">
        <f t="shared" si="7"/>
        <v>49007.441456336201</v>
      </c>
      <c r="V40">
        <f t="shared" si="8"/>
        <v>0.22730903234204328</v>
      </c>
      <c r="W40">
        <f t="shared" si="9"/>
        <v>166591</v>
      </c>
      <c r="X40">
        <f t="shared" si="10"/>
        <v>475210</v>
      </c>
      <c r="Y40">
        <f t="shared" si="16"/>
        <v>1.0482151049331827</v>
      </c>
      <c r="Z40">
        <f t="shared" si="18"/>
        <v>0.39776142263558056</v>
      </c>
      <c r="AA40" s="5">
        <f t="shared" ref="AA40:AA71" si="20">AC36*EXP(ra-rb*AC36+Z36)</f>
        <v>562527.72018584528</v>
      </c>
      <c r="AB40">
        <f t="shared" si="19"/>
        <v>0.61673288723168773</v>
      </c>
      <c r="AC40">
        <f t="shared" si="12"/>
        <v>166590.91713386739</v>
      </c>
      <c r="AD40">
        <f t="shared" si="13"/>
        <v>346929.34501807531</v>
      </c>
    </row>
    <row r="41" spans="1:30" x14ac:dyDescent="0.35">
      <c r="A41">
        <v>1989</v>
      </c>
      <c r="B41">
        <v>29334</v>
      </c>
      <c r="C41">
        <v>17369</v>
      </c>
      <c r="D41">
        <v>46703</v>
      </c>
      <c r="E41">
        <v>15407.4948333301</v>
      </c>
      <c r="F41">
        <v>208465.152528796</v>
      </c>
      <c r="G41">
        <v>3131.9588596906001</v>
      </c>
      <c r="H41">
        <v>2466.2771612092602</v>
      </c>
      <c r="I41">
        <v>260766</v>
      </c>
      <c r="N41">
        <f t="shared" si="2"/>
        <v>1989</v>
      </c>
      <c r="O41">
        <f t="shared" si="14"/>
        <v>243397</v>
      </c>
      <c r="P41">
        <f t="shared" si="3"/>
        <v>211597.11138848661</v>
      </c>
      <c r="Q41">
        <f t="shared" si="4"/>
        <v>0.8693497100970291</v>
      </c>
      <c r="R41">
        <f t="shared" si="15"/>
        <v>0.92245606135171776</v>
      </c>
      <c r="S41" s="3">
        <f t="shared" si="5"/>
        <v>7.754393864828224E-2</v>
      </c>
      <c r="T41">
        <f t="shared" si="6"/>
        <v>2465.8886115133937</v>
      </c>
      <c r="U41">
        <f t="shared" si="7"/>
        <v>-15407.4948333301</v>
      </c>
      <c r="V41">
        <f t="shared" si="8"/>
        <v>7.7543938648281921E-2</v>
      </c>
      <c r="W41">
        <f t="shared" si="9"/>
        <v>29334</v>
      </c>
      <c r="X41">
        <f t="shared" si="10"/>
        <v>1725291</v>
      </c>
      <c r="Y41">
        <f t="shared" si="16"/>
        <v>4.074403758065559</v>
      </c>
      <c r="Z41">
        <f t="shared" si="18"/>
        <v>2.3212973112084061</v>
      </c>
      <c r="AA41" s="5">
        <f t="shared" si="20"/>
        <v>243395.81791268112</v>
      </c>
      <c r="AB41">
        <f t="shared" si="19"/>
        <v>0.8693497100970291</v>
      </c>
      <c r="AC41">
        <f t="shared" si="12"/>
        <v>29333.857535838932</v>
      </c>
      <c r="AD41">
        <f t="shared" si="13"/>
        <v>211596.08374121861</v>
      </c>
    </row>
    <row r="42" spans="1:30" x14ac:dyDescent="0.35">
      <c r="A42">
        <v>1990</v>
      </c>
      <c r="B42">
        <v>166773</v>
      </c>
      <c r="C42">
        <v>3489</v>
      </c>
      <c r="D42">
        <v>170262</v>
      </c>
      <c r="E42">
        <v>-49819.176995376198</v>
      </c>
      <c r="F42">
        <v>767004.49779200403</v>
      </c>
      <c r="G42">
        <v>261.11908334470002</v>
      </c>
      <c r="H42">
        <v>17214.866654603</v>
      </c>
      <c r="I42">
        <v>1004562</v>
      </c>
      <c r="N42" s="5">
        <f t="shared" si="2"/>
        <v>1990</v>
      </c>
      <c r="O42" s="5">
        <f t="shared" si="14"/>
        <v>1001073</v>
      </c>
      <c r="P42" s="5">
        <f t="shared" si="3"/>
        <v>767265.61687534873</v>
      </c>
      <c r="Q42">
        <f t="shared" si="4"/>
        <v>0.7664432232967513</v>
      </c>
      <c r="R42">
        <f t="shared" si="15"/>
        <v>0.71329227405572226</v>
      </c>
      <c r="S42" s="3">
        <f t="shared" si="5"/>
        <v>0.28670772594427774</v>
      </c>
      <c r="T42" s="5">
        <f t="shared" si="6"/>
        <v>67034.383124651271</v>
      </c>
      <c r="U42" s="5">
        <f t="shared" si="7"/>
        <v>49819.176995376198</v>
      </c>
      <c r="V42">
        <f t="shared" si="8"/>
        <v>0.28670772594427779</v>
      </c>
      <c r="W42">
        <f t="shared" si="9"/>
        <v>166773</v>
      </c>
      <c r="X42">
        <f t="shared" si="10"/>
        <v>536297</v>
      </c>
      <c r="Y42">
        <f t="shared" si="16"/>
        <v>1.1680545057706082</v>
      </c>
      <c r="Z42">
        <f t="shared" si="18"/>
        <v>0.51906291868964227</v>
      </c>
      <c r="AA42" s="5">
        <f t="shared" si="20"/>
        <v>1001073.0000000001</v>
      </c>
      <c r="AB42">
        <f t="shared" si="19"/>
        <v>0.3</v>
      </c>
      <c r="AC42">
        <f t="shared" si="12"/>
        <v>499840.34566604893</v>
      </c>
      <c r="AD42">
        <f t="shared" si="13"/>
        <v>300321.90000000002</v>
      </c>
    </row>
    <row r="43" spans="1:30" x14ac:dyDescent="0.35">
      <c r="A43">
        <v>1991</v>
      </c>
      <c r="B43">
        <v>293626</v>
      </c>
      <c r="C43">
        <v>22843</v>
      </c>
      <c r="D43">
        <v>316469</v>
      </c>
      <c r="E43">
        <v>114924.813379064</v>
      </c>
      <c r="F43">
        <v>576535.99258501397</v>
      </c>
      <c r="G43">
        <v>3834.6383095128799</v>
      </c>
      <c r="H43">
        <v>13530.3270133632</v>
      </c>
      <c r="I43">
        <v>910370</v>
      </c>
      <c r="N43">
        <f t="shared" si="2"/>
        <v>1991</v>
      </c>
      <c r="O43">
        <f t="shared" si="14"/>
        <v>887527</v>
      </c>
      <c r="P43">
        <f t="shared" si="3"/>
        <v>580370.63089452684</v>
      </c>
      <c r="Q43">
        <f t="shared" si="4"/>
        <v>0.65391884516699417</v>
      </c>
      <c r="R43">
        <f t="shared" si="15"/>
        <v>0.95594957335614617</v>
      </c>
      <c r="S43" s="3">
        <f t="shared" si="5"/>
        <v>4.4050426643853835E-2</v>
      </c>
      <c r="T43">
        <f t="shared" si="6"/>
        <v>13530.369105473161</v>
      </c>
      <c r="U43">
        <f t="shared" si="7"/>
        <v>-114924.813379064</v>
      </c>
      <c r="V43">
        <f t="shared" si="8"/>
        <v>4.4050426643853911E-2</v>
      </c>
      <c r="W43">
        <f t="shared" si="9"/>
        <v>293626</v>
      </c>
      <c r="X43">
        <f t="shared" si="10"/>
        <v>101290</v>
      </c>
      <c r="Y43">
        <f t="shared" si="16"/>
        <v>-1.0643191589791268</v>
      </c>
      <c r="Z43">
        <f t="shared" si="18"/>
        <v>-0.69423841355484561</v>
      </c>
      <c r="AA43" s="5">
        <f t="shared" si="20"/>
        <v>887527.15745878534</v>
      </c>
      <c r="AB43">
        <f t="shared" si="19"/>
        <v>0.3</v>
      </c>
      <c r="AC43">
        <f t="shared" si="12"/>
        <v>593901.84526030323</v>
      </c>
      <c r="AD43">
        <f t="shared" si="13"/>
        <v>266258.14723763557</v>
      </c>
    </row>
    <row r="44" spans="1:30" x14ac:dyDescent="0.35">
      <c r="A44">
        <v>1992</v>
      </c>
      <c r="B44">
        <v>185908</v>
      </c>
      <c r="C44">
        <v>32625</v>
      </c>
      <c r="D44">
        <v>218533</v>
      </c>
      <c r="E44">
        <v>116784.022153005</v>
      </c>
      <c r="F44">
        <v>260637.11699952401</v>
      </c>
      <c r="G44">
        <v>7922.3801107650797</v>
      </c>
      <c r="H44">
        <v>20742.1828131211</v>
      </c>
      <c r="I44">
        <v>507835</v>
      </c>
      <c r="N44">
        <f t="shared" si="2"/>
        <v>1992</v>
      </c>
      <c r="O44">
        <f t="shared" si="14"/>
        <v>475210</v>
      </c>
      <c r="P44">
        <f t="shared" si="3"/>
        <v>268559.49711028906</v>
      </c>
      <c r="Q44">
        <f t="shared" si="4"/>
        <v>0.56513856423536768</v>
      </c>
      <c r="R44">
        <f t="shared" si="15"/>
        <v>0.89962520003747015</v>
      </c>
      <c r="S44" s="3">
        <f t="shared" si="5"/>
        <v>0.10037479996252985</v>
      </c>
      <c r="T44">
        <f t="shared" si="6"/>
        <v>20742.502889710944</v>
      </c>
      <c r="U44">
        <f t="shared" si="7"/>
        <v>-116784.022153005</v>
      </c>
      <c r="V44">
        <f t="shared" si="8"/>
        <v>0.1003747999625299</v>
      </c>
      <c r="W44">
        <f t="shared" si="9"/>
        <v>185908</v>
      </c>
      <c r="X44">
        <f t="shared" si="10"/>
        <v>104835</v>
      </c>
      <c r="Y44">
        <f t="shared" si="16"/>
        <v>-0.57286424209345277</v>
      </c>
      <c r="Z44">
        <f t="shared" si="18"/>
        <v>-1.0681349941725826</v>
      </c>
      <c r="AA44" s="5">
        <f t="shared" si="20"/>
        <v>475210.0799690655</v>
      </c>
      <c r="AB44">
        <f t="shared" si="19"/>
        <v>0.3</v>
      </c>
      <c r="AC44">
        <f t="shared" si="12"/>
        <v>299257.67427639489</v>
      </c>
      <c r="AD44">
        <f t="shared" si="13"/>
        <v>142563.02399071964</v>
      </c>
    </row>
    <row r="45" spans="1:30" x14ac:dyDescent="0.35">
      <c r="A45">
        <v>1993</v>
      </c>
      <c r="B45">
        <v>244954</v>
      </c>
      <c r="C45">
        <v>5471</v>
      </c>
      <c r="D45">
        <v>250425</v>
      </c>
      <c r="E45">
        <v>-104850.23409559199</v>
      </c>
      <c r="F45">
        <v>1358416.0322054201</v>
      </c>
      <c r="H45">
        <v>17071.109389449</v>
      </c>
      <c r="I45">
        <v>1730762</v>
      </c>
      <c r="N45">
        <f t="shared" si="2"/>
        <v>1993</v>
      </c>
      <c r="O45">
        <f t="shared" si="14"/>
        <v>1725291</v>
      </c>
      <c r="P45">
        <f t="shared" si="3"/>
        <v>1358416.0322054201</v>
      </c>
      <c r="Q45">
        <f t="shared" si="4"/>
        <v>0.7873547315817564</v>
      </c>
      <c r="R45">
        <f t="shared" si="15"/>
        <v>0.66767706031433105</v>
      </c>
      <c r="S45" s="3">
        <f t="shared" si="5"/>
        <v>0.33232293968566895</v>
      </c>
      <c r="T45">
        <f t="shared" si="6"/>
        <v>121920.96779457992</v>
      </c>
      <c r="U45">
        <f t="shared" si="7"/>
        <v>104850.23409559199</v>
      </c>
      <c r="V45">
        <f t="shared" si="8"/>
        <v>0.33232293968566895</v>
      </c>
      <c r="W45">
        <f t="shared" si="9"/>
        <v>244954</v>
      </c>
      <c r="X45">
        <f t="shared" si="10"/>
        <v>259946</v>
      </c>
      <c r="Y45">
        <f t="shared" si="16"/>
        <v>5.9403479322310888E-2</v>
      </c>
      <c r="Z45">
        <f t="shared" si="18"/>
        <v>3.8478189669018788E-2</v>
      </c>
      <c r="AA45" s="5">
        <f t="shared" si="20"/>
        <v>1725284.5954733538</v>
      </c>
      <c r="AB45">
        <f t="shared" si="19"/>
        <v>0.3</v>
      </c>
      <c r="AC45">
        <f t="shared" si="12"/>
        <v>806353.06283787393</v>
      </c>
      <c r="AD45">
        <f t="shared" si="13"/>
        <v>517585.37864200608</v>
      </c>
    </row>
    <row r="46" spans="1:30" x14ac:dyDescent="0.35">
      <c r="A46">
        <v>1994</v>
      </c>
      <c r="B46">
        <v>39234</v>
      </c>
      <c r="C46">
        <v>211</v>
      </c>
      <c r="D46">
        <v>39445</v>
      </c>
      <c r="E46">
        <v>-82318.658771351795</v>
      </c>
      <c r="F46">
        <v>390495.81854518497</v>
      </c>
      <c r="G46">
        <v>1122.20570055804</v>
      </c>
      <c r="H46">
        <v>23126.730646794102</v>
      </c>
      <c r="I46">
        <v>536508</v>
      </c>
      <c r="N46">
        <f t="shared" si="2"/>
        <v>1994</v>
      </c>
      <c r="O46">
        <f t="shared" si="14"/>
        <v>536297</v>
      </c>
      <c r="P46">
        <f t="shared" si="3"/>
        <v>391618.024245743</v>
      </c>
      <c r="Q46">
        <f t="shared" si="4"/>
        <v>0.7302260207417588</v>
      </c>
      <c r="R46">
        <f t="shared" si="15"/>
        <v>0.2711796914199926</v>
      </c>
      <c r="S46" s="3">
        <f t="shared" si="5"/>
        <v>0.72882030858000735</v>
      </c>
      <c r="T46">
        <f t="shared" si="6"/>
        <v>105444.975754257</v>
      </c>
      <c r="U46">
        <f t="shared" si="7"/>
        <v>82318.658771351795</v>
      </c>
      <c r="V46">
        <f t="shared" si="8"/>
        <v>0.72882030858000746</v>
      </c>
      <c r="W46">
        <f t="shared" si="9"/>
        <v>39234</v>
      </c>
      <c r="X46">
        <f t="shared" si="10"/>
        <v>476919</v>
      </c>
      <c r="Y46">
        <f t="shared" si="16"/>
        <v>2.4978029473408179</v>
      </c>
      <c r="Z46">
        <f t="shared" si="18"/>
        <v>0.82422805347651451</v>
      </c>
      <c r="AA46" s="5">
        <f t="shared" si="20"/>
        <v>110680.75615016805</v>
      </c>
      <c r="AB46">
        <f t="shared" si="19"/>
        <v>0.3</v>
      </c>
      <c r="AC46">
        <f t="shared" si="12"/>
        <v>21010.061309253811</v>
      </c>
      <c r="AD46">
        <f t="shared" si="13"/>
        <v>33204.226845050413</v>
      </c>
    </row>
    <row r="47" spans="1:30" x14ac:dyDescent="0.35">
      <c r="A47">
        <v>1995</v>
      </c>
      <c r="B47">
        <v>39871</v>
      </c>
      <c r="C47">
        <v>3139</v>
      </c>
      <c r="D47">
        <v>43010</v>
      </c>
      <c r="E47">
        <v>-17146.816576091998</v>
      </c>
      <c r="F47">
        <v>28889.473029258799</v>
      </c>
      <c r="G47">
        <v>15369.382231743601</v>
      </c>
      <c r="H47">
        <v>13.0357132991846</v>
      </c>
      <c r="I47">
        <v>104429</v>
      </c>
      <c r="N47">
        <f t="shared" si="2"/>
        <v>1995</v>
      </c>
      <c r="O47">
        <f t="shared" si="14"/>
        <v>101290</v>
      </c>
      <c r="P47">
        <f t="shared" si="3"/>
        <v>44258.855261002398</v>
      </c>
      <c r="Q47">
        <f t="shared" si="4"/>
        <v>0.43695187344261427</v>
      </c>
      <c r="R47">
        <f t="shared" si="15"/>
        <v>0.69910923553207982</v>
      </c>
      <c r="S47" s="3">
        <f t="shared" si="5"/>
        <v>0.30089076446792018</v>
      </c>
      <c r="T47">
        <f t="shared" si="6"/>
        <v>17160.144738997595</v>
      </c>
      <c r="U47">
        <f t="shared" si="7"/>
        <v>17146.816576091998</v>
      </c>
      <c r="V47">
        <f t="shared" si="8"/>
        <v>0.30089076446792024</v>
      </c>
      <c r="W47">
        <f t="shared" si="9"/>
        <v>39871</v>
      </c>
      <c r="X47">
        <f t="shared" si="10"/>
        <v>185876</v>
      </c>
      <c r="Y47">
        <f t="shared" si="16"/>
        <v>1.5394305421318464</v>
      </c>
      <c r="Z47">
        <f t="shared" si="18"/>
        <v>-0.12902701847423015</v>
      </c>
      <c r="AA47" s="5">
        <f t="shared" si="20"/>
        <v>18359.218932317704</v>
      </c>
      <c r="AB47">
        <f t="shared" si="19"/>
        <v>0.3</v>
      </c>
      <c r="AC47">
        <f t="shared" si="12"/>
        <v>8984.5696589171021</v>
      </c>
      <c r="AD47">
        <f t="shared" si="13"/>
        <v>5507.7656796953115</v>
      </c>
    </row>
    <row r="48" spans="1:30" x14ac:dyDescent="0.35">
      <c r="A48">
        <v>1996</v>
      </c>
      <c r="B48">
        <v>56112</v>
      </c>
      <c r="C48">
        <v>8011</v>
      </c>
      <c r="D48">
        <v>64123</v>
      </c>
      <c r="E48">
        <v>8261.5984663511808</v>
      </c>
      <c r="F48">
        <v>45355.927316299298</v>
      </c>
      <c r="G48">
        <v>1509.1893994022901</v>
      </c>
      <c r="H48">
        <v>1857.5432771784001</v>
      </c>
      <c r="I48">
        <v>112846</v>
      </c>
      <c r="N48">
        <f t="shared" si="2"/>
        <v>1996</v>
      </c>
      <c r="O48">
        <f t="shared" si="14"/>
        <v>104835</v>
      </c>
      <c r="P48">
        <f t="shared" si="3"/>
        <v>46865.116715701588</v>
      </c>
      <c r="Q48">
        <f t="shared" si="4"/>
        <v>0.44703693151811502</v>
      </c>
      <c r="R48">
        <f t="shared" si="15"/>
        <v>0.96795088796044504</v>
      </c>
      <c r="S48" s="3">
        <f t="shared" si="5"/>
        <v>3.2049112039554961E-2</v>
      </c>
      <c r="T48">
        <f t="shared" si="6"/>
        <v>1857.883284298412</v>
      </c>
      <c r="U48">
        <f t="shared" si="7"/>
        <v>-8261.5984663511808</v>
      </c>
      <c r="V48">
        <f t="shared" si="8"/>
        <v>3.20491120395551E-2</v>
      </c>
      <c r="W48">
        <f t="shared" si="9"/>
        <v>56112</v>
      </c>
      <c r="X48">
        <f t="shared" si="10"/>
        <v>36730</v>
      </c>
      <c r="Y48">
        <f t="shared" si="16"/>
        <v>-0.42375583356624635</v>
      </c>
      <c r="Z48">
        <f t="shared" si="18"/>
        <v>-1.961741479813043</v>
      </c>
      <c r="AA48" s="5">
        <f t="shared" si="20"/>
        <v>67887.182699251309</v>
      </c>
      <c r="AB48">
        <f t="shared" si="19"/>
        <v>0.3</v>
      </c>
      <c r="AC48">
        <f t="shared" si="12"/>
        <v>45998.021142411279</v>
      </c>
      <c r="AD48">
        <f t="shared" si="13"/>
        <v>20366.154809775391</v>
      </c>
    </row>
    <row r="49" spans="1:30" x14ac:dyDescent="0.35">
      <c r="A49">
        <v>1997</v>
      </c>
      <c r="B49">
        <v>50202</v>
      </c>
      <c r="C49">
        <v>670</v>
      </c>
      <c r="D49">
        <v>50872</v>
      </c>
      <c r="E49">
        <v>-16999.663782965399</v>
      </c>
      <c r="F49">
        <v>187303.98655105001</v>
      </c>
      <c r="G49">
        <v>1377.74442013713</v>
      </c>
      <c r="H49">
        <v>4062.13866424343</v>
      </c>
      <c r="I49">
        <v>260616</v>
      </c>
      <c r="N49">
        <f t="shared" si="2"/>
        <v>1997</v>
      </c>
      <c r="O49">
        <f t="shared" si="14"/>
        <v>259946</v>
      </c>
      <c r="P49">
        <f t="shared" si="3"/>
        <v>188681.73097118715</v>
      </c>
      <c r="Q49">
        <f t="shared" si="4"/>
        <v>0.72584971867690651</v>
      </c>
      <c r="R49">
        <f t="shared" si="15"/>
        <v>0.70444839586725894</v>
      </c>
      <c r="S49" s="3">
        <f t="shared" si="5"/>
        <v>0.29555160413274106</v>
      </c>
      <c r="T49">
        <f t="shared" si="6"/>
        <v>21062.269028812851</v>
      </c>
      <c r="U49">
        <f t="shared" si="7"/>
        <v>16999.663782965399</v>
      </c>
      <c r="V49">
        <f t="shared" si="8"/>
        <v>0.29555160413274101</v>
      </c>
      <c r="W49">
        <f t="shared" si="9"/>
        <v>50202</v>
      </c>
      <c r="X49">
        <f t="shared" si="10"/>
        <v>54140</v>
      </c>
      <c r="Y49">
        <f t="shared" si="16"/>
        <v>7.5518417644638472E-2</v>
      </c>
      <c r="Z49">
        <f t="shared" si="18"/>
        <v>-1.5099451556918291</v>
      </c>
      <c r="AA49" s="5">
        <f t="shared" si="20"/>
        <v>9411.4901464581453</v>
      </c>
      <c r="AB49">
        <f t="shared" si="19"/>
        <v>0.3</v>
      </c>
      <c r="AC49">
        <f t="shared" si="12"/>
        <v>4640.9363954750679</v>
      </c>
      <c r="AD49">
        <f t="shared" si="13"/>
        <v>2823.4470439374436</v>
      </c>
    </row>
    <row r="50" spans="1:30" x14ac:dyDescent="0.35">
      <c r="A50">
        <v>1998</v>
      </c>
      <c r="B50">
        <v>295880</v>
      </c>
      <c r="C50">
        <v>369</v>
      </c>
      <c r="D50">
        <v>296249</v>
      </c>
      <c r="E50">
        <v>-62540.936010675199</v>
      </c>
      <c r="F50">
        <v>94331.901649888096</v>
      </c>
      <c r="G50">
        <v>3531.1149342040399</v>
      </c>
      <c r="H50">
        <v>20635.031062513899</v>
      </c>
      <c r="I50">
        <v>477288</v>
      </c>
      <c r="N50">
        <f t="shared" si="2"/>
        <v>1998</v>
      </c>
      <c r="O50">
        <f t="shared" si="14"/>
        <v>476919</v>
      </c>
      <c r="P50">
        <f t="shared" si="3"/>
        <v>97863.01658409214</v>
      </c>
      <c r="Q50">
        <f t="shared" si="4"/>
        <v>0.20519840179169238</v>
      </c>
      <c r="R50">
        <f t="shared" si="15"/>
        <v>0.78057071500004394</v>
      </c>
      <c r="S50" s="3">
        <f t="shared" si="5"/>
        <v>0.21942928499995606</v>
      </c>
      <c r="T50">
        <f t="shared" si="6"/>
        <v>83175.983415907831</v>
      </c>
      <c r="U50">
        <f t="shared" si="7"/>
        <v>62540.936010675199</v>
      </c>
      <c r="V50">
        <f t="shared" si="8"/>
        <v>0.21942928499995598</v>
      </c>
      <c r="W50">
        <f t="shared" si="9"/>
        <v>295880</v>
      </c>
      <c r="X50">
        <f t="shared" si="10"/>
        <v>243091</v>
      </c>
      <c r="Y50">
        <f t="shared" si="16"/>
        <v>-0.19651810788464072</v>
      </c>
      <c r="Z50">
        <f t="shared" si="18"/>
        <v>0.19167012445336587</v>
      </c>
      <c r="AA50" s="5">
        <f t="shared" si="20"/>
        <v>295658.83738449786</v>
      </c>
      <c r="AB50">
        <f t="shared" si="19"/>
        <v>0.3</v>
      </c>
      <c r="AC50">
        <f t="shared" si="12"/>
        <v>161547.84106530945</v>
      </c>
      <c r="AD50">
        <f t="shared" si="13"/>
        <v>88697.651215349353</v>
      </c>
    </row>
    <row r="51" spans="1:30" x14ac:dyDescent="0.35">
      <c r="A51">
        <v>1999</v>
      </c>
      <c r="B51">
        <v>48916</v>
      </c>
      <c r="C51">
        <v>670</v>
      </c>
      <c r="D51">
        <v>49586</v>
      </c>
      <c r="E51">
        <v>-120377.80669971999</v>
      </c>
      <c r="F51">
        <v>13777.378381275101</v>
      </c>
      <c r="G51">
        <v>1363.59917609288</v>
      </c>
      <c r="H51">
        <v>1441.3311837612</v>
      </c>
      <c r="I51">
        <v>186546</v>
      </c>
      <c r="N51">
        <f t="shared" si="2"/>
        <v>1999</v>
      </c>
      <c r="O51">
        <f t="shared" si="14"/>
        <v>185876</v>
      </c>
      <c r="P51">
        <f t="shared" si="3"/>
        <v>15140.97755736798</v>
      </c>
      <c r="Q51">
        <f t="shared" si="4"/>
        <v>8.1457410087197812E-2</v>
      </c>
      <c r="R51">
        <f t="shared" si="15"/>
        <v>0.28650243693519922</v>
      </c>
      <c r="S51" s="3">
        <f t="shared" si="5"/>
        <v>0.71349756306480083</v>
      </c>
      <c r="T51">
        <f t="shared" si="6"/>
        <v>121819.02244263202</v>
      </c>
      <c r="U51">
        <f t="shared" si="7"/>
        <v>120377.80669971999</v>
      </c>
      <c r="V51">
        <f t="shared" si="8"/>
        <v>0.71349756306480083</v>
      </c>
      <c r="W51">
        <f t="shared" si="9"/>
        <v>48916</v>
      </c>
      <c r="X51">
        <f t="shared" si="10"/>
        <v>443990</v>
      </c>
      <c r="Y51">
        <f t="shared" si="16"/>
        <v>2.2056974983289432</v>
      </c>
      <c r="Z51">
        <f t="shared" si="18"/>
        <v>0.60990285659360666</v>
      </c>
      <c r="AA51" s="5">
        <f t="shared" si="20"/>
        <v>53681.315635266626</v>
      </c>
      <c r="AB51">
        <f t="shared" si="19"/>
        <v>0.3</v>
      </c>
      <c r="AC51">
        <f t="shared" si="12"/>
        <v>10765.87942317405</v>
      </c>
      <c r="AD51">
        <f t="shared" si="13"/>
        <v>16104.394690579988</v>
      </c>
    </row>
    <row r="52" spans="1:30" x14ac:dyDescent="0.35">
      <c r="A52">
        <v>2000</v>
      </c>
      <c r="B52">
        <v>13842</v>
      </c>
      <c r="C52">
        <v>0</v>
      </c>
      <c r="D52">
        <v>13842</v>
      </c>
      <c r="E52">
        <v>1911.6481880255999</v>
      </c>
      <c r="F52">
        <v>16627.335268447299</v>
      </c>
      <c r="G52">
        <v>6240.5365712374396</v>
      </c>
      <c r="H52">
        <v>20.335829028202902</v>
      </c>
      <c r="I52">
        <v>36730</v>
      </c>
      <c r="N52">
        <f t="shared" si="2"/>
        <v>2000</v>
      </c>
      <c r="O52">
        <f t="shared" si="14"/>
        <v>36730</v>
      </c>
      <c r="P52">
        <f t="shared" si="3"/>
        <v>22867.87183968474</v>
      </c>
      <c r="Q52">
        <f t="shared" si="4"/>
        <v>0.62259384262686468</v>
      </c>
      <c r="R52">
        <f t="shared" si="15"/>
        <v>0.99854797473501344</v>
      </c>
      <c r="S52" s="3">
        <f t="shared" si="5"/>
        <v>1.4520252649865562E-3</v>
      </c>
      <c r="T52">
        <f t="shared" si="6"/>
        <v>20.128160315260175</v>
      </c>
      <c r="U52">
        <f t="shared" si="7"/>
        <v>-1911.6481880255999</v>
      </c>
      <c r="V52">
        <f t="shared" si="8"/>
        <v>1.4520252649866143E-3</v>
      </c>
      <c r="W52">
        <f t="shared" si="9"/>
        <v>13842</v>
      </c>
      <c r="X52">
        <f t="shared" si="10"/>
        <v>123439</v>
      </c>
      <c r="Y52">
        <f t="shared" si="16"/>
        <v>2.1880396585006698</v>
      </c>
      <c r="Z52">
        <f t="shared" si="18"/>
        <v>0.31047838144500939</v>
      </c>
      <c r="AA52" s="5">
        <f t="shared" si="20"/>
        <v>32658.10596632725</v>
      </c>
      <c r="AB52">
        <f t="shared" si="19"/>
        <v>0.3</v>
      </c>
      <c r="AC52">
        <f t="shared" si="12"/>
        <v>22827.479899950275</v>
      </c>
      <c r="AD52">
        <f t="shared" si="13"/>
        <v>9797.4317898981753</v>
      </c>
    </row>
    <row r="53" spans="1:30" x14ac:dyDescent="0.35">
      <c r="A53">
        <v>2001</v>
      </c>
      <c r="B53">
        <v>44450</v>
      </c>
      <c r="C53">
        <v>277</v>
      </c>
      <c r="D53">
        <v>44727</v>
      </c>
      <c r="E53">
        <v>-135.780582680614</v>
      </c>
      <c r="F53">
        <v>8538.8410157374401</v>
      </c>
      <c r="G53">
        <v>75.381113616574297</v>
      </c>
      <c r="H53">
        <v>940.15916976472295</v>
      </c>
      <c r="I53">
        <v>54417</v>
      </c>
      <c r="N53">
        <f t="shared" si="2"/>
        <v>2001</v>
      </c>
      <c r="O53">
        <f t="shared" si="14"/>
        <v>54140</v>
      </c>
      <c r="P53">
        <f t="shared" si="3"/>
        <v>8614.2221293540151</v>
      </c>
      <c r="Q53">
        <f t="shared" si="4"/>
        <v>0.15911012429541957</v>
      </c>
      <c r="R53">
        <f t="shared" si="15"/>
        <v>0.97636991785834759</v>
      </c>
      <c r="S53" s="3">
        <f t="shared" si="5"/>
        <v>2.3630082141652409E-2</v>
      </c>
      <c r="T53">
        <f t="shared" si="6"/>
        <v>1075.7778706459867</v>
      </c>
      <c r="U53">
        <f t="shared" si="7"/>
        <v>135.780582680614</v>
      </c>
      <c r="V53">
        <f t="shared" si="8"/>
        <v>2.3630082141652419E-2</v>
      </c>
      <c r="W53">
        <f t="shared" si="9"/>
        <v>44450</v>
      </c>
      <c r="X53">
        <f t="shared" si="10"/>
        <v>134628</v>
      </c>
      <c r="Y53">
        <f t="shared" si="16"/>
        <v>1.1081504573909142</v>
      </c>
      <c r="Z53">
        <f t="shared" si="18"/>
        <v>-0.52352175158341918</v>
      </c>
      <c r="AA53" s="5">
        <f t="shared" si="20"/>
        <v>7217.0691163071815</v>
      </c>
      <c r="AB53">
        <f t="shared" si="19"/>
        <v>0.3</v>
      </c>
      <c r="AC53">
        <f t="shared" si="12"/>
        <v>4932.5704261868023</v>
      </c>
      <c r="AD53">
        <f t="shared" si="13"/>
        <v>2165.1207348921544</v>
      </c>
    </row>
    <row r="54" spans="1:30" x14ac:dyDescent="0.35">
      <c r="A54">
        <v>2002</v>
      </c>
      <c r="B54">
        <v>189500</v>
      </c>
      <c r="C54">
        <v>0</v>
      </c>
      <c r="D54">
        <v>189500</v>
      </c>
      <c r="E54">
        <v>-18525.069259526601</v>
      </c>
      <c r="F54">
        <v>33202.587269397001</v>
      </c>
      <c r="G54">
        <v>1851.15927540284</v>
      </c>
      <c r="H54">
        <v>11.7189320432483</v>
      </c>
      <c r="I54">
        <v>243091</v>
      </c>
      <c r="N54">
        <f t="shared" si="2"/>
        <v>2002</v>
      </c>
      <c r="O54">
        <f t="shared" si="14"/>
        <v>243091</v>
      </c>
      <c r="P54">
        <f t="shared" si="3"/>
        <v>35053.74654479984</v>
      </c>
      <c r="Q54">
        <f t="shared" si="4"/>
        <v>0.14420010014685794</v>
      </c>
      <c r="R54">
        <f t="shared" si="15"/>
        <v>0.91089454822478666</v>
      </c>
      <c r="S54" s="3">
        <f t="shared" si="5"/>
        <v>8.910545177521334E-2</v>
      </c>
      <c r="T54">
        <f t="shared" si="6"/>
        <v>18537.253455200174</v>
      </c>
      <c r="U54">
        <f t="shared" si="7"/>
        <v>18525.069259526601</v>
      </c>
      <c r="V54">
        <f t="shared" si="8"/>
        <v>8.910545177521334E-2</v>
      </c>
      <c r="W54">
        <f t="shared" si="9"/>
        <v>189500</v>
      </c>
      <c r="X54">
        <f t="shared" si="10"/>
        <v>545828</v>
      </c>
      <c r="Y54">
        <f t="shared" si="16"/>
        <v>1.0579148832787133</v>
      </c>
      <c r="Z54">
        <f t="shared" si="18"/>
        <v>0.59150042800264546</v>
      </c>
      <c r="AA54" s="5">
        <f t="shared" si="20"/>
        <v>390504.4258187738</v>
      </c>
      <c r="AB54">
        <f t="shared" si="19"/>
        <v>0.3</v>
      </c>
      <c r="AC54">
        <f t="shared" si="12"/>
        <v>248995.84677518017</v>
      </c>
      <c r="AD54">
        <f t="shared" si="13"/>
        <v>117151.32774563214</v>
      </c>
    </row>
    <row r="55" spans="1:30" x14ac:dyDescent="0.35">
      <c r="A55">
        <v>2003</v>
      </c>
      <c r="B55">
        <v>309878</v>
      </c>
      <c r="C55">
        <v>652</v>
      </c>
      <c r="D55">
        <v>310530</v>
      </c>
      <c r="E55">
        <v>50796.890302067201</v>
      </c>
      <c r="F55">
        <v>120862.093933554</v>
      </c>
      <c r="G55">
        <v>6768.9514297860296</v>
      </c>
      <c r="H55">
        <v>6480.9036744741697</v>
      </c>
      <c r="I55">
        <v>444642</v>
      </c>
      <c r="N55">
        <f t="shared" si="2"/>
        <v>2003</v>
      </c>
      <c r="O55">
        <f t="shared" si="14"/>
        <v>443990</v>
      </c>
      <c r="P55">
        <f t="shared" si="3"/>
        <v>127631.04536334003</v>
      </c>
      <c r="Q55">
        <f t="shared" si="4"/>
        <v>0.28746378378643672</v>
      </c>
      <c r="R55">
        <f t="shared" si="15"/>
        <v>0.97951392068511733</v>
      </c>
      <c r="S55" s="3">
        <f t="shared" si="5"/>
        <v>2.0486079314882666E-2</v>
      </c>
      <c r="T55">
        <f t="shared" si="6"/>
        <v>6480.9546366599388</v>
      </c>
      <c r="U55">
        <f t="shared" si="7"/>
        <v>-50796.890302067201</v>
      </c>
      <c r="V55">
        <f t="shared" si="8"/>
        <v>2.0486079314882527E-2</v>
      </c>
      <c r="W55">
        <f t="shared" si="9"/>
        <v>309878</v>
      </c>
      <c r="X55">
        <f t="shared" si="10"/>
        <v>135761</v>
      </c>
      <c r="Y55">
        <f t="shared" si="16"/>
        <v>-0.82528268479286859</v>
      </c>
      <c r="Z55">
        <f t="shared" si="18"/>
        <v>-0.32464165661709365</v>
      </c>
      <c r="AA55" s="5">
        <f t="shared" si="20"/>
        <v>132761.98499005148</v>
      </c>
      <c r="AB55">
        <f t="shared" si="19"/>
        <v>0.3</v>
      </c>
      <c r="AC55">
        <f t="shared" si="12"/>
        <v>91029.548704880799</v>
      </c>
      <c r="AD55">
        <f t="shared" si="13"/>
        <v>39828.595497015442</v>
      </c>
    </row>
    <row r="56" spans="1:30" x14ac:dyDescent="0.35">
      <c r="A56">
        <v>2004</v>
      </c>
      <c r="B56">
        <v>37617</v>
      </c>
      <c r="C56">
        <v>56</v>
      </c>
      <c r="D56">
        <v>37673</v>
      </c>
      <c r="E56">
        <v>-50017.160969820303</v>
      </c>
      <c r="F56">
        <v>27917.834982448501</v>
      </c>
      <c r="G56">
        <v>2044.4581395222101</v>
      </c>
      <c r="H56">
        <v>5842.8497958881599</v>
      </c>
      <c r="I56">
        <v>123495</v>
      </c>
      <c r="N56">
        <f t="shared" si="2"/>
        <v>2004</v>
      </c>
      <c r="O56">
        <f t="shared" si="14"/>
        <v>123439</v>
      </c>
      <c r="P56">
        <f t="shared" si="3"/>
        <v>29962.29312197071</v>
      </c>
      <c r="Q56">
        <f t="shared" si="4"/>
        <v>0.24272955161635065</v>
      </c>
      <c r="R56">
        <f t="shared" si="15"/>
        <v>0.40242110849159018</v>
      </c>
      <c r="S56" s="3">
        <f t="shared" si="5"/>
        <v>0.59757889150840982</v>
      </c>
      <c r="T56">
        <f t="shared" si="6"/>
        <v>55859.70687802929</v>
      </c>
      <c r="U56">
        <f t="shared" si="7"/>
        <v>50017.160969820303</v>
      </c>
      <c r="V56">
        <f t="shared" si="8"/>
        <v>0.59757889150840982</v>
      </c>
      <c r="W56">
        <f t="shared" si="9"/>
        <v>37617</v>
      </c>
      <c r="X56">
        <f t="shared" si="10"/>
        <v>50513</v>
      </c>
      <c r="Y56">
        <f t="shared" si="16"/>
        <v>0.29477465301905675</v>
      </c>
      <c r="Z56">
        <f t="shared" si="18"/>
        <v>-1.3917903945007455</v>
      </c>
      <c r="AA56" s="5">
        <f t="shared" si="20"/>
        <v>189392.1934730786</v>
      </c>
      <c r="AB56">
        <f t="shared" si="19"/>
        <v>0.3</v>
      </c>
      <c r="AC56">
        <f t="shared" si="12"/>
        <v>53350.791505962996</v>
      </c>
      <c r="AD56">
        <f t="shared" si="13"/>
        <v>56817.658041923576</v>
      </c>
    </row>
    <row r="57" spans="1:30" x14ac:dyDescent="0.35">
      <c r="A57">
        <v>2005</v>
      </c>
      <c r="B57">
        <v>53546</v>
      </c>
      <c r="C57">
        <v>898</v>
      </c>
      <c r="D57">
        <v>54444</v>
      </c>
      <c r="E57">
        <v>-60927.177390425699</v>
      </c>
      <c r="F57">
        <v>17143.695819397199</v>
      </c>
      <c r="G57">
        <v>1820.0648616870201</v>
      </c>
      <c r="H57">
        <v>1191.4079581853</v>
      </c>
      <c r="I57">
        <v>135526</v>
      </c>
      <c r="N57">
        <f t="shared" si="2"/>
        <v>2005</v>
      </c>
      <c r="O57">
        <f t="shared" si="14"/>
        <v>134628</v>
      </c>
      <c r="P57">
        <f t="shared" si="3"/>
        <v>18963.760681084219</v>
      </c>
      <c r="Q57">
        <f t="shared" si="4"/>
        <v>0.14086045013729848</v>
      </c>
      <c r="R57">
        <f t="shared" si="15"/>
        <v>0.46294343277838917</v>
      </c>
      <c r="S57" s="3">
        <f t="shared" si="5"/>
        <v>0.53705656722161077</v>
      </c>
      <c r="T57">
        <f t="shared" si="6"/>
        <v>62118.239318915788</v>
      </c>
      <c r="U57">
        <f t="shared" si="7"/>
        <v>60927.177390425699</v>
      </c>
      <c r="V57">
        <f t="shared" si="8"/>
        <v>0.53705656722161088</v>
      </c>
      <c r="W57">
        <f t="shared" si="9"/>
        <v>53546</v>
      </c>
      <c r="X57">
        <f t="shared" si="10"/>
        <v>62996</v>
      </c>
      <c r="Y57">
        <f t="shared" si="16"/>
        <v>0.16253013475378705</v>
      </c>
      <c r="Z57">
        <f t="shared" si="18"/>
        <v>-1.3960694473495403</v>
      </c>
      <c r="AA57" s="5">
        <f t="shared" si="20"/>
        <v>20521.509448293978</v>
      </c>
      <c r="AB57">
        <f t="shared" si="19"/>
        <v>0.3</v>
      </c>
      <c r="AC57">
        <f t="shared" si="12"/>
        <v>6650.2086208511528</v>
      </c>
      <c r="AD57">
        <f t="shared" si="13"/>
        <v>6156.4528344881937</v>
      </c>
    </row>
    <row r="58" spans="1:30" x14ac:dyDescent="0.35">
      <c r="A58">
        <v>2006</v>
      </c>
      <c r="B58">
        <v>266459</v>
      </c>
      <c r="C58">
        <v>80</v>
      </c>
      <c r="D58">
        <v>266539</v>
      </c>
      <c r="E58">
        <v>-116086.20075372601</v>
      </c>
      <c r="F58">
        <v>154770.989553572</v>
      </c>
      <c r="G58">
        <v>5910.3764930708603</v>
      </c>
      <c r="H58">
        <v>2601.11307715559</v>
      </c>
      <c r="I58">
        <v>545908</v>
      </c>
      <c r="N58">
        <f t="shared" si="2"/>
        <v>2006</v>
      </c>
      <c r="O58">
        <f t="shared" si="14"/>
        <v>545828</v>
      </c>
      <c r="P58">
        <f t="shared" si="3"/>
        <v>160681.36604664286</v>
      </c>
      <c r="Q58">
        <f t="shared" si="4"/>
        <v>0.29438095159398719</v>
      </c>
      <c r="R58">
        <f t="shared" si="15"/>
        <v>0.69183780022927399</v>
      </c>
      <c r="S58" s="3">
        <f t="shared" si="5"/>
        <v>0.30816219977072601</v>
      </c>
      <c r="T58">
        <f t="shared" si="6"/>
        <v>118687.63395335712</v>
      </c>
      <c r="U58">
        <f t="shared" si="7"/>
        <v>116086.20075372601</v>
      </c>
      <c r="V58">
        <f t="shared" si="8"/>
        <v>0.30816219977072601</v>
      </c>
      <c r="W58">
        <f t="shared" si="9"/>
        <v>266459</v>
      </c>
      <c r="X58">
        <f t="shared" si="10"/>
        <v>302458</v>
      </c>
      <c r="Y58">
        <f t="shared" si="16"/>
        <v>0.12672203923959177</v>
      </c>
      <c r="Z58">
        <f t="shared" si="18"/>
        <v>0.27855695636521172</v>
      </c>
      <c r="AA58" s="5">
        <f t="shared" si="20"/>
        <v>444696.39811516512</v>
      </c>
      <c r="AB58">
        <f t="shared" si="19"/>
        <v>0.3</v>
      </c>
      <c r="AC58">
        <f t="shared" si="12"/>
        <v>215360.44448931408</v>
      </c>
      <c r="AD58">
        <f t="shared" si="13"/>
        <v>133408.91943454952</v>
      </c>
    </row>
    <row r="59" spans="1:30" x14ac:dyDescent="0.35">
      <c r="A59">
        <v>2007</v>
      </c>
      <c r="B59">
        <v>93480</v>
      </c>
      <c r="C59">
        <v>47</v>
      </c>
      <c r="D59">
        <v>93527</v>
      </c>
      <c r="E59">
        <v>19973.7763725574</v>
      </c>
      <c r="F59">
        <v>10025.9752695488</v>
      </c>
      <c r="G59">
        <v>335.69608003735698</v>
      </c>
      <c r="H59">
        <v>31919.361572239999</v>
      </c>
      <c r="I59">
        <v>135808</v>
      </c>
      <c r="N59">
        <f t="shared" si="2"/>
        <v>2007</v>
      </c>
      <c r="O59">
        <f t="shared" si="14"/>
        <v>135761</v>
      </c>
      <c r="P59">
        <f t="shared" si="3"/>
        <v>10361.671349586157</v>
      </c>
      <c r="Q59">
        <f t="shared" si="4"/>
        <v>7.6322886171920928E-2</v>
      </c>
      <c r="R59">
        <f t="shared" si="15"/>
        <v>0.74545853638979187</v>
      </c>
      <c r="S59" s="3">
        <f t="shared" si="5"/>
        <v>0.25454146361020813</v>
      </c>
      <c r="T59">
        <f t="shared" si="6"/>
        <v>31919.328650413838</v>
      </c>
      <c r="U59">
        <f t="shared" si="7"/>
        <v>-19973.7763725574</v>
      </c>
      <c r="V59">
        <f t="shared" si="8"/>
        <v>0.25454146361020807</v>
      </c>
      <c r="W59">
        <f t="shared" si="9"/>
        <v>93480</v>
      </c>
      <c r="X59">
        <f t="shared" si="10"/>
        <v>365913</v>
      </c>
      <c r="Y59">
        <f t="shared" si="16"/>
        <v>1.3646480905563843</v>
      </c>
      <c r="Z59">
        <f t="shared" si="18"/>
        <v>0.12685790615168879</v>
      </c>
      <c r="AA59" s="5">
        <f t="shared" si="20"/>
        <v>231370.04821482545</v>
      </c>
      <c r="AB59">
        <f t="shared" si="19"/>
        <v>0.3</v>
      </c>
      <c r="AC59">
        <f t="shared" si="12"/>
        <v>120733.74425466153</v>
      </c>
      <c r="AD59">
        <f t="shared" si="13"/>
        <v>69411.014464447639</v>
      </c>
    </row>
    <row r="60" spans="1:30" x14ac:dyDescent="0.35">
      <c r="A60">
        <v>2008</v>
      </c>
      <c r="B60">
        <v>19500</v>
      </c>
      <c r="C60">
        <v>361</v>
      </c>
      <c r="D60">
        <v>19861</v>
      </c>
      <c r="E60">
        <v>-21412.8986358162</v>
      </c>
      <c r="F60">
        <v>8562.5111890163407</v>
      </c>
      <c r="G60">
        <v>915.08944617180305</v>
      </c>
      <c r="H60">
        <v>122.109341833909</v>
      </c>
      <c r="I60">
        <v>50874</v>
      </c>
      <c r="N60">
        <f t="shared" si="2"/>
        <v>2008</v>
      </c>
      <c r="O60">
        <f t="shared" si="14"/>
        <v>50513</v>
      </c>
      <c r="P60">
        <f t="shared" si="3"/>
        <v>9477.6006351881442</v>
      </c>
      <c r="Q60">
        <f t="shared" si="4"/>
        <v>0.18762696009320659</v>
      </c>
      <c r="R60">
        <f t="shared" si="15"/>
        <v>0.47519946928362022</v>
      </c>
      <c r="S60" s="3">
        <f t="shared" si="5"/>
        <v>0.52480053071637978</v>
      </c>
      <c r="T60">
        <f t="shared" si="6"/>
        <v>21535.399364811856</v>
      </c>
      <c r="U60">
        <f t="shared" si="7"/>
        <v>21412.8986358162</v>
      </c>
      <c r="V60">
        <f t="shared" si="8"/>
        <v>0.52480053071637978</v>
      </c>
      <c r="W60">
        <f t="shared" si="9"/>
        <v>19500</v>
      </c>
      <c r="X60">
        <f t="shared" si="10"/>
        <v>104341</v>
      </c>
      <c r="Y60">
        <f t="shared" si="16"/>
        <v>1.6772499160307561</v>
      </c>
      <c r="Z60">
        <f t="shared" si="18"/>
        <v>-0.15485787346596069</v>
      </c>
      <c r="AA60" s="5">
        <f t="shared" si="20"/>
        <v>63134.426482637798</v>
      </c>
      <c r="AB60">
        <f t="shared" si="19"/>
        <v>0.3</v>
      </c>
      <c r="AC60">
        <f t="shared" si="12"/>
        <v>21001.012170652652</v>
      </c>
      <c r="AD60">
        <f t="shared" si="13"/>
        <v>18940.327944791337</v>
      </c>
    </row>
    <row r="61" spans="1:30" x14ac:dyDescent="0.35">
      <c r="A61">
        <v>2009</v>
      </c>
      <c r="B61">
        <v>53977</v>
      </c>
      <c r="C61">
        <v>179</v>
      </c>
      <c r="D61">
        <v>54156</v>
      </c>
      <c r="E61">
        <v>-6535.4562941988297</v>
      </c>
      <c r="F61">
        <v>3620.9180596144602</v>
      </c>
      <c r="G61">
        <v>198.530165291054</v>
      </c>
      <c r="H61">
        <v>489.89369186303401</v>
      </c>
      <c r="I61">
        <v>63175</v>
      </c>
      <c r="N61">
        <f t="shared" si="2"/>
        <v>2009</v>
      </c>
      <c r="O61">
        <f t="shared" si="14"/>
        <v>62996</v>
      </c>
      <c r="P61">
        <f t="shared" si="3"/>
        <v>3819.4482249055141</v>
      </c>
      <c r="Q61">
        <f t="shared" si="4"/>
        <v>6.063001182464782E-2</v>
      </c>
      <c r="R61">
        <f t="shared" si="15"/>
        <v>0.91213493150368374</v>
      </c>
      <c r="S61" s="3">
        <f t="shared" si="5"/>
        <v>8.7865068496316256E-2</v>
      </c>
      <c r="T61">
        <f t="shared" si="6"/>
        <v>5199.5517750944855</v>
      </c>
      <c r="U61">
        <f t="shared" si="7"/>
        <v>6535.4562941988297</v>
      </c>
      <c r="V61">
        <f t="shared" si="8"/>
        <v>8.7865068496316312E-2</v>
      </c>
      <c r="W61">
        <f t="shared" si="9"/>
        <v>53977</v>
      </c>
      <c r="X61">
        <f t="shared" si="10"/>
        <v>94209</v>
      </c>
      <c r="Y61">
        <f t="shared" si="16"/>
        <v>0.55695768851366534</v>
      </c>
      <c r="Z61">
        <f t="shared" si="18"/>
        <v>-0.99817945931290253</v>
      </c>
      <c r="AA61" s="5">
        <f t="shared" si="20"/>
        <v>11403.442015499184</v>
      </c>
      <c r="AB61">
        <f t="shared" si="19"/>
        <v>0.3</v>
      </c>
      <c r="AC61">
        <f t="shared" si="12"/>
        <v>7281.0344611995033</v>
      </c>
      <c r="AD61">
        <f t="shared" si="13"/>
        <v>3421.0326046497553</v>
      </c>
    </row>
    <row r="62" spans="1:30" x14ac:dyDescent="0.35">
      <c r="A62">
        <v>2010</v>
      </c>
      <c r="B62">
        <v>128285</v>
      </c>
      <c r="C62">
        <v>180</v>
      </c>
      <c r="D62">
        <v>128465</v>
      </c>
      <c r="E62">
        <v>-18858.327667438301</v>
      </c>
      <c r="F62">
        <v>152667.85181345799</v>
      </c>
      <c r="H62">
        <v>0</v>
      </c>
      <c r="I62">
        <v>302638</v>
      </c>
      <c r="N62">
        <f t="shared" si="2"/>
        <v>2010</v>
      </c>
      <c r="O62">
        <f t="shared" si="14"/>
        <v>302458</v>
      </c>
      <c r="P62">
        <f t="shared" si="3"/>
        <v>152667.85181345799</v>
      </c>
      <c r="Q62">
        <f t="shared" si="4"/>
        <v>0.50475719542368858</v>
      </c>
      <c r="R62">
        <f t="shared" si="15"/>
        <v>0.85643149134374019</v>
      </c>
      <c r="S62" s="3">
        <f t="shared" si="5"/>
        <v>0.14356850865625981</v>
      </c>
      <c r="T62">
        <f t="shared" si="6"/>
        <v>21505.148186541977</v>
      </c>
      <c r="U62">
        <f t="shared" si="7"/>
        <v>18858.327667438301</v>
      </c>
      <c r="V62">
        <f t="shared" si="8"/>
        <v>0.1435685086562597</v>
      </c>
      <c r="W62">
        <f t="shared" si="9"/>
        <v>128285</v>
      </c>
      <c r="X62">
        <f t="shared" si="10"/>
        <v>101906</v>
      </c>
      <c r="Y62">
        <f t="shared" si="16"/>
        <v>-0.23020353155127532</v>
      </c>
      <c r="Z62">
        <f t="shared" si="18"/>
        <v>-1.1883880894997962</v>
      </c>
      <c r="AA62" s="5">
        <f t="shared" si="20"/>
        <v>368534.70806855574</v>
      </c>
      <c r="AB62">
        <f t="shared" si="19"/>
        <v>0.3</v>
      </c>
      <c r="AC62">
        <f t="shared" si="12"/>
        <v>220937.31075015815</v>
      </c>
      <c r="AD62">
        <f t="shared" si="13"/>
        <v>110560.41242056672</v>
      </c>
    </row>
    <row r="63" spans="1:30" x14ac:dyDescent="0.35">
      <c r="A63">
        <v>2011</v>
      </c>
      <c r="B63">
        <v>227742</v>
      </c>
      <c r="C63">
        <v>1075</v>
      </c>
      <c r="D63">
        <v>228817</v>
      </c>
      <c r="E63">
        <v>46703.868194931703</v>
      </c>
      <c r="F63">
        <v>85609.645252668706</v>
      </c>
      <c r="G63">
        <v>24902.645127236701</v>
      </c>
      <c r="H63">
        <v>2237.6605470934801</v>
      </c>
      <c r="I63">
        <v>366988</v>
      </c>
      <c r="N63">
        <f t="shared" si="2"/>
        <v>2011</v>
      </c>
      <c r="O63">
        <f t="shared" si="14"/>
        <v>365913</v>
      </c>
      <c r="P63">
        <f t="shared" si="3"/>
        <v>110512.2903799054</v>
      </c>
      <c r="Q63">
        <f t="shared" si="4"/>
        <v>0.30201793972858415</v>
      </c>
      <c r="R63">
        <f t="shared" si="15"/>
        <v>0.89170464850611975</v>
      </c>
      <c r="S63" s="3">
        <f t="shared" si="5"/>
        <v>0.10829535149388025</v>
      </c>
      <c r="T63">
        <f t="shared" si="6"/>
        <v>27658.709620094625</v>
      </c>
      <c r="U63">
        <f t="shared" si="7"/>
        <v>-46703.868194931703</v>
      </c>
      <c r="V63">
        <f t="shared" si="8"/>
        <v>0.10829535149388039</v>
      </c>
      <c r="W63">
        <f t="shared" si="9"/>
        <v>227742</v>
      </c>
      <c r="X63">
        <f t="shared" si="10"/>
        <v>61635</v>
      </c>
      <c r="Y63">
        <f t="shared" si="16"/>
        <v>-1.3069835182847376</v>
      </c>
      <c r="Z63">
        <f t="shared" si="18"/>
        <v>-1.4661812412827697</v>
      </c>
      <c r="AA63" s="5">
        <f t="shared" si="20"/>
        <v>379666.43456859962</v>
      </c>
      <c r="AB63">
        <f t="shared" si="19"/>
        <v>0.3</v>
      </c>
      <c r="AC63">
        <f t="shared" si="12"/>
        <v>236985.22721059539</v>
      </c>
      <c r="AD63">
        <f t="shared" si="13"/>
        <v>113899.93037057988</v>
      </c>
    </row>
    <row r="64" spans="1:30" x14ac:dyDescent="0.35">
      <c r="A64">
        <v>2012</v>
      </c>
      <c r="B64">
        <v>56282</v>
      </c>
      <c r="C64">
        <v>224</v>
      </c>
      <c r="D64">
        <v>56506</v>
      </c>
      <c r="E64">
        <v>-58282.934511868298</v>
      </c>
      <c r="F64">
        <v>22456.912959946101</v>
      </c>
      <c r="G64">
        <v>4314.5190404983196</v>
      </c>
      <c r="H64">
        <v>690.06146222584505</v>
      </c>
      <c r="I64">
        <v>104565</v>
      </c>
      <c r="N64">
        <f t="shared" si="2"/>
        <v>2012</v>
      </c>
      <c r="O64">
        <f t="shared" si="14"/>
        <v>104341</v>
      </c>
      <c r="P64">
        <f t="shared" si="3"/>
        <v>26771.43200044442</v>
      </c>
      <c r="Q64">
        <f t="shared" si="4"/>
        <v>0.25657634103990207</v>
      </c>
      <c r="R64">
        <f t="shared" si="15"/>
        <v>0.72556804751474779</v>
      </c>
      <c r="S64" s="3">
        <f t="shared" si="5"/>
        <v>0.27443195248525221</v>
      </c>
      <c r="T64">
        <f t="shared" si="6"/>
        <v>21287.567999555584</v>
      </c>
      <c r="U64">
        <f t="shared" si="7"/>
        <v>58282.934511868298</v>
      </c>
      <c r="V64">
        <f t="shared" si="8"/>
        <v>0.27443195248525226</v>
      </c>
      <c r="W64">
        <f t="shared" si="9"/>
        <v>56282</v>
      </c>
      <c r="X64">
        <f t="shared" si="10"/>
        <v>51189</v>
      </c>
      <c r="Y64">
        <f t="shared" si="16"/>
        <v>-9.4850103004241446E-2</v>
      </c>
      <c r="Z64">
        <f t="shared" si="18"/>
        <v>-1.6314700559168176</v>
      </c>
      <c r="AA64" s="5">
        <f t="shared" si="20"/>
        <v>111025.75313531693</v>
      </c>
      <c r="AB64">
        <f t="shared" si="19"/>
        <v>0.3</v>
      </c>
      <c r="AC64">
        <f>AA64*(1-AB64)*R64</f>
        <v>56389.717248372399</v>
      </c>
      <c r="AD64">
        <f t="shared" si="13"/>
        <v>33307.725940595075</v>
      </c>
    </row>
    <row r="65" spans="1:30" x14ac:dyDescent="0.35">
      <c r="A65">
        <v>2013</v>
      </c>
      <c r="B65">
        <v>80086</v>
      </c>
      <c r="C65">
        <v>35</v>
      </c>
      <c r="D65">
        <v>80121</v>
      </c>
      <c r="E65">
        <v>-3779.5597471727701</v>
      </c>
      <c r="F65">
        <v>3103.3276990497602</v>
      </c>
      <c r="G65">
        <v>143.305641775797</v>
      </c>
      <c r="H65">
        <v>1974.07069401227</v>
      </c>
      <c r="I65">
        <v>94244</v>
      </c>
      <c r="N65">
        <f t="shared" si="2"/>
        <v>2013</v>
      </c>
      <c r="O65">
        <f t="shared" si="14"/>
        <v>94209</v>
      </c>
      <c r="P65">
        <f t="shared" si="3"/>
        <v>3246.6333408255573</v>
      </c>
      <c r="Q65">
        <f t="shared" si="4"/>
        <v>3.44620295388504E-2</v>
      </c>
      <c r="R65">
        <f t="shared" si="15"/>
        <v>0.88043003872220094</v>
      </c>
      <c r="S65" s="3">
        <f t="shared" si="5"/>
        <v>0.11956996127779906</v>
      </c>
      <c r="T65">
        <f t="shared" si="6"/>
        <v>10876.36665917444</v>
      </c>
      <c r="U65">
        <f t="shared" si="7"/>
        <v>3779.5597471727701</v>
      </c>
      <c r="V65">
        <f t="shared" si="8"/>
        <v>0.11956996127779898</v>
      </c>
      <c r="W65">
        <f t="shared" si="9"/>
        <v>80086</v>
      </c>
      <c r="X65">
        <f t="shared" si="10"/>
        <v>22187</v>
      </c>
      <c r="Y65">
        <f t="shared" si="16"/>
        <v>-1.2835945255047017</v>
      </c>
      <c r="Z65">
        <f t="shared" si="18"/>
        <v>-2.6289852776655818</v>
      </c>
      <c r="AA65" s="5">
        <f t="shared" si="20"/>
        <v>18492.444042932882</v>
      </c>
      <c r="AB65">
        <f t="shared" si="19"/>
        <v>0.3</v>
      </c>
      <c r="AC65">
        <f t="shared" si="12"/>
        <v>11396.91225735127</v>
      </c>
      <c r="AD65">
        <f t="shared" si="13"/>
        <v>5547.7332128798644</v>
      </c>
    </row>
    <row r="66" spans="1:30" x14ac:dyDescent="0.35">
      <c r="A66">
        <v>2014</v>
      </c>
      <c r="B66">
        <v>35552</v>
      </c>
      <c r="C66">
        <v>211</v>
      </c>
      <c r="D66">
        <v>35763</v>
      </c>
      <c r="E66">
        <v>5354.2380001056599</v>
      </c>
      <c r="F66">
        <v>36678.759385418503</v>
      </c>
      <c r="G66">
        <v>5254.5335916194799</v>
      </c>
      <c r="H66">
        <v>0</v>
      </c>
      <c r="I66">
        <v>102117</v>
      </c>
      <c r="N66">
        <f t="shared" si="2"/>
        <v>2014</v>
      </c>
      <c r="O66">
        <f t="shared" si="14"/>
        <v>101906</v>
      </c>
      <c r="P66">
        <f t="shared" si="3"/>
        <v>41933.292977037985</v>
      </c>
      <c r="Q66">
        <f t="shared" si="4"/>
        <v>0.41148993167269821</v>
      </c>
      <c r="R66">
        <f t="shared" si="15"/>
        <v>0.59280298930625308</v>
      </c>
      <c r="S66" s="3">
        <f t="shared" si="5"/>
        <v>0.40719701069374692</v>
      </c>
      <c r="T66">
        <f t="shared" si="6"/>
        <v>24420.707022962015</v>
      </c>
      <c r="U66">
        <f t="shared" si="7"/>
        <v>-5354.2380001056599</v>
      </c>
      <c r="V66">
        <f t="shared" si="8"/>
        <v>0.40719701069374692</v>
      </c>
      <c r="W66">
        <f t="shared" si="9"/>
        <v>35552</v>
      </c>
      <c r="X66">
        <f t="shared" si="10"/>
        <v>35028</v>
      </c>
      <c r="Y66">
        <f t="shared" si="16"/>
        <v>-1.4848671797241501E-2</v>
      </c>
      <c r="Z66">
        <f t="shared" si="18"/>
        <v>-1.718002876582724</v>
      </c>
      <c r="AA66" s="5">
        <f t="shared" si="20"/>
        <v>83375.461330832855</v>
      </c>
      <c r="AB66">
        <f t="shared" si="19"/>
        <v>0.3</v>
      </c>
      <c r="AC66">
        <f t="shared" si="12"/>
        <v>34597.655898193938</v>
      </c>
      <c r="AD66">
        <f t="shared" si="13"/>
        <v>25012.638399249856</v>
      </c>
    </row>
    <row r="67" spans="1:30" x14ac:dyDescent="0.35">
      <c r="A67">
        <v>2015</v>
      </c>
      <c r="B67">
        <v>44973</v>
      </c>
      <c r="C67">
        <v>76</v>
      </c>
      <c r="D67">
        <v>45049</v>
      </c>
      <c r="E67">
        <v>-19775.584846814902</v>
      </c>
      <c r="F67">
        <v>3135.2467560747</v>
      </c>
      <c r="G67">
        <v>51.269387016668098</v>
      </c>
      <c r="H67">
        <v>5916.3345740193299</v>
      </c>
      <c r="I67">
        <v>61711</v>
      </c>
      <c r="N67">
        <f t="shared" si="2"/>
        <v>2015</v>
      </c>
      <c r="O67">
        <f t="shared" si="14"/>
        <v>61635</v>
      </c>
      <c r="P67">
        <f t="shared" si="3"/>
        <v>3186.5161430913681</v>
      </c>
      <c r="Q67">
        <f t="shared" si="4"/>
        <v>5.1699783290198233E-2</v>
      </c>
      <c r="R67">
        <f t="shared" si="15"/>
        <v>0.76944681935807258</v>
      </c>
      <c r="S67" s="3">
        <f t="shared" si="5"/>
        <v>0.23055318064192742</v>
      </c>
      <c r="T67">
        <f t="shared" si="6"/>
        <v>13475.483856908635</v>
      </c>
      <c r="U67">
        <f t="shared" si="7"/>
        <v>19775.584846814902</v>
      </c>
      <c r="V67">
        <f t="shared" si="8"/>
        <v>0.23055318064192742</v>
      </c>
      <c r="W67">
        <f t="shared" si="9"/>
        <v>44973</v>
      </c>
      <c r="X67">
        <f t="shared" si="10"/>
        <v>4270</v>
      </c>
      <c r="Y67">
        <f t="shared" si="16"/>
        <v>-2.3544484824577543</v>
      </c>
      <c r="Z67">
        <f t="shared" si="18"/>
        <v>-3.9819191760568087</v>
      </c>
      <c r="AA67" s="5">
        <f t="shared" si="20"/>
        <v>59546.582966407601</v>
      </c>
      <c r="AB67">
        <f t="shared" si="19"/>
        <v>0.3</v>
      </c>
      <c r="AC67">
        <f t="shared" si="12"/>
        <v>32072.550207000735</v>
      </c>
      <c r="AD67">
        <f t="shared" si="13"/>
        <v>17863.97488992228</v>
      </c>
    </row>
    <row r="68" spans="1:30" x14ac:dyDescent="0.35">
      <c r="A68">
        <v>2016</v>
      </c>
      <c r="B68">
        <v>36404</v>
      </c>
      <c r="C68">
        <v>37</v>
      </c>
      <c r="D68">
        <v>36441</v>
      </c>
      <c r="E68">
        <v>-10134.142658282801</v>
      </c>
      <c r="F68">
        <v>3936.7167825985698</v>
      </c>
      <c r="G68">
        <v>415.79239326204601</v>
      </c>
      <c r="H68">
        <v>866.56345031391402</v>
      </c>
      <c r="I68">
        <v>51226</v>
      </c>
      <c r="N68">
        <f t="shared" si="2"/>
        <v>2016</v>
      </c>
      <c r="O68">
        <f t="shared" si="14"/>
        <v>51189</v>
      </c>
      <c r="P68">
        <f t="shared" si="3"/>
        <v>4352.5091758606159</v>
      </c>
      <c r="Q68">
        <f t="shared" si="4"/>
        <v>8.5028212621082969E-2</v>
      </c>
      <c r="R68">
        <f t="shared" si="15"/>
        <v>0.77725720606799786</v>
      </c>
      <c r="S68" s="3">
        <f t="shared" si="5"/>
        <v>0.22274279393200214</v>
      </c>
      <c r="T68">
        <f t="shared" si="6"/>
        <v>10432.490824139386</v>
      </c>
      <c r="U68">
        <f t="shared" si="7"/>
        <v>10134.142658282801</v>
      </c>
      <c r="V68">
        <f t="shared" si="8"/>
        <v>0.22274279393200208</v>
      </c>
      <c r="W68">
        <f t="shared" si="9"/>
        <v>36404</v>
      </c>
      <c r="X68">
        <f t="shared" si="10"/>
        <v>6993</v>
      </c>
      <c r="Y68">
        <f t="shared" si="16"/>
        <v>-1.6497690099933795</v>
      </c>
      <c r="Z68">
        <f t="shared" ref="Z68:Z71" si="21">Y68-(ra-rb*W68)</f>
        <v>-3.3460786811273557</v>
      </c>
      <c r="AA68" s="5">
        <f t="shared" si="20"/>
        <v>51242.608084947969</v>
      </c>
      <c r="AB68">
        <f t="shared" ref="AB68:AB77" si="22">IF(AND(useretro,N68&gt;=yrretro),retroU,Q68)</f>
        <v>0.3</v>
      </c>
      <c r="AC68">
        <f t="shared" si="12"/>
        <v>27880.080474220838</v>
      </c>
      <c r="AD68">
        <f t="shared" si="13"/>
        <v>15372.782425484391</v>
      </c>
    </row>
    <row r="69" spans="1:30" x14ac:dyDescent="0.35">
      <c r="A69">
        <v>2017</v>
      </c>
      <c r="B69">
        <v>18629</v>
      </c>
      <c r="C69">
        <v>7</v>
      </c>
      <c r="D69">
        <v>18636</v>
      </c>
      <c r="E69">
        <v>-13673.3905326718</v>
      </c>
      <c r="F69">
        <v>350.64138455832398</v>
      </c>
      <c r="G69">
        <v>108.873030314804</v>
      </c>
      <c r="H69">
        <v>602.85451470442297</v>
      </c>
      <c r="I69">
        <v>22194</v>
      </c>
      <c r="N69">
        <f t="shared" ref="N69:N75" si="23">A69</f>
        <v>2017</v>
      </c>
      <c r="O69">
        <f t="shared" si="14"/>
        <v>22187</v>
      </c>
      <c r="P69">
        <f t="shared" ref="P69:P75" si="24">F69+G69</f>
        <v>459.51441487312798</v>
      </c>
      <c r="Q69">
        <f t="shared" ref="Q69:Q75" si="25">MIN(0.999,P69/O69)</f>
        <v>2.0710975565562176E-2</v>
      </c>
      <c r="R69">
        <f t="shared" si="15"/>
        <v>0.85739327392545228</v>
      </c>
      <c r="S69" s="3">
        <f t="shared" ref="S69:S75" si="26">1-R69</f>
        <v>0.14260672607454772</v>
      </c>
      <c r="T69">
        <f t="shared" ref="T69:T75" si="27">O69-(P69+B69)</f>
        <v>3098.485585126873</v>
      </c>
      <c r="U69">
        <f t="shared" ref="U69:U75" si="28">-E69</f>
        <v>13673.3905326718</v>
      </c>
      <c r="V69">
        <f t="shared" ref="V69:V75" si="29">T69/(O69-P69)</f>
        <v>0.14260672607454777</v>
      </c>
      <c r="W69">
        <f>B69</f>
        <v>18629</v>
      </c>
      <c r="X69">
        <f>O73</f>
        <v>55892</v>
      </c>
      <c r="Y69">
        <f t="shared" si="16"/>
        <v>1.0987017509106298</v>
      </c>
      <c r="Z69">
        <f t="shared" si="21"/>
        <v>-0.74040320855141739</v>
      </c>
      <c r="AA69" s="5">
        <f t="shared" si="20"/>
        <v>5482.4991808951418</v>
      </c>
      <c r="AB69">
        <f t="shared" si="22"/>
        <v>0.3</v>
      </c>
      <c r="AC69">
        <f t="shared" ref="AC69:AC77" si="30">AA69*(1-AB69)*R69</f>
        <v>3290.460545400907</v>
      </c>
      <c r="AD69">
        <f t="shared" ref="AD69:AD77" si="31">AA69*AB69</f>
        <v>1644.7497542685426</v>
      </c>
    </row>
    <row r="70" spans="1:30" x14ac:dyDescent="0.35">
      <c r="A70">
        <v>2018</v>
      </c>
      <c r="B70">
        <v>15041</v>
      </c>
      <c r="C70">
        <v>10</v>
      </c>
      <c r="D70">
        <v>15051</v>
      </c>
      <c r="E70">
        <v>-12976.417309041</v>
      </c>
      <c r="F70">
        <v>16120.968262203</v>
      </c>
      <c r="G70">
        <v>1637.56434320727</v>
      </c>
      <c r="H70">
        <v>469.81430280463297</v>
      </c>
      <c r="I70">
        <v>35038</v>
      </c>
      <c r="N70">
        <f t="shared" si="23"/>
        <v>2018</v>
      </c>
      <c r="O70">
        <f t="shared" ref="O70:O75" si="32">I70-C70</f>
        <v>35028</v>
      </c>
      <c r="P70">
        <f t="shared" si="24"/>
        <v>17758.53260541027</v>
      </c>
      <c r="Q70">
        <f t="shared" si="25"/>
        <v>0.50698106102004881</v>
      </c>
      <c r="R70">
        <f t="shared" ref="R70:R75" si="33">MIN(1,MAX(0.0001,W70/O70/(1-Q70)))</f>
        <v>0.87095911276986593</v>
      </c>
      <c r="S70" s="3">
        <f t="shared" si="26"/>
        <v>0.12904088723013407</v>
      </c>
      <c r="T70">
        <f t="shared" si="27"/>
        <v>2228.4673945897302</v>
      </c>
      <c r="U70">
        <f t="shared" si="28"/>
        <v>12976.417309041</v>
      </c>
      <c r="V70">
        <f t="shared" si="29"/>
        <v>0.12904088723013404</v>
      </c>
      <c r="W70">
        <f>B70</f>
        <v>15041</v>
      </c>
      <c r="X70">
        <f>O74</f>
        <v>179049</v>
      </c>
      <c r="Y70">
        <f t="shared" ref="Y70" si="34">LN(X70/W70)</f>
        <v>2.4768797057236553</v>
      </c>
      <c r="Z70">
        <f t="shared" si="21"/>
        <v>0.60895058341935115</v>
      </c>
      <c r="AA70" s="5">
        <f t="shared" si="20"/>
        <v>34350.067143545239</v>
      </c>
      <c r="AB70">
        <f t="shared" si="22"/>
        <v>0.3</v>
      </c>
      <c r="AC70">
        <f t="shared" si="30"/>
        <v>20942.252802049239</v>
      </c>
      <c r="AD70">
        <f t="shared" si="31"/>
        <v>10305.020143063572</v>
      </c>
    </row>
    <row r="71" spans="1:30" x14ac:dyDescent="0.35">
      <c r="A71">
        <v>2019</v>
      </c>
      <c r="B71">
        <v>2998</v>
      </c>
      <c r="C71">
        <v>60</v>
      </c>
      <c r="D71">
        <v>3058</v>
      </c>
      <c r="E71">
        <v>300.41172033711598</v>
      </c>
      <c r="F71">
        <v>90.191199828453904</v>
      </c>
      <c r="G71">
        <v>2.58990139521396E-3</v>
      </c>
      <c r="H71">
        <v>597.50071594536303</v>
      </c>
      <c r="I71">
        <v>4330</v>
      </c>
      <c r="N71">
        <f t="shared" si="23"/>
        <v>2019</v>
      </c>
      <c r="O71">
        <f t="shared" si="32"/>
        <v>4270</v>
      </c>
      <c r="P71">
        <f t="shared" si="24"/>
        <v>90.193789729849115</v>
      </c>
      <c r="Q71">
        <f t="shared" si="25"/>
        <v>2.1122667384039607E-2</v>
      </c>
      <c r="R71">
        <f t="shared" si="33"/>
        <v>0.71725813331576249</v>
      </c>
      <c r="S71" s="3">
        <f t="shared" si="26"/>
        <v>0.28274186668423751</v>
      </c>
      <c r="T71">
        <f t="shared" si="27"/>
        <v>1181.806210270151</v>
      </c>
      <c r="U71">
        <f t="shared" si="28"/>
        <v>-300.41172033711598</v>
      </c>
      <c r="V71">
        <f t="shared" si="29"/>
        <v>0.28274186668423751</v>
      </c>
      <c r="W71">
        <f>B71</f>
        <v>2998</v>
      </c>
      <c r="X71">
        <f>O75</f>
        <v>104143</v>
      </c>
      <c r="Y71">
        <f>LN(X71/W71)</f>
        <v>3.5478195550141107</v>
      </c>
      <c r="Z71">
        <f t="shared" si="21"/>
        <v>1.5831431102155755</v>
      </c>
      <c r="AA71" s="5">
        <f t="shared" si="20"/>
        <v>3377.6752773998119</v>
      </c>
      <c r="AB71">
        <f t="shared" si="22"/>
        <v>0.3</v>
      </c>
      <c r="AC71">
        <f t="shared" si="30"/>
        <v>1695.8655450902124</v>
      </c>
      <c r="AD71">
        <f t="shared" si="31"/>
        <v>1013.3025832199435</v>
      </c>
    </row>
    <row r="72" spans="1:30" x14ac:dyDescent="0.35">
      <c r="A72">
        <v>2020</v>
      </c>
      <c r="B72">
        <v>5308</v>
      </c>
      <c r="C72">
        <v>168</v>
      </c>
      <c r="D72">
        <v>5476</v>
      </c>
      <c r="E72">
        <v>-3892.9268739100698</v>
      </c>
      <c r="F72">
        <v>84.205870034995996</v>
      </c>
      <c r="G72">
        <v>5.7263734526889799E-3</v>
      </c>
      <c r="H72">
        <v>236.153690164171</v>
      </c>
      <c r="I72">
        <v>7161</v>
      </c>
      <c r="N72">
        <f t="shared" si="23"/>
        <v>2020</v>
      </c>
      <c r="O72">
        <f t="shared" si="32"/>
        <v>6993</v>
      </c>
      <c r="P72">
        <f t="shared" si="24"/>
        <v>84.211596408448685</v>
      </c>
      <c r="Q72">
        <f t="shared" si="25"/>
        <v>1.2042270328678491E-2</v>
      </c>
      <c r="R72">
        <f t="shared" si="33"/>
        <v>0.76829679676404949</v>
      </c>
      <c r="S72" s="3">
        <f t="shared" si="26"/>
        <v>0.23170320323595051</v>
      </c>
      <c r="T72">
        <f t="shared" si="27"/>
        <v>1600.7884035915513</v>
      </c>
      <c r="U72">
        <f t="shared" si="28"/>
        <v>3892.9268739100698</v>
      </c>
      <c r="V72">
        <f t="shared" si="29"/>
        <v>0.23170320323595051</v>
      </c>
      <c r="W72">
        <f t="shared" ref="W72:W75" si="35">B72</f>
        <v>5308</v>
      </c>
      <c r="X72" s="5">
        <f t="shared" ref="X72:X77" si="36">W68*EXP(ra-rb*W68+Z68)</f>
        <v>6993.0000000000009</v>
      </c>
      <c r="Z72" s="6">
        <f>AVERAGE(Z69:Z71)</f>
        <v>0.48389682836116976</v>
      </c>
      <c r="AA72" s="5">
        <f>AC68*EXP(ra-rb*AC68+Z68)</f>
        <v>5735.1865955632256</v>
      </c>
      <c r="AB72">
        <f t="shared" si="22"/>
        <v>0.3</v>
      </c>
      <c r="AC72">
        <f t="shared" si="30"/>
        <v>3084.4278431507382</v>
      </c>
      <c r="AD72">
        <f t="shared" si="31"/>
        <v>1720.5559786689676</v>
      </c>
    </row>
    <row r="73" spans="1:30" x14ac:dyDescent="0.35">
      <c r="A73">
        <v>2021</v>
      </c>
      <c r="B73">
        <v>45853</v>
      </c>
      <c r="C73">
        <v>40</v>
      </c>
      <c r="D73">
        <v>45893</v>
      </c>
      <c r="E73">
        <v>-71442.167542779498</v>
      </c>
      <c r="F73">
        <v>484.98578374906998</v>
      </c>
      <c r="G73">
        <v>53.500717245644097</v>
      </c>
      <c r="H73">
        <v>4402.5595787406601</v>
      </c>
      <c r="I73">
        <v>55932</v>
      </c>
      <c r="N73">
        <f t="shared" si="23"/>
        <v>2021</v>
      </c>
      <c r="O73">
        <f t="shared" si="32"/>
        <v>55892</v>
      </c>
      <c r="P73">
        <f t="shared" si="24"/>
        <v>538.48650099471411</v>
      </c>
      <c r="Q73">
        <f t="shared" si="25"/>
        <v>9.6344110247390344E-3</v>
      </c>
      <c r="R73">
        <f t="shared" si="33"/>
        <v>0.82836656792931473</v>
      </c>
      <c r="S73" s="3">
        <f t="shared" si="26"/>
        <v>0.17163343207068527</v>
      </c>
      <c r="T73">
        <f t="shared" si="27"/>
        <v>9500.5134990052829</v>
      </c>
      <c r="U73">
        <f t="shared" si="28"/>
        <v>71442.167542779498</v>
      </c>
      <c r="V73">
        <f t="shared" si="29"/>
        <v>0.17163343207068527</v>
      </c>
      <c r="W73">
        <f t="shared" si="35"/>
        <v>45853</v>
      </c>
      <c r="X73" s="5">
        <f t="shared" si="36"/>
        <v>55891.999999999993</v>
      </c>
      <c r="Z73" s="6">
        <f t="shared" ref="Z73:Z77" si="37">AVERAGE(Z70:Z72)</f>
        <v>0.89199684066536555</v>
      </c>
      <c r="AA73" s="5">
        <f t="shared" ref="AA73:AA76" si="38">AC69*EXP(ra-rb*AC69+Z69)</f>
        <v>11166.869293740927</v>
      </c>
      <c r="AB73">
        <f t="shared" si="22"/>
        <v>0.3</v>
      </c>
      <c r="AC73">
        <f>AA73*(1-AB73)*R73</f>
        <v>6475.1828339599952</v>
      </c>
      <c r="AD73">
        <f t="shared" si="31"/>
        <v>3350.0607881222782</v>
      </c>
    </row>
    <row r="74" spans="1:30" x14ac:dyDescent="0.35">
      <c r="A74">
        <v>2022</v>
      </c>
      <c r="B74">
        <v>127815</v>
      </c>
      <c r="C74">
        <v>1910</v>
      </c>
      <c r="D74">
        <v>129725</v>
      </c>
      <c r="E74">
        <v>-31918.344169657499</v>
      </c>
      <c r="F74">
        <v>25292.882106482899</v>
      </c>
      <c r="G74">
        <v>2151.4733929147501</v>
      </c>
      <c r="H74">
        <v>886.14781461294797</v>
      </c>
      <c r="I74">
        <v>180959</v>
      </c>
      <c r="N74">
        <f t="shared" si="23"/>
        <v>2022</v>
      </c>
      <c r="O74">
        <f t="shared" si="32"/>
        <v>179049</v>
      </c>
      <c r="P74">
        <f t="shared" si="24"/>
        <v>27444.35549939765</v>
      </c>
      <c r="Q74">
        <f t="shared" si="25"/>
        <v>0.15327846287551258</v>
      </c>
      <c r="R74">
        <f t="shared" si="33"/>
        <v>0.84308103106624921</v>
      </c>
      <c r="S74" s="3">
        <f t="shared" si="26"/>
        <v>0.15691896893375079</v>
      </c>
      <c r="T74">
        <f t="shared" si="27"/>
        <v>23789.644500602357</v>
      </c>
      <c r="U74">
        <f t="shared" si="28"/>
        <v>31918.344169657499</v>
      </c>
      <c r="V74">
        <f t="shared" si="29"/>
        <v>0.15691896893375082</v>
      </c>
      <c r="W74">
        <f t="shared" si="35"/>
        <v>127815</v>
      </c>
      <c r="X74" s="5">
        <f t="shared" si="36"/>
        <v>179049.00000000003</v>
      </c>
      <c r="Z74" s="6">
        <f t="shared" si="37"/>
        <v>0.98634559308070369</v>
      </c>
      <c r="AA74" s="5">
        <f t="shared" si="38"/>
        <v>237755.02396334871</v>
      </c>
      <c r="AB74">
        <f t="shared" si="22"/>
        <v>0.3</v>
      </c>
      <c r="AC74">
        <f t="shared" si="30"/>
        <v>140312.72552094056</v>
      </c>
      <c r="AD74">
        <f t="shared" si="31"/>
        <v>71326.507189004609</v>
      </c>
    </row>
    <row r="75" spans="1:30" x14ac:dyDescent="0.35">
      <c r="A75">
        <v>2023</v>
      </c>
      <c r="B75">
        <v>75695</v>
      </c>
      <c r="C75">
        <v>198</v>
      </c>
      <c r="D75">
        <v>75893</v>
      </c>
      <c r="E75">
        <v>-121137.45054907601</v>
      </c>
      <c r="F75">
        <v>1754.2990959763899</v>
      </c>
      <c r="G75">
        <v>2.9416335528958601</v>
      </c>
      <c r="H75">
        <v>515.13198778639105</v>
      </c>
      <c r="I75">
        <v>104341</v>
      </c>
      <c r="N75">
        <f t="shared" si="23"/>
        <v>2023</v>
      </c>
      <c r="O75">
        <f t="shared" si="32"/>
        <v>104143</v>
      </c>
      <c r="P75">
        <f t="shared" si="24"/>
        <v>1757.2407295292858</v>
      </c>
      <c r="Q75">
        <f t="shared" si="25"/>
        <v>1.6873344627380483E-2</v>
      </c>
      <c r="R75">
        <f t="shared" si="33"/>
        <v>0.73931180018929976</v>
      </c>
      <c r="S75" s="3">
        <f t="shared" si="26"/>
        <v>0.26068819981070024</v>
      </c>
      <c r="T75">
        <f t="shared" si="27"/>
        <v>26690.75927047072</v>
      </c>
      <c r="U75">
        <f t="shared" si="28"/>
        <v>121137.45054907601</v>
      </c>
      <c r="V75">
        <f t="shared" si="29"/>
        <v>0.26068819981070018</v>
      </c>
      <c r="W75">
        <f t="shared" si="35"/>
        <v>75695</v>
      </c>
      <c r="X75" s="5">
        <f t="shared" si="36"/>
        <v>104143.00000000003</v>
      </c>
      <c r="Z75" s="6">
        <f t="shared" si="37"/>
        <v>0.78741308736907956</v>
      </c>
      <c r="AA75" s="5">
        <f t="shared" si="38"/>
        <v>59529.589768343038</v>
      </c>
      <c r="AB75">
        <f t="shared" si="22"/>
        <v>0.3</v>
      </c>
      <c r="AC75">
        <f t="shared" si="30"/>
        <v>30807.649723314946</v>
      </c>
      <c r="AD75">
        <f t="shared" si="31"/>
        <v>17858.876930502909</v>
      </c>
    </row>
    <row r="76" spans="1:30" x14ac:dyDescent="0.35">
      <c r="N76">
        <f>N75+1</f>
        <v>2024</v>
      </c>
      <c r="X76" s="5">
        <f t="shared" si="36"/>
        <v>60293.905396966809</v>
      </c>
      <c r="Z76" s="6">
        <f t="shared" si="37"/>
        <v>0.88858517370504952</v>
      </c>
      <c r="AA76" s="5">
        <f t="shared" si="38"/>
        <v>35667.686254241409</v>
      </c>
      <c r="AB76">
        <f t="shared" si="22"/>
        <v>0.3</v>
      </c>
      <c r="AC76">
        <f t="shared" si="30"/>
        <v>0</v>
      </c>
      <c r="AD76">
        <f t="shared" si="31"/>
        <v>10700.305876272423</v>
      </c>
    </row>
    <row r="77" spans="1:30" x14ac:dyDescent="0.35">
      <c r="N77">
        <f>N76+1</f>
        <v>2025</v>
      </c>
      <c r="X77" s="5">
        <f t="shared" si="36"/>
        <v>565572.61183343385</v>
      </c>
      <c r="Z77" s="6">
        <f t="shared" si="37"/>
        <v>0.88744795138494414</v>
      </c>
      <c r="AA77" s="5">
        <f>AC73*EXP(ra-rb*AC73+Z73)</f>
        <v>109586.72175797324</v>
      </c>
      <c r="AB77">
        <f t="shared" si="22"/>
        <v>0.3</v>
      </c>
      <c r="AC77">
        <f t="shared" si="30"/>
        <v>0</v>
      </c>
      <c r="AD77">
        <f t="shared" si="31"/>
        <v>32876.01652739197</v>
      </c>
    </row>
  </sheetData>
  <conditionalFormatting sqref="Q4:S4 Q5:Q76 R5:S77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ra</vt:lpstr>
      <vt:lpstr>rb</vt:lpstr>
      <vt:lpstr>retroU</vt:lpstr>
      <vt:lpstr>useretro</vt:lpstr>
      <vt:lpstr>yrretro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Oleynik, Haley</dc:creator>
  <cp:lastModifiedBy>Oleynik, Haley</cp:lastModifiedBy>
  <dcterms:created xsi:type="dcterms:W3CDTF">2026-01-16T16:41:59Z</dcterms:created>
  <dcterms:modified xsi:type="dcterms:W3CDTF">2026-01-16T16:48:01Z</dcterms:modified>
</cp:coreProperties>
</file>