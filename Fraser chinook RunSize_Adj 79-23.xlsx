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walters\Dropbox\Backups\Assessments\Georgia\"/>
    </mc:Choice>
  </mc:AlternateContent>
  <xr:revisionPtr revIDLastSave="0" documentId="13_ncr:1_{DFE84308-B9E7-4295-871E-32DC871ADC70}" xr6:coauthVersionLast="36" xr6:coauthVersionMax="47" xr10:uidLastSave="{00000000-0000-0000-0000-000000000000}"/>
  <bookViews>
    <workbookView xWindow="0" yWindow="0" windowWidth="20736" windowHeight="8658" activeTab="1" xr2:uid="{FBA9FBE2-AA36-4843-8758-B58C518BB78C}"/>
  </bookViews>
  <sheets>
    <sheet name="runsize correlations" sheetId="4" r:id="rId1"/>
    <sheet name="RunSize_by_Stock" sheetId="2" r:id="rId2"/>
    <sheet name="Escapements" sheetId="3" r:id="rId3"/>
    <sheet name="RunSize_by_Group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K3" i="1"/>
  <c r="L3" i="1"/>
  <c r="M3" i="1"/>
  <c r="N3" i="1"/>
  <c r="J4" i="1"/>
  <c r="K4" i="1"/>
  <c r="L4" i="1"/>
  <c r="M4" i="1"/>
  <c r="N4" i="1"/>
  <c r="J5" i="1"/>
  <c r="K5" i="1"/>
  <c r="L5" i="1"/>
  <c r="M5" i="1"/>
  <c r="N5" i="1"/>
  <c r="J6" i="1"/>
  <c r="K6" i="1"/>
  <c r="L6" i="1"/>
  <c r="M6" i="1"/>
  <c r="N6" i="1"/>
  <c r="J7" i="1"/>
  <c r="K7" i="1"/>
  <c r="L7" i="1"/>
  <c r="M7" i="1"/>
  <c r="N7" i="1"/>
  <c r="J8" i="1"/>
  <c r="K8" i="1"/>
  <c r="L8" i="1"/>
  <c r="M8" i="1"/>
  <c r="N8" i="1"/>
  <c r="J9" i="1"/>
  <c r="K9" i="1"/>
  <c r="L9" i="1"/>
  <c r="M9" i="1"/>
  <c r="N9" i="1"/>
  <c r="J10" i="1"/>
  <c r="K10" i="1"/>
  <c r="L10" i="1"/>
  <c r="M10" i="1"/>
  <c r="N10" i="1"/>
  <c r="J11" i="1"/>
  <c r="K11" i="1"/>
  <c r="L11" i="1"/>
  <c r="M11" i="1"/>
  <c r="N11" i="1"/>
  <c r="J12" i="1"/>
  <c r="K12" i="1"/>
  <c r="L12" i="1"/>
  <c r="M12" i="1"/>
  <c r="N12" i="1"/>
  <c r="J13" i="1"/>
  <c r="K13" i="1"/>
  <c r="L13" i="1"/>
  <c r="M13" i="1"/>
  <c r="N13" i="1"/>
  <c r="J14" i="1"/>
  <c r="K14" i="1"/>
  <c r="L14" i="1"/>
  <c r="M14" i="1"/>
  <c r="N14" i="1"/>
  <c r="J15" i="1"/>
  <c r="K15" i="1"/>
  <c r="L15" i="1"/>
  <c r="M15" i="1"/>
  <c r="N15" i="1"/>
  <c r="J16" i="1"/>
  <c r="K16" i="1"/>
  <c r="L16" i="1"/>
  <c r="M16" i="1"/>
  <c r="N16" i="1"/>
  <c r="J17" i="1"/>
  <c r="K17" i="1"/>
  <c r="L17" i="1"/>
  <c r="M17" i="1"/>
  <c r="N17" i="1"/>
  <c r="J18" i="1"/>
  <c r="K18" i="1"/>
  <c r="L18" i="1"/>
  <c r="M18" i="1"/>
  <c r="N18" i="1"/>
  <c r="J19" i="1"/>
  <c r="K19" i="1"/>
  <c r="L19" i="1"/>
  <c r="M19" i="1"/>
  <c r="N19" i="1"/>
  <c r="J20" i="1"/>
  <c r="K20" i="1"/>
  <c r="L20" i="1"/>
  <c r="M20" i="1"/>
  <c r="N20" i="1"/>
  <c r="J21" i="1"/>
  <c r="K21" i="1"/>
  <c r="L21" i="1"/>
  <c r="M21" i="1"/>
  <c r="N21" i="1"/>
  <c r="J22" i="1"/>
  <c r="K22" i="1"/>
  <c r="L22" i="1"/>
  <c r="M22" i="1"/>
  <c r="N22" i="1"/>
  <c r="J23" i="1"/>
  <c r="K23" i="1"/>
  <c r="L23" i="1"/>
  <c r="M23" i="1"/>
  <c r="N23" i="1"/>
  <c r="J24" i="1"/>
  <c r="K24" i="1"/>
  <c r="L24" i="1"/>
  <c r="M24" i="1"/>
  <c r="N24" i="1"/>
  <c r="J25" i="1"/>
  <c r="K25" i="1"/>
  <c r="L25" i="1"/>
  <c r="M25" i="1"/>
  <c r="N25" i="1"/>
  <c r="J26" i="1"/>
  <c r="K26" i="1"/>
  <c r="L26" i="1"/>
  <c r="M26" i="1"/>
  <c r="N26" i="1"/>
  <c r="J27" i="1"/>
  <c r="K27" i="1"/>
  <c r="L27" i="1"/>
  <c r="M27" i="1"/>
  <c r="N27" i="1"/>
  <c r="J28" i="1"/>
  <c r="K28" i="1"/>
  <c r="L28" i="1"/>
  <c r="M28" i="1"/>
  <c r="N28" i="1"/>
  <c r="J29" i="1"/>
  <c r="K29" i="1"/>
  <c r="L29" i="1"/>
  <c r="M29" i="1"/>
  <c r="N29" i="1"/>
  <c r="J30" i="1"/>
  <c r="K30" i="1"/>
  <c r="L30" i="1"/>
  <c r="M30" i="1"/>
  <c r="N30" i="1"/>
  <c r="J31" i="1"/>
  <c r="K31" i="1"/>
  <c r="L31" i="1"/>
  <c r="M31" i="1"/>
  <c r="N31" i="1"/>
  <c r="J32" i="1"/>
  <c r="K32" i="1"/>
  <c r="L32" i="1"/>
  <c r="M32" i="1"/>
  <c r="N32" i="1"/>
  <c r="J33" i="1"/>
  <c r="K33" i="1"/>
  <c r="L33" i="1"/>
  <c r="M33" i="1"/>
  <c r="N33" i="1"/>
  <c r="J34" i="1"/>
  <c r="K34" i="1"/>
  <c r="L34" i="1"/>
  <c r="M34" i="1"/>
  <c r="N34" i="1"/>
  <c r="J35" i="1"/>
  <c r="K35" i="1"/>
  <c r="L35" i="1"/>
  <c r="M35" i="1"/>
  <c r="N35" i="1"/>
  <c r="J36" i="1"/>
  <c r="K36" i="1"/>
  <c r="L36" i="1"/>
  <c r="M36" i="1"/>
  <c r="N36" i="1"/>
  <c r="J37" i="1"/>
  <c r="K37" i="1"/>
  <c r="L37" i="1"/>
  <c r="M37" i="1"/>
  <c r="N37" i="1"/>
  <c r="J38" i="1"/>
  <c r="K38" i="1"/>
  <c r="L38" i="1"/>
  <c r="M38" i="1"/>
  <c r="N38" i="1"/>
  <c r="J39" i="1"/>
  <c r="K39" i="1"/>
  <c r="L39" i="1"/>
  <c r="M39" i="1"/>
  <c r="N39" i="1"/>
  <c r="J40" i="1"/>
  <c r="K40" i="1"/>
  <c r="L40" i="1"/>
  <c r="M40" i="1"/>
  <c r="N40" i="1"/>
  <c r="J41" i="1"/>
  <c r="K41" i="1"/>
  <c r="L41" i="1"/>
  <c r="M41" i="1"/>
  <c r="N41" i="1"/>
  <c r="J42" i="1"/>
  <c r="K42" i="1"/>
  <c r="L42" i="1"/>
  <c r="M42" i="1"/>
  <c r="N42" i="1"/>
  <c r="J43" i="1"/>
  <c r="K43" i="1"/>
  <c r="L43" i="1"/>
  <c r="M43" i="1"/>
  <c r="N43" i="1"/>
  <c r="J44" i="1"/>
  <c r="K44" i="1"/>
  <c r="L44" i="1"/>
  <c r="M44" i="1"/>
  <c r="N44" i="1"/>
  <c r="J45" i="1"/>
  <c r="K45" i="1"/>
  <c r="L45" i="1"/>
  <c r="M45" i="1"/>
  <c r="N45" i="1"/>
  <c r="J46" i="1"/>
  <c r="K46" i="1"/>
  <c r="L46" i="1"/>
  <c r="M46" i="1"/>
  <c r="N46" i="1"/>
  <c r="K2" i="1"/>
  <c r="L2" i="1"/>
  <c r="M2" i="1"/>
  <c r="N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2" i="1"/>
  <c r="K1" i="1"/>
  <c r="L1" i="1"/>
  <c r="M1" i="1"/>
  <c r="N1" i="1"/>
  <c r="J1" i="1"/>
  <c r="B51" i="3"/>
  <c r="CH51" i="3" s="1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B52" i="3"/>
  <c r="CH52" i="3" s="1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B53" i="3"/>
  <c r="CH53" i="3" s="1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B54" i="3"/>
  <c r="C54" i="3"/>
  <c r="D54" i="3"/>
  <c r="E54" i="3"/>
  <c r="F54" i="3"/>
  <c r="G54" i="3"/>
  <c r="H54" i="3"/>
  <c r="I54" i="3"/>
  <c r="J54" i="3"/>
  <c r="K54" i="3"/>
  <c r="L54" i="3"/>
  <c r="M54" i="3"/>
  <c r="CH54" i="3" s="1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B55" i="3"/>
  <c r="C55" i="3"/>
  <c r="D55" i="3"/>
  <c r="E55" i="3"/>
  <c r="F55" i="3"/>
  <c r="G55" i="3"/>
  <c r="H55" i="3"/>
  <c r="CH55" i="3" s="1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B56" i="3"/>
  <c r="C56" i="3"/>
  <c r="D56" i="3"/>
  <c r="CH56" i="3" s="1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B57" i="3"/>
  <c r="CH57" i="3" s="1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C57" i="3"/>
  <c r="CD57" i="3"/>
  <c r="CE57" i="3"/>
  <c r="CF57" i="3"/>
  <c r="CG57" i="3"/>
  <c r="B58" i="3"/>
  <c r="CH58" i="3" s="1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B59" i="3"/>
  <c r="CH59" i="3" s="1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E59" i="3"/>
  <c r="CF59" i="3"/>
  <c r="CG59" i="3"/>
  <c r="B60" i="3"/>
  <c r="CH60" i="3" s="1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B61" i="3"/>
  <c r="CH61" i="3" s="1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B62" i="3"/>
  <c r="CH62" i="3" s="1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B63" i="3"/>
  <c r="CH63" i="3" s="1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CG63" i="3"/>
  <c r="B64" i="3"/>
  <c r="CH64" i="3" s="1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B65" i="3"/>
  <c r="CH65" i="3" s="1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CD65" i="3"/>
  <c r="CE65" i="3"/>
  <c r="CF65" i="3"/>
  <c r="CG65" i="3"/>
  <c r="B66" i="3"/>
  <c r="CH66" i="3" s="1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C66" i="3"/>
  <c r="CD66" i="3"/>
  <c r="CE66" i="3"/>
  <c r="CF66" i="3"/>
  <c r="CG66" i="3"/>
  <c r="B67" i="3"/>
  <c r="CH67" i="3" s="1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B68" i="3"/>
  <c r="CH68" i="3" s="1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CD68" i="3"/>
  <c r="CE68" i="3"/>
  <c r="CF68" i="3"/>
  <c r="CG68" i="3"/>
  <c r="B69" i="3"/>
  <c r="CH69" i="3" s="1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B70" i="3"/>
  <c r="C70" i="3"/>
  <c r="D70" i="3"/>
  <c r="E70" i="3"/>
  <c r="F70" i="3"/>
  <c r="G70" i="3"/>
  <c r="H70" i="3"/>
  <c r="I70" i="3"/>
  <c r="J70" i="3"/>
  <c r="K70" i="3"/>
  <c r="L70" i="3"/>
  <c r="M70" i="3"/>
  <c r="CH70" i="3" s="1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B71" i="3"/>
  <c r="CH71" i="3" s="1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B72" i="3"/>
  <c r="CH72" i="3" s="1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B73" i="3"/>
  <c r="CH73" i="3" s="1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C73" i="3"/>
  <c r="CD73" i="3"/>
  <c r="CE73" i="3"/>
  <c r="CF73" i="3"/>
  <c r="CG73" i="3"/>
  <c r="B74" i="3"/>
  <c r="CH74" i="3" s="1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B75" i="3"/>
  <c r="CH75" i="3" s="1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B76" i="3"/>
  <c r="CH76" i="3" s="1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BE76" i="3"/>
  <c r="BF76" i="3"/>
  <c r="BG76" i="3"/>
  <c r="BH76" i="3"/>
  <c r="BI76" i="3"/>
  <c r="BJ76" i="3"/>
  <c r="BK76" i="3"/>
  <c r="BL76" i="3"/>
  <c r="BM76" i="3"/>
  <c r="BN76" i="3"/>
  <c r="BO76" i="3"/>
  <c r="BP76" i="3"/>
  <c r="BQ76" i="3"/>
  <c r="BR76" i="3"/>
  <c r="BS76" i="3"/>
  <c r="BT76" i="3"/>
  <c r="BU76" i="3"/>
  <c r="BV76" i="3"/>
  <c r="BW76" i="3"/>
  <c r="BX76" i="3"/>
  <c r="BY76" i="3"/>
  <c r="BZ76" i="3"/>
  <c r="CA76" i="3"/>
  <c r="CB76" i="3"/>
  <c r="CC76" i="3"/>
  <c r="CD76" i="3"/>
  <c r="CE76" i="3"/>
  <c r="CF76" i="3"/>
  <c r="CG76" i="3"/>
  <c r="B77" i="3"/>
  <c r="CH77" i="3" s="1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BW77" i="3"/>
  <c r="BX77" i="3"/>
  <c r="BY77" i="3"/>
  <c r="BZ77" i="3"/>
  <c r="CA77" i="3"/>
  <c r="CB77" i="3"/>
  <c r="CC77" i="3"/>
  <c r="CD77" i="3"/>
  <c r="CE77" i="3"/>
  <c r="CF77" i="3"/>
  <c r="CG77" i="3"/>
  <c r="B78" i="3"/>
  <c r="CH78" i="3" s="1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BN78" i="3"/>
  <c r="BO78" i="3"/>
  <c r="BP78" i="3"/>
  <c r="BQ78" i="3"/>
  <c r="BR78" i="3"/>
  <c r="BS78" i="3"/>
  <c r="BT78" i="3"/>
  <c r="BU78" i="3"/>
  <c r="BV78" i="3"/>
  <c r="BW78" i="3"/>
  <c r="BX78" i="3"/>
  <c r="BY78" i="3"/>
  <c r="BZ78" i="3"/>
  <c r="CA78" i="3"/>
  <c r="CB78" i="3"/>
  <c r="CC78" i="3"/>
  <c r="CD78" i="3"/>
  <c r="CE78" i="3"/>
  <c r="CF78" i="3"/>
  <c r="CG78" i="3"/>
  <c r="B79" i="3"/>
  <c r="CH79" i="3" s="1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W79" i="3"/>
  <c r="BX79" i="3"/>
  <c r="BY79" i="3"/>
  <c r="BZ79" i="3"/>
  <c r="CA79" i="3"/>
  <c r="CB79" i="3"/>
  <c r="CC79" i="3"/>
  <c r="CD79" i="3"/>
  <c r="CE79" i="3"/>
  <c r="CF79" i="3"/>
  <c r="CG79" i="3"/>
  <c r="B80" i="3"/>
  <c r="CH80" i="3" s="1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CD80" i="3"/>
  <c r="CE80" i="3"/>
  <c r="CF80" i="3"/>
  <c r="CG80" i="3"/>
  <c r="B81" i="3"/>
  <c r="CH81" i="3" s="1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CD81" i="3"/>
  <c r="CE81" i="3"/>
  <c r="CF81" i="3"/>
  <c r="CG81" i="3"/>
  <c r="B82" i="3"/>
  <c r="CH82" i="3" s="1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BW82" i="3"/>
  <c r="BX82" i="3"/>
  <c r="BY82" i="3"/>
  <c r="BZ82" i="3"/>
  <c r="CA82" i="3"/>
  <c r="CB82" i="3"/>
  <c r="CC82" i="3"/>
  <c r="CD82" i="3"/>
  <c r="CE82" i="3"/>
  <c r="CF82" i="3"/>
  <c r="CG82" i="3"/>
  <c r="B83" i="3"/>
  <c r="CH83" i="3" s="1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BN83" i="3"/>
  <c r="BO83" i="3"/>
  <c r="BP83" i="3"/>
  <c r="BQ83" i="3"/>
  <c r="BR83" i="3"/>
  <c r="BS83" i="3"/>
  <c r="BT83" i="3"/>
  <c r="BU83" i="3"/>
  <c r="BV83" i="3"/>
  <c r="BW83" i="3"/>
  <c r="BX83" i="3"/>
  <c r="BY83" i="3"/>
  <c r="BZ83" i="3"/>
  <c r="CA83" i="3"/>
  <c r="CB83" i="3"/>
  <c r="CC83" i="3"/>
  <c r="CD83" i="3"/>
  <c r="CE83" i="3"/>
  <c r="CF83" i="3"/>
  <c r="CG83" i="3"/>
  <c r="B84" i="3"/>
  <c r="CH84" i="3" s="1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BN84" i="3"/>
  <c r="BO84" i="3"/>
  <c r="BP84" i="3"/>
  <c r="BQ84" i="3"/>
  <c r="BR84" i="3"/>
  <c r="BS84" i="3"/>
  <c r="BT84" i="3"/>
  <c r="BU84" i="3"/>
  <c r="BV84" i="3"/>
  <c r="BW84" i="3"/>
  <c r="BX84" i="3"/>
  <c r="BY84" i="3"/>
  <c r="BZ84" i="3"/>
  <c r="CA84" i="3"/>
  <c r="CB84" i="3"/>
  <c r="CC84" i="3"/>
  <c r="CD84" i="3"/>
  <c r="CE84" i="3"/>
  <c r="CF84" i="3"/>
  <c r="CG84" i="3"/>
  <c r="B85" i="3"/>
  <c r="CH85" i="3" s="1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Z85" i="3"/>
  <c r="CA85" i="3"/>
  <c r="CB85" i="3"/>
  <c r="CC85" i="3"/>
  <c r="CD85" i="3"/>
  <c r="CE85" i="3"/>
  <c r="CF85" i="3"/>
  <c r="CG85" i="3"/>
  <c r="B86" i="3"/>
  <c r="C86" i="3"/>
  <c r="D86" i="3"/>
  <c r="E86" i="3"/>
  <c r="F86" i="3"/>
  <c r="G86" i="3"/>
  <c r="H86" i="3"/>
  <c r="I86" i="3"/>
  <c r="J86" i="3"/>
  <c r="K86" i="3"/>
  <c r="L86" i="3"/>
  <c r="M86" i="3"/>
  <c r="CH86" i="3" s="1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BT86" i="3"/>
  <c r="BU86" i="3"/>
  <c r="BV86" i="3"/>
  <c r="BW86" i="3"/>
  <c r="BX86" i="3"/>
  <c r="BY86" i="3"/>
  <c r="BZ86" i="3"/>
  <c r="CA86" i="3"/>
  <c r="CB86" i="3"/>
  <c r="CC86" i="3"/>
  <c r="CD86" i="3"/>
  <c r="CE86" i="3"/>
  <c r="CF86" i="3"/>
  <c r="CG86" i="3"/>
  <c r="B87" i="3"/>
  <c r="CH87" i="3" s="1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K87" i="3"/>
  <c r="BL87" i="3"/>
  <c r="BM87" i="3"/>
  <c r="BN87" i="3"/>
  <c r="BO87" i="3"/>
  <c r="BP87" i="3"/>
  <c r="BQ87" i="3"/>
  <c r="BR87" i="3"/>
  <c r="BS87" i="3"/>
  <c r="BT87" i="3"/>
  <c r="BU87" i="3"/>
  <c r="BV87" i="3"/>
  <c r="BW87" i="3"/>
  <c r="BX87" i="3"/>
  <c r="BY87" i="3"/>
  <c r="BZ87" i="3"/>
  <c r="CA87" i="3"/>
  <c r="CB87" i="3"/>
  <c r="CC87" i="3"/>
  <c r="CD87" i="3"/>
  <c r="CE87" i="3"/>
  <c r="CF87" i="3"/>
  <c r="CG87" i="3"/>
  <c r="B88" i="3"/>
  <c r="CH88" i="3" s="1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BK88" i="3"/>
  <c r="BL88" i="3"/>
  <c r="BM88" i="3"/>
  <c r="BN88" i="3"/>
  <c r="BO88" i="3"/>
  <c r="BP88" i="3"/>
  <c r="BQ88" i="3"/>
  <c r="BR88" i="3"/>
  <c r="BS88" i="3"/>
  <c r="BT88" i="3"/>
  <c r="BU88" i="3"/>
  <c r="BV88" i="3"/>
  <c r="BW88" i="3"/>
  <c r="BX88" i="3"/>
  <c r="BY88" i="3"/>
  <c r="BZ88" i="3"/>
  <c r="CA88" i="3"/>
  <c r="CB88" i="3"/>
  <c r="CC88" i="3"/>
  <c r="CD88" i="3"/>
  <c r="CE88" i="3"/>
  <c r="CF88" i="3"/>
  <c r="CG88" i="3"/>
  <c r="B89" i="3"/>
  <c r="CH89" i="3" s="1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BN89" i="3"/>
  <c r="BO89" i="3"/>
  <c r="BP89" i="3"/>
  <c r="BQ89" i="3"/>
  <c r="BR89" i="3"/>
  <c r="BS89" i="3"/>
  <c r="BT89" i="3"/>
  <c r="BU89" i="3"/>
  <c r="BV89" i="3"/>
  <c r="BW89" i="3"/>
  <c r="BX89" i="3"/>
  <c r="BY89" i="3"/>
  <c r="BZ89" i="3"/>
  <c r="CA89" i="3"/>
  <c r="CB89" i="3"/>
  <c r="CC89" i="3"/>
  <c r="CD89" i="3"/>
  <c r="CE89" i="3"/>
  <c r="CF89" i="3"/>
  <c r="CG89" i="3"/>
  <c r="B90" i="3"/>
  <c r="CH90" i="3" s="1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BO90" i="3"/>
  <c r="BP90" i="3"/>
  <c r="BQ90" i="3"/>
  <c r="BR90" i="3"/>
  <c r="BS90" i="3"/>
  <c r="BT90" i="3"/>
  <c r="BU90" i="3"/>
  <c r="BV90" i="3"/>
  <c r="BW90" i="3"/>
  <c r="BX90" i="3"/>
  <c r="BY90" i="3"/>
  <c r="BZ90" i="3"/>
  <c r="CA90" i="3"/>
  <c r="CB90" i="3"/>
  <c r="CC90" i="3"/>
  <c r="CD90" i="3"/>
  <c r="CE90" i="3"/>
  <c r="CF90" i="3"/>
  <c r="CG90" i="3"/>
  <c r="B91" i="3"/>
  <c r="CH91" i="3" s="1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BO91" i="3"/>
  <c r="BP91" i="3"/>
  <c r="BQ91" i="3"/>
  <c r="BR91" i="3"/>
  <c r="BS91" i="3"/>
  <c r="BT91" i="3"/>
  <c r="BU91" i="3"/>
  <c r="BV91" i="3"/>
  <c r="BW91" i="3"/>
  <c r="BX91" i="3"/>
  <c r="BY91" i="3"/>
  <c r="BZ91" i="3"/>
  <c r="CA91" i="3"/>
  <c r="CB91" i="3"/>
  <c r="CC91" i="3"/>
  <c r="CD91" i="3"/>
  <c r="CE91" i="3"/>
  <c r="CF91" i="3"/>
  <c r="CG91" i="3"/>
  <c r="B92" i="3"/>
  <c r="CH92" i="3" s="1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BM92" i="3"/>
  <c r="BN92" i="3"/>
  <c r="BO92" i="3"/>
  <c r="BP92" i="3"/>
  <c r="BQ92" i="3"/>
  <c r="BR92" i="3"/>
  <c r="BS92" i="3"/>
  <c r="BT92" i="3"/>
  <c r="BU92" i="3"/>
  <c r="BV92" i="3"/>
  <c r="BW92" i="3"/>
  <c r="BX92" i="3"/>
  <c r="BY92" i="3"/>
  <c r="BZ92" i="3"/>
  <c r="CA92" i="3"/>
  <c r="CB92" i="3"/>
  <c r="CC92" i="3"/>
  <c r="CD92" i="3"/>
  <c r="CE92" i="3"/>
  <c r="CF92" i="3"/>
  <c r="CG92" i="3"/>
  <c r="B93" i="3"/>
  <c r="CH93" i="3" s="1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BN93" i="3"/>
  <c r="BO93" i="3"/>
  <c r="BP93" i="3"/>
  <c r="BQ93" i="3"/>
  <c r="BR93" i="3"/>
  <c r="BS93" i="3"/>
  <c r="BT93" i="3"/>
  <c r="BU93" i="3"/>
  <c r="BV93" i="3"/>
  <c r="BW93" i="3"/>
  <c r="BX93" i="3"/>
  <c r="BY93" i="3"/>
  <c r="BZ93" i="3"/>
  <c r="CA93" i="3"/>
  <c r="CB93" i="3"/>
  <c r="CC93" i="3"/>
  <c r="CD93" i="3"/>
  <c r="CE93" i="3"/>
  <c r="CF93" i="3"/>
  <c r="CG93" i="3"/>
  <c r="B94" i="3"/>
  <c r="CH94" i="3" s="1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BK94" i="3"/>
  <c r="BL94" i="3"/>
  <c r="BM94" i="3"/>
  <c r="BN94" i="3"/>
  <c r="BO94" i="3"/>
  <c r="BP94" i="3"/>
  <c r="BQ94" i="3"/>
  <c r="BR94" i="3"/>
  <c r="BS94" i="3"/>
  <c r="BT94" i="3"/>
  <c r="BU94" i="3"/>
  <c r="BV94" i="3"/>
  <c r="BW94" i="3"/>
  <c r="BX94" i="3"/>
  <c r="BY94" i="3"/>
  <c r="BZ94" i="3"/>
  <c r="CA94" i="3"/>
  <c r="CB94" i="3"/>
  <c r="CC94" i="3"/>
  <c r="CD94" i="3"/>
  <c r="CE94" i="3"/>
  <c r="CF94" i="3"/>
  <c r="CG94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B50" i="3"/>
  <c r="A86" i="3"/>
  <c r="A87" i="3"/>
  <c r="A88" i="3"/>
  <c r="A89" i="3"/>
  <c r="A90" i="3"/>
  <c r="A91" i="3"/>
  <c r="A92" i="3"/>
  <c r="A93" i="3"/>
  <c r="A94" i="3"/>
  <c r="A76" i="3"/>
  <c r="A77" i="3"/>
  <c r="A78" i="3"/>
  <c r="A79" i="3"/>
  <c r="A80" i="3"/>
  <c r="A81" i="3"/>
  <c r="A82" i="3"/>
  <c r="A83" i="3"/>
  <c r="A84" i="3"/>
  <c r="A8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50" i="3"/>
  <c r="A51" i="3"/>
  <c r="A52" i="3"/>
  <c r="A53" i="3"/>
  <c r="A54" i="3"/>
  <c r="A55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A49" i="3"/>
  <c r="CH50" i="3" l="1"/>
</calcChain>
</file>

<file path=xl/sharedStrings.xml><?xml version="1.0" encoding="utf-8"?>
<sst xmlns="http://schemas.openxmlformats.org/spreadsheetml/2006/main" count="354" uniqueCount="94">
  <si>
    <t>Year</t>
  </si>
  <si>
    <t>Spring 5.2</t>
  </si>
  <si>
    <t>Summer 5.2</t>
  </si>
  <si>
    <t>Spring 4.2</t>
  </si>
  <si>
    <t>Summer 4.1</t>
  </si>
  <si>
    <t xml:space="preserve">      Fall</t>
  </si>
  <si>
    <t xml:space="preserve">   Total</t>
  </si>
  <si>
    <t>Swift</t>
  </si>
  <si>
    <t>Fraser</t>
  </si>
  <si>
    <t>Horsey</t>
  </si>
  <si>
    <t>Nevin</t>
  </si>
  <si>
    <t>Holmes</t>
  </si>
  <si>
    <t>McKale</t>
  </si>
  <si>
    <t>Twin</t>
  </si>
  <si>
    <t>Goat</t>
  </si>
  <si>
    <t>Morkill</t>
  </si>
  <si>
    <t>Walker</t>
  </si>
  <si>
    <t>Torpy</t>
  </si>
  <si>
    <t>Dome</t>
  </si>
  <si>
    <t>Slim</t>
  </si>
  <si>
    <t>Bowron</t>
  </si>
  <si>
    <t>McGregor</t>
  </si>
  <si>
    <t>Willow</t>
  </si>
  <si>
    <t>Salmon (PG)</t>
  </si>
  <si>
    <t>Stuart</t>
  </si>
  <si>
    <t>Nechako</t>
  </si>
  <si>
    <t>Stellako</t>
  </si>
  <si>
    <t>Endako</t>
  </si>
  <si>
    <t>Chilako</t>
  </si>
  <si>
    <t>Blackwater</t>
  </si>
  <si>
    <t>Cottonwood</t>
  </si>
  <si>
    <t>Quesnel</t>
  </si>
  <si>
    <t>Cariboo</t>
  </si>
  <si>
    <t>Horsefly</t>
  </si>
  <si>
    <t>Chilko</t>
  </si>
  <si>
    <t>Chilcotin Upper</t>
  </si>
  <si>
    <t>Chilcotin Lower</t>
  </si>
  <si>
    <t>Elkin</t>
  </si>
  <si>
    <t>Taseko</t>
  </si>
  <si>
    <t>Bridge</t>
  </si>
  <si>
    <t>Portage</t>
  </si>
  <si>
    <t>Seton</t>
  </si>
  <si>
    <t>Mahood</t>
  </si>
  <si>
    <t>Clearwater</t>
  </si>
  <si>
    <t>Finn</t>
  </si>
  <si>
    <t>Raft</t>
  </si>
  <si>
    <t>Barriere</t>
  </si>
  <si>
    <t>Louis</t>
  </si>
  <si>
    <t>North Thompson</t>
  </si>
  <si>
    <t>Bessette</t>
  </si>
  <si>
    <t>Middle Shuswap</t>
  </si>
  <si>
    <t>Lower Shuswap</t>
  </si>
  <si>
    <t>Eagle</t>
  </si>
  <si>
    <t>Salmon (ST)</t>
  </si>
  <si>
    <t>Adams</t>
  </si>
  <si>
    <t>Little River</t>
  </si>
  <si>
    <t>South Thompson</t>
  </si>
  <si>
    <t>Lower Thompson</t>
  </si>
  <si>
    <t>Deadman</t>
  </si>
  <si>
    <t>Bonaparte</t>
  </si>
  <si>
    <t>Coldwater</t>
  </si>
  <si>
    <t>Spius</t>
  </si>
  <si>
    <t>Nicola</t>
  </si>
  <si>
    <t>Nahatlatch</t>
  </si>
  <si>
    <t>Maria Slough</t>
  </si>
  <si>
    <t>Birkenhead</t>
  </si>
  <si>
    <t>Harrison</t>
  </si>
  <si>
    <t>Chilliwack</t>
  </si>
  <si>
    <t>Pitt</t>
  </si>
  <si>
    <t>Blue</t>
  </si>
  <si>
    <t>Lemieux</t>
  </si>
  <si>
    <t>Upper Adams</t>
  </si>
  <si>
    <t>Scotch</t>
  </si>
  <si>
    <t>Seymour</t>
  </si>
  <si>
    <t>Stave</t>
  </si>
  <si>
    <t xml:space="preserve">Baker </t>
  </si>
  <si>
    <t>Big Silver</t>
  </si>
  <si>
    <t>Chilliwack Su</t>
  </si>
  <si>
    <t>Douglas</t>
  </si>
  <si>
    <t>Holliday</t>
  </si>
  <si>
    <t>Kazchek</t>
  </si>
  <si>
    <t>Kuzkwa</t>
  </si>
  <si>
    <t>Narcosli</t>
  </si>
  <si>
    <t>Naver</t>
  </si>
  <si>
    <t>Pinchi</t>
  </si>
  <si>
    <t>Sloquet</t>
  </si>
  <si>
    <t>Small</t>
  </si>
  <si>
    <t>Tipella</t>
  </si>
  <si>
    <t>Wap</t>
  </si>
  <si>
    <t>McKinley</t>
  </si>
  <si>
    <t>Chehalis</t>
  </si>
  <si>
    <t>Ubar</t>
  </si>
  <si>
    <t>Fall</t>
  </si>
  <si>
    <t>Ut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</si>
</sst>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</cellXfs>
  <cellStyles count="2">
    <cellStyle name="Normal" xfId="0" builtinId="0"/>
    <cellStyle name="Normal 3 2" xfId="1" xr:uid="{39C19344-B54B-4D9B-8568-1F3EFBDBCC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terminal exloitation rate, all Fraser chinook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Escapements!$CH$49</c:f>
              <c:strCache>
                <c:ptCount val="1"/>
                <c:pt idx="0">
                  <c:v>Ubar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Escapements!$A$50:$A$94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Escapements!$CH$50:$CH$94</c:f>
              <c:numCache>
                <c:formatCode>General</c:formatCode>
                <c:ptCount val="45"/>
                <c:pt idx="0">
                  <c:v>0.52505573403684325</c:v>
                </c:pt>
                <c:pt idx="1">
                  <c:v>0.32562406355916634</c:v>
                </c:pt>
                <c:pt idx="2">
                  <c:v>0.36287520636918041</c:v>
                </c:pt>
                <c:pt idx="3">
                  <c:v>0.40783532274646744</c:v>
                </c:pt>
                <c:pt idx="4">
                  <c:v>0.28945686469767107</c:v>
                </c:pt>
                <c:pt idx="5">
                  <c:v>0.27784419169927344</c:v>
                </c:pt>
                <c:pt idx="6">
                  <c:v>0.22791849795361657</c:v>
                </c:pt>
                <c:pt idx="7">
                  <c:v>0.16093963006058681</c:v>
                </c:pt>
                <c:pt idx="8">
                  <c:v>0.17934609341600127</c:v>
                </c:pt>
                <c:pt idx="9">
                  <c:v>0.14961183116704541</c:v>
                </c:pt>
                <c:pt idx="10">
                  <c:v>0.20491509898213137</c:v>
                </c:pt>
                <c:pt idx="11">
                  <c:v>0.1884958479528745</c:v>
                </c:pt>
                <c:pt idx="12">
                  <c:v>0.21014370580828964</c:v>
                </c:pt>
                <c:pt idx="13">
                  <c:v>0.14571676941440589</c:v>
                </c:pt>
                <c:pt idx="14">
                  <c:v>0.22861688235192165</c:v>
                </c:pt>
                <c:pt idx="15">
                  <c:v>0.18205188237802089</c:v>
                </c:pt>
                <c:pt idx="16">
                  <c:v>0.18625314390102093</c:v>
                </c:pt>
                <c:pt idx="17">
                  <c:v>0.15571279848390132</c:v>
                </c:pt>
                <c:pt idx="18">
                  <c:v>0.19636755220222013</c:v>
                </c:pt>
                <c:pt idx="19">
                  <c:v>0.21614980623867908</c:v>
                </c:pt>
                <c:pt idx="20">
                  <c:v>0.23489811042554229</c:v>
                </c:pt>
                <c:pt idx="21">
                  <c:v>0.24246998030120204</c:v>
                </c:pt>
                <c:pt idx="22">
                  <c:v>0.23829673314988792</c:v>
                </c:pt>
                <c:pt idx="23">
                  <c:v>0.17337855712217168</c:v>
                </c:pt>
                <c:pt idx="24">
                  <c:v>0.20079712400798039</c:v>
                </c:pt>
                <c:pt idx="25">
                  <c:v>0.29107611567882746</c:v>
                </c:pt>
                <c:pt idx="26">
                  <c:v>0.27323542172245413</c:v>
                </c:pt>
                <c:pt idx="27">
                  <c:v>0.2379053396603163</c:v>
                </c:pt>
                <c:pt idx="28">
                  <c:v>0.28206404686188119</c:v>
                </c:pt>
                <c:pt idx="29">
                  <c:v>0.232690121834215</c:v>
                </c:pt>
                <c:pt idx="30">
                  <c:v>0.26987002167829111</c:v>
                </c:pt>
                <c:pt idx="31">
                  <c:v>0.15016304580982673</c:v>
                </c:pt>
                <c:pt idx="32">
                  <c:v>0.2235628030320671</c:v>
                </c:pt>
                <c:pt idx="33">
                  <c:v>0.21737802819989097</c:v>
                </c:pt>
                <c:pt idx="34">
                  <c:v>0.11053049313706695</c:v>
                </c:pt>
                <c:pt idx="35">
                  <c:v>0.16218264727424758</c:v>
                </c:pt>
                <c:pt idx="36">
                  <c:v>0.112732900629822</c:v>
                </c:pt>
                <c:pt idx="37">
                  <c:v>0.13450270227799971</c:v>
                </c:pt>
                <c:pt idx="38">
                  <c:v>0.11816219522195602</c:v>
                </c:pt>
                <c:pt idx="39">
                  <c:v>0.20520295776411643</c:v>
                </c:pt>
                <c:pt idx="40">
                  <c:v>6.779668161101228E-2</c:v>
                </c:pt>
                <c:pt idx="41">
                  <c:v>5.7431372788664621E-2</c:v>
                </c:pt>
                <c:pt idx="42">
                  <c:v>4.3707345508496295E-2</c:v>
                </c:pt>
                <c:pt idx="43">
                  <c:v>5.4137068237987016E-2</c:v>
                </c:pt>
                <c:pt idx="44">
                  <c:v>3.4856555166606698E-2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B7-4D5B-9BA6-D367F221C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871103"/>
        <c:axId val="867282767"/>
      </c:scatterChart>
      <c:valAx>
        <c:axId val="814871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282767"/>
        <c:crosses val="autoZero"/>
        <c:crossBetween val="midCat"/>
      </c:valAx>
      <c:valAx>
        <c:axId val="86728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Ut=catch/run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871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chinook run size estimates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RunSize_by_Group!$B$1</c:f>
              <c:strCache>
                <c:ptCount val="1"/>
                <c:pt idx="0">
                  <c:v>Spring 5.2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RunSize_by_Group!$A$2:$A$46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RunSize_by_Group!$B$2:$B$46</c:f>
              <c:numCache>
                <c:formatCode>General</c:formatCode>
                <c:ptCount val="45"/>
                <c:pt idx="0">
                  <c:v>40513</c:v>
                </c:pt>
                <c:pt idx="1">
                  <c:v>25760</c:v>
                </c:pt>
                <c:pt idx="2">
                  <c:v>22186</c:v>
                </c:pt>
                <c:pt idx="3">
                  <c:v>27610</c:v>
                </c:pt>
                <c:pt idx="4">
                  <c:v>37943</c:v>
                </c:pt>
                <c:pt idx="5">
                  <c:v>44540</c:v>
                </c:pt>
                <c:pt idx="6">
                  <c:v>60407</c:v>
                </c:pt>
                <c:pt idx="7">
                  <c:v>67253</c:v>
                </c:pt>
                <c:pt idx="8">
                  <c:v>71132</c:v>
                </c:pt>
                <c:pt idx="9">
                  <c:v>61324</c:v>
                </c:pt>
                <c:pt idx="10">
                  <c:v>48140</c:v>
                </c:pt>
                <c:pt idx="11">
                  <c:v>59201</c:v>
                </c:pt>
                <c:pt idx="12">
                  <c:v>45669</c:v>
                </c:pt>
                <c:pt idx="13">
                  <c:v>50235</c:v>
                </c:pt>
                <c:pt idx="14">
                  <c:v>56352</c:v>
                </c:pt>
                <c:pt idx="15">
                  <c:v>77993</c:v>
                </c:pt>
                <c:pt idx="16">
                  <c:v>61232</c:v>
                </c:pt>
                <c:pt idx="17">
                  <c:v>48914</c:v>
                </c:pt>
                <c:pt idx="18">
                  <c:v>50361</c:v>
                </c:pt>
                <c:pt idx="19">
                  <c:v>47513</c:v>
                </c:pt>
                <c:pt idx="20">
                  <c:v>30888</c:v>
                </c:pt>
                <c:pt idx="21">
                  <c:v>39482</c:v>
                </c:pt>
                <c:pt idx="22">
                  <c:v>46425</c:v>
                </c:pt>
                <c:pt idx="23">
                  <c:v>52632</c:v>
                </c:pt>
                <c:pt idx="24">
                  <c:v>67947</c:v>
                </c:pt>
                <c:pt idx="25">
                  <c:v>51154</c:v>
                </c:pt>
                <c:pt idx="26">
                  <c:v>33607</c:v>
                </c:pt>
                <c:pt idx="27">
                  <c:v>33020</c:v>
                </c:pt>
                <c:pt idx="28">
                  <c:v>18151</c:v>
                </c:pt>
                <c:pt idx="29">
                  <c:v>23950</c:v>
                </c:pt>
                <c:pt idx="30">
                  <c:v>40398</c:v>
                </c:pt>
                <c:pt idx="31">
                  <c:v>25173</c:v>
                </c:pt>
                <c:pt idx="32">
                  <c:v>17630</c:v>
                </c:pt>
                <c:pt idx="33">
                  <c:v>16528</c:v>
                </c:pt>
                <c:pt idx="34">
                  <c:v>21859</c:v>
                </c:pt>
                <c:pt idx="35">
                  <c:v>47935</c:v>
                </c:pt>
                <c:pt idx="36">
                  <c:v>31528</c:v>
                </c:pt>
                <c:pt idx="37">
                  <c:v>18299</c:v>
                </c:pt>
                <c:pt idx="38">
                  <c:v>12412</c:v>
                </c:pt>
                <c:pt idx="39">
                  <c:v>14288</c:v>
                </c:pt>
                <c:pt idx="40">
                  <c:v>17677</c:v>
                </c:pt>
                <c:pt idx="41">
                  <c:v>26265</c:v>
                </c:pt>
                <c:pt idx="42">
                  <c:v>23746</c:v>
                </c:pt>
                <c:pt idx="43">
                  <c:v>27492</c:v>
                </c:pt>
                <c:pt idx="44">
                  <c:v>19905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7D-41B3-A039-91CC45F2F4AC}"/>
            </c:ext>
          </c:extLst>
        </c:ser>
        <c:ser>
          <c:idx val="1"/>
          <c:order val="1"/>
          <c:tx>
            <c:strRef>
              <c:f>RunSize_by_Group!$C$1</c:f>
              <c:strCache>
                <c:ptCount val="1"/>
                <c:pt idx="0">
                  <c:v>Summer 5.2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RunSize_by_Group!$A$2:$A$46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RunSize_by_Group!$C$2:$C$46</c:f>
              <c:numCache>
                <c:formatCode>General</c:formatCode>
                <c:ptCount val="45"/>
                <c:pt idx="0">
                  <c:v>23684</c:v>
                </c:pt>
                <c:pt idx="1">
                  <c:v>22969</c:v>
                </c:pt>
                <c:pt idx="2">
                  <c:v>23603</c:v>
                </c:pt>
                <c:pt idx="3">
                  <c:v>35481</c:v>
                </c:pt>
                <c:pt idx="4">
                  <c:v>26250</c:v>
                </c:pt>
                <c:pt idx="5">
                  <c:v>27649</c:v>
                </c:pt>
                <c:pt idx="6">
                  <c:v>34803</c:v>
                </c:pt>
                <c:pt idx="7">
                  <c:v>48702</c:v>
                </c:pt>
                <c:pt idx="8">
                  <c:v>40388</c:v>
                </c:pt>
                <c:pt idx="9">
                  <c:v>42882</c:v>
                </c:pt>
                <c:pt idx="10">
                  <c:v>26283</c:v>
                </c:pt>
                <c:pt idx="11">
                  <c:v>49587</c:v>
                </c:pt>
                <c:pt idx="12">
                  <c:v>41332</c:v>
                </c:pt>
                <c:pt idx="13">
                  <c:v>48725</c:v>
                </c:pt>
                <c:pt idx="14">
                  <c:v>31321</c:v>
                </c:pt>
                <c:pt idx="15">
                  <c:v>33178</c:v>
                </c:pt>
                <c:pt idx="16">
                  <c:v>41796</c:v>
                </c:pt>
                <c:pt idx="17">
                  <c:v>57828</c:v>
                </c:pt>
                <c:pt idx="18">
                  <c:v>60589</c:v>
                </c:pt>
                <c:pt idx="19">
                  <c:v>48341</c:v>
                </c:pt>
                <c:pt idx="20">
                  <c:v>38362</c:v>
                </c:pt>
                <c:pt idx="21">
                  <c:v>47486</c:v>
                </c:pt>
                <c:pt idx="22">
                  <c:v>52824</c:v>
                </c:pt>
                <c:pt idx="23">
                  <c:v>46613</c:v>
                </c:pt>
                <c:pt idx="24">
                  <c:v>66598</c:v>
                </c:pt>
                <c:pt idx="25">
                  <c:v>54542</c:v>
                </c:pt>
                <c:pt idx="26">
                  <c:v>33768</c:v>
                </c:pt>
                <c:pt idx="27">
                  <c:v>45849</c:v>
                </c:pt>
                <c:pt idx="28">
                  <c:v>20957</c:v>
                </c:pt>
                <c:pt idx="29">
                  <c:v>31875</c:v>
                </c:pt>
                <c:pt idx="30">
                  <c:v>40601</c:v>
                </c:pt>
                <c:pt idx="31">
                  <c:v>31562</c:v>
                </c:pt>
                <c:pt idx="32">
                  <c:v>34043</c:v>
                </c:pt>
                <c:pt idx="33">
                  <c:v>19494</c:v>
                </c:pt>
                <c:pt idx="34">
                  <c:v>19865</c:v>
                </c:pt>
                <c:pt idx="35">
                  <c:v>38061</c:v>
                </c:pt>
                <c:pt idx="36">
                  <c:v>47251</c:v>
                </c:pt>
                <c:pt idx="37">
                  <c:v>16431</c:v>
                </c:pt>
                <c:pt idx="38">
                  <c:v>11142</c:v>
                </c:pt>
                <c:pt idx="39">
                  <c:v>10596</c:v>
                </c:pt>
                <c:pt idx="40">
                  <c:v>16446</c:v>
                </c:pt>
                <c:pt idx="41">
                  <c:v>24695</c:v>
                </c:pt>
                <c:pt idx="42">
                  <c:v>23713</c:v>
                </c:pt>
                <c:pt idx="43">
                  <c:v>41985</c:v>
                </c:pt>
                <c:pt idx="44">
                  <c:v>29567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7D-41B3-A039-91CC45F2F4AC}"/>
            </c:ext>
          </c:extLst>
        </c:ser>
        <c:ser>
          <c:idx val="2"/>
          <c:order val="2"/>
          <c:tx>
            <c:strRef>
              <c:f>RunSize_by_Group!$D$1</c:f>
              <c:strCache>
                <c:ptCount val="1"/>
                <c:pt idx="0">
                  <c:v>Spring 4.2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RunSize_by_Group!$A$2:$A$46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RunSize_by_Group!$D$2:$D$46</c:f>
              <c:numCache>
                <c:formatCode>General</c:formatCode>
                <c:ptCount val="45"/>
                <c:pt idx="0">
                  <c:v>12925</c:v>
                </c:pt>
                <c:pt idx="1">
                  <c:v>11558</c:v>
                </c:pt>
                <c:pt idx="2">
                  <c:v>7275</c:v>
                </c:pt>
                <c:pt idx="3">
                  <c:v>10834</c:v>
                </c:pt>
                <c:pt idx="4">
                  <c:v>5130</c:v>
                </c:pt>
                <c:pt idx="5">
                  <c:v>9830</c:v>
                </c:pt>
                <c:pt idx="6">
                  <c:v>14233</c:v>
                </c:pt>
                <c:pt idx="7">
                  <c:v>16209</c:v>
                </c:pt>
                <c:pt idx="8">
                  <c:v>9127</c:v>
                </c:pt>
                <c:pt idx="9">
                  <c:v>8046</c:v>
                </c:pt>
                <c:pt idx="10">
                  <c:v>11797</c:v>
                </c:pt>
                <c:pt idx="11">
                  <c:v>6960</c:v>
                </c:pt>
                <c:pt idx="12">
                  <c:v>11130</c:v>
                </c:pt>
                <c:pt idx="13">
                  <c:v>13533</c:v>
                </c:pt>
                <c:pt idx="14">
                  <c:v>19752</c:v>
                </c:pt>
                <c:pt idx="15">
                  <c:v>23569</c:v>
                </c:pt>
                <c:pt idx="16">
                  <c:v>25560</c:v>
                </c:pt>
                <c:pt idx="17">
                  <c:v>36487</c:v>
                </c:pt>
                <c:pt idx="18">
                  <c:v>32068</c:v>
                </c:pt>
                <c:pt idx="19">
                  <c:v>10444</c:v>
                </c:pt>
                <c:pt idx="20">
                  <c:v>18439</c:v>
                </c:pt>
                <c:pt idx="21">
                  <c:v>28087</c:v>
                </c:pt>
                <c:pt idx="22">
                  <c:v>31499</c:v>
                </c:pt>
                <c:pt idx="23">
                  <c:v>33724</c:v>
                </c:pt>
                <c:pt idx="24">
                  <c:v>43484</c:v>
                </c:pt>
                <c:pt idx="25">
                  <c:v>37065</c:v>
                </c:pt>
                <c:pt idx="26">
                  <c:v>17005</c:v>
                </c:pt>
                <c:pt idx="27">
                  <c:v>16916</c:v>
                </c:pt>
                <c:pt idx="28">
                  <c:v>4633</c:v>
                </c:pt>
                <c:pt idx="29">
                  <c:v>18183</c:v>
                </c:pt>
                <c:pt idx="30">
                  <c:v>4342</c:v>
                </c:pt>
                <c:pt idx="31">
                  <c:v>13078</c:v>
                </c:pt>
                <c:pt idx="32">
                  <c:v>8016</c:v>
                </c:pt>
                <c:pt idx="33">
                  <c:v>15503</c:v>
                </c:pt>
                <c:pt idx="34">
                  <c:v>8469</c:v>
                </c:pt>
                <c:pt idx="35">
                  <c:v>31303</c:v>
                </c:pt>
                <c:pt idx="36">
                  <c:v>13970</c:v>
                </c:pt>
                <c:pt idx="37">
                  <c:v>11352</c:v>
                </c:pt>
                <c:pt idx="38">
                  <c:v>6669</c:v>
                </c:pt>
                <c:pt idx="39">
                  <c:v>3626</c:v>
                </c:pt>
                <c:pt idx="40">
                  <c:v>6311</c:v>
                </c:pt>
                <c:pt idx="41">
                  <c:v>9234</c:v>
                </c:pt>
                <c:pt idx="42">
                  <c:v>6801</c:v>
                </c:pt>
                <c:pt idx="43">
                  <c:v>10700</c:v>
                </c:pt>
                <c:pt idx="44">
                  <c:v>11879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7D-41B3-A039-91CC45F2F4AC}"/>
            </c:ext>
          </c:extLst>
        </c:ser>
        <c:ser>
          <c:idx val="3"/>
          <c:order val="3"/>
          <c:tx>
            <c:strRef>
              <c:f>RunSize_by_Group!$E$1</c:f>
              <c:strCache>
                <c:ptCount val="1"/>
                <c:pt idx="0">
                  <c:v>Summer 4.1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RunSize_by_Group!$A$2:$A$46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RunSize_by_Group!$E$2:$E$46</c:f>
              <c:numCache>
                <c:formatCode>General</c:formatCode>
                <c:ptCount val="45"/>
                <c:pt idx="0">
                  <c:v>51466</c:v>
                </c:pt>
                <c:pt idx="1">
                  <c:v>31964</c:v>
                </c:pt>
                <c:pt idx="2">
                  <c:v>27889</c:v>
                </c:pt>
                <c:pt idx="3">
                  <c:v>19772</c:v>
                </c:pt>
                <c:pt idx="4">
                  <c:v>20319</c:v>
                </c:pt>
                <c:pt idx="5">
                  <c:v>36670</c:v>
                </c:pt>
                <c:pt idx="6">
                  <c:v>35634</c:v>
                </c:pt>
                <c:pt idx="7">
                  <c:v>47460</c:v>
                </c:pt>
                <c:pt idx="8">
                  <c:v>42612</c:v>
                </c:pt>
                <c:pt idx="9">
                  <c:v>55217</c:v>
                </c:pt>
                <c:pt idx="10">
                  <c:v>47859</c:v>
                </c:pt>
                <c:pt idx="11">
                  <c:v>53468</c:v>
                </c:pt>
                <c:pt idx="12">
                  <c:v>46477</c:v>
                </c:pt>
                <c:pt idx="13">
                  <c:v>53394</c:v>
                </c:pt>
                <c:pt idx="14">
                  <c:v>31103</c:v>
                </c:pt>
                <c:pt idx="15">
                  <c:v>54923</c:v>
                </c:pt>
                <c:pt idx="16">
                  <c:v>44640</c:v>
                </c:pt>
                <c:pt idx="17">
                  <c:v>91071</c:v>
                </c:pt>
                <c:pt idx="18">
                  <c:v>96686</c:v>
                </c:pt>
                <c:pt idx="19">
                  <c:v>110112</c:v>
                </c:pt>
                <c:pt idx="20">
                  <c:v>82251</c:v>
                </c:pt>
                <c:pt idx="21">
                  <c:v>61631</c:v>
                </c:pt>
                <c:pt idx="22">
                  <c:v>101984</c:v>
                </c:pt>
                <c:pt idx="23">
                  <c:v>150804</c:v>
                </c:pt>
                <c:pt idx="24">
                  <c:v>121217</c:v>
                </c:pt>
                <c:pt idx="25">
                  <c:v>87306</c:v>
                </c:pt>
                <c:pt idx="26">
                  <c:v>128684</c:v>
                </c:pt>
                <c:pt idx="27">
                  <c:v>228134</c:v>
                </c:pt>
                <c:pt idx="28">
                  <c:v>101142</c:v>
                </c:pt>
                <c:pt idx="29">
                  <c:v>133490</c:v>
                </c:pt>
                <c:pt idx="30">
                  <c:v>121959</c:v>
                </c:pt>
                <c:pt idx="31">
                  <c:v>196552</c:v>
                </c:pt>
                <c:pt idx="32">
                  <c:v>186311</c:v>
                </c:pt>
                <c:pt idx="33">
                  <c:v>75383</c:v>
                </c:pt>
                <c:pt idx="34">
                  <c:v>153105</c:v>
                </c:pt>
                <c:pt idx="35">
                  <c:v>116988</c:v>
                </c:pt>
                <c:pt idx="36">
                  <c:v>225002</c:v>
                </c:pt>
                <c:pt idx="37">
                  <c:v>107255</c:v>
                </c:pt>
                <c:pt idx="38">
                  <c:v>111647</c:v>
                </c:pt>
                <c:pt idx="39">
                  <c:v>75181</c:v>
                </c:pt>
                <c:pt idx="40">
                  <c:v>206532</c:v>
                </c:pt>
                <c:pt idx="41">
                  <c:v>201492</c:v>
                </c:pt>
                <c:pt idx="42">
                  <c:v>231472</c:v>
                </c:pt>
                <c:pt idx="43">
                  <c:v>152352</c:v>
                </c:pt>
                <c:pt idx="44">
                  <c:v>682041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7D-41B3-A039-91CC45F2F4AC}"/>
            </c:ext>
          </c:extLst>
        </c:ser>
        <c:ser>
          <c:idx val="4"/>
          <c:order val="4"/>
          <c:tx>
            <c:strRef>
              <c:f>RunSize_by_Group!$F$1</c:f>
              <c:strCache>
                <c:ptCount val="1"/>
                <c:pt idx="0">
                  <c:v>      Fall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RunSize_by_Group!$A$2:$A$46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RunSize_by_Group!$F$2:$F$46</c:f>
              <c:numCache>
                <c:formatCode>General</c:formatCode>
                <c:ptCount val="45"/>
                <c:pt idx="0">
                  <c:v>82013</c:v>
                </c:pt>
                <c:pt idx="1">
                  <c:v>70364</c:v>
                </c:pt>
                <c:pt idx="2">
                  <c:v>109589</c:v>
                </c:pt>
                <c:pt idx="3">
                  <c:v>131223</c:v>
                </c:pt>
                <c:pt idx="4">
                  <c:v>45600</c:v>
                </c:pt>
                <c:pt idx="5">
                  <c:v>134324</c:v>
                </c:pt>
                <c:pt idx="6">
                  <c:v>182439</c:v>
                </c:pt>
                <c:pt idx="7">
                  <c:v>185832</c:v>
                </c:pt>
                <c:pt idx="8">
                  <c:v>100853</c:v>
                </c:pt>
                <c:pt idx="9">
                  <c:v>55026</c:v>
                </c:pt>
                <c:pt idx="10">
                  <c:v>81146</c:v>
                </c:pt>
                <c:pt idx="11">
                  <c:v>183806</c:v>
                </c:pt>
                <c:pt idx="12">
                  <c:v>105469</c:v>
                </c:pt>
                <c:pt idx="13">
                  <c:v>176223</c:v>
                </c:pt>
                <c:pt idx="14">
                  <c:v>144571</c:v>
                </c:pt>
                <c:pt idx="15">
                  <c:v>110977</c:v>
                </c:pt>
                <c:pt idx="16">
                  <c:v>62305</c:v>
                </c:pt>
                <c:pt idx="17">
                  <c:v>64799</c:v>
                </c:pt>
                <c:pt idx="18">
                  <c:v>159181</c:v>
                </c:pt>
                <c:pt idx="19">
                  <c:v>292399</c:v>
                </c:pt>
                <c:pt idx="20">
                  <c:v>190017</c:v>
                </c:pt>
                <c:pt idx="21">
                  <c:v>153266</c:v>
                </c:pt>
                <c:pt idx="22">
                  <c:v>191511</c:v>
                </c:pt>
                <c:pt idx="23">
                  <c:v>165238</c:v>
                </c:pt>
                <c:pt idx="24">
                  <c:v>309515</c:v>
                </c:pt>
                <c:pt idx="25">
                  <c:v>205750</c:v>
                </c:pt>
                <c:pt idx="26">
                  <c:v>133370</c:v>
                </c:pt>
                <c:pt idx="27">
                  <c:v>118610</c:v>
                </c:pt>
                <c:pt idx="28">
                  <c:v>109178</c:v>
                </c:pt>
                <c:pt idx="29">
                  <c:v>88397</c:v>
                </c:pt>
                <c:pt idx="30">
                  <c:v>93433</c:v>
                </c:pt>
                <c:pt idx="31">
                  <c:v>193342</c:v>
                </c:pt>
                <c:pt idx="32">
                  <c:v>184800</c:v>
                </c:pt>
                <c:pt idx="33">
                  <c:v>68434</c:v>
                </c:pt>
                <c:pt idx="34">
                  <c:v>101164</c:v>
                </c:pt>
                <c:pt idx="35">
                  <c:v>114262</c:v>
                </c:pt>
                <c:pt idx="36">
                  <c:v>143688</c:v>
                </c:pt>
                <c:pt idx="37">
                  <c:v>88111</c:v>
                </c:pt>
                <c:pt idx="38">
                  <c:v>62620</c:v>
                </c:pt>
                <c:pt idx="39">
                  <c:v>79945</c:v>
                </c:pt>
                <c:pt idx="40">
                  <c:v>128719</c:v>
                </c:pt>
                <c:pt idx="41">
                  <c:v>88950</c:v>
                </c:pt>
                <c:pt idx="42">
                  <c:v>104218</c:v>
                </c:pt>
                <c:pt idx="43">
                  <c:v>193046</c:v>
                </c:pt>
                <c:pt idx="44">
                  <c:v>273288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7D-41B3-A039-91CC45F2F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882415"/>
        <c:axId val="536382751"/>
      </c:scatterChart>
      <c:valAx>
        <c:axId val="537882415"/>
        <c:scaling>
          <c:orientation val="minMax"/>
          <c:max val="2025"/>
          <c:min val="19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382751"/>
        <c:crosses val="autoZero"/>
        <c:crossBetween val="midCat"/>
      </c:valAx>
      <c:valAx>
        <c:axId val="536382751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Catch plus escapement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8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chinook terminal run size estimates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3"/>
          <c:tx>
            <c:strRef>
              <c:f>RunSize_by_Group!$E$1</c:f>
              <c:strCache>
                <c:ptCount val="1"/>
                <c:pt idx="0">
                  <c:v>Summer 4.1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RunSize_by_Group!$A$2:$A$46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RunSize_by_Group!$E$2:$E$46</c:f>
              <c:numCache>
                <c:formatCode>General</c:formatCode>
                <c:ptCount val="45"/>
                <c:pt idx="0">
                  <c:v>51466</c:v>
                </c:pt>
                <c:pt idx="1">
                  <c:v>31964</c:v>
                </c:pt>
                <c:pt idx="2">
                  <c:v>27889</c:v>
                </c:pt>
                <c:pt idx="3">
                  <c:v>19772</c:v>
                </c:pt>
                <c:pt idx="4">
                  <c:v>20319</c:v>
                </c:pt>
                <c:pt idx="5">
                  <c:v>36670</c:v>
                </c:pt>
                <c:pt idx="6">
                  <c:v>35634</c:v>
                </c:pt>
                <c:pt idx="7">
                  <c:v>47460</c:v>
                </c:pt>
                <c:pt idx="8">
                  <c:v>42612</c:v>
                </c:pt>
                <c:pt idx="9">
                  <c:v>55217</c:v>
                </c:pt>
                <c:pt idx="10">
                  <c:v>47859</c:v>
                </c:pt>
                <c:pt idx="11">
                  <c:v>53468</c:v>
                </c:pt>
                <c:pt idx="12">
                  <c:v>46477</c:v>
                </c:pt>
                <c:pt idx="13">
                  <c:v>53394</c:v>
                </c:pt>
                <c:pt idx="14">
                  <c:v>31103</c:v>
                </c:pt>
                <c:pt idx="15">
                  <c:v>54923</c:v>
                </c:pt>
                <c:pt idx="16">
                  <c:v>44640</c:v>
                </c:pt>
                <c:pt idx="17">
                  <c:v>91071</c:v>
                </c:pt>
                <c:pt idx="18">
                  <c:v>96686</c:v>
                </c:pt>
                <c:pt idx="19">
                  <c:v>110112</c:v>
                </c:pt>
                <c:pt idx="20">
                  <c:v>82251</c:v>
                </c:pt>
                <c:pt idx="21">
                  <c:v>61631</c:v>
                </c:pt>
                <c:pt idx="22">
                  <c:v>101984</c:v>
                </c:pt>
                <c:pt idx="23">
                  <c:v>150804</c:v>
                </c:pt>
                <c:pt idx="24">
                  <c:v>121217</c:v>
                </c:pt>
                <c:pt idx="25">
                  <c:v>87306</c:v>
                </c:pt>
                <c:pt idx="26">
                  <c:v>128684</c:v>
                </c:pt>
                <c:pt idx="27">
                  <c:v>228134</c:v>
                </c:pt>
                <c:pt idx="28">
                  <c:v>101142</c:v>
                </c:pt>
                <c:pt idx="29">
                  <c:v>133490</c:v>
                </c:pt>
                <c:pt idx="30">
                  <c:v>121959</c:v>
                </c:pt>
                <c:pt idx="31">
                  <c:v>196552</c:v>
                </c:pt>
                <c:pt idx="32">
                  <c:v>186311</c:v>
                </c:pt>
                <c:pt idx="33">
                  <c:v>75383</c:v>
                </c:pt>
                <c:pt idx="34">
                  <c:v>153105</c:v>
                </c:pt>
                <c:pt idx="35">
                  <c:v>116988</c:v>
                </c:pt>
                <c:pt idx="36">
                  <c:v>225002</c:v>
                </c:pt>
                <c:pt idx="37">
                  <c:v>107255</c:v>
                </c:pt>
                <c:pt idx="38">
                  <c:v>111647</c:v>
                </c:pt>
                <c:pt idx="39">
                  <c:v>75181</c:v>
                </c:pt>
                <c:pt idx="40">
                  <c:v>206532</c:v>
                </c:pt>
                <c:pt idx="41">
                  <c:v>201492</c:v>
                </c:pt>
                <c:pt idx="42">
                  <c:v>231472</c:v>
                </c:pt>
                <c:pt idx="43">
                  <c:v>152352</c:v>
                </c:pt>
                <c:pt idx="44">
                  <c:v>682041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EF-40E8-B885-D54CABB37B69}"/>
            </c:ext>
          </c:extLst>
        </c:ser>
        <c:ser>
          <c:idx val="4"/>
          <c:order val="4"/>
          <c:tx>
            <c:strRef>
              <c:f>RunSize_by_Group!$F$1</c:f>
              <c:strCache>
                <c:ptCount val="1"/>
                <c:pt idx="0">
                  <c:v>      Fall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RunSize_by_Group!$A$2:$A$46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RunSize_by_Group!$F$2:$F$46</c:f>
              <c:numCache>
                <c:formatCode>General</c:formatCode>
                <c:ptCount val="45"/>
                <c:pt idx="0">
                  <c:v>82013</c:v>
                </c:pt>
                <c:pt idx="1">
                  <c:v>70364</c:v>
                </c:pt>
                <c:pt idx="2">
                  <c:v>109589</c:v>
                </c:pt>
                <c:pt idx="3">
                  <c:v>131223</c:v>
                </c:pt>
                <c:pt idx="4">
                  <c:v>45600</c:v>
                </c:pt>
                <c:pt idx="5">
                  <c:v>134324</c:v>
                </c:pt>
                <c:pt idx="6">
                  <c:v>182439</c:v>
                </c:pt>
                <c:pt idx="7">
                  <c:v>185832</c:v>
                </c:pt>
                <c:pt idx="8">
                  <c:v>100853</c:v>
                </c:pt>
                <c:pt idx="9">
                  <c:v>55026</c:v>
                </c:pt>
                <c:pt idx="10">
                  <c:v>81146</c:v>
                </c:pt>
                <c:pt idx="11">
                  <c:v>183806</c:v>
                </c:pt>
                <c:pt idx="12">
                  <c:v>105469</c:v>
                </c:pt>
                <c:pt idx="13">
                  <c:v>176223</c:v>
                </c:pt>
                <c:pt idx="14">
                  <c:v>144571</c:v>
                </c:pt>
                <c:pt idx="15">
                  <c:v>110977</c:v>
                </c:pt>
                <c:pt idx="16">
                  <c:v>62305</c:v>
                </c:pt>
                <c:pt idx="17">
                  <c:v>64799</c:v>
                </c:pt>
                <c:pt idx="18">
                  <c:v>159181</c:v>
                </c:pt>
                <c:pt idx="19">
                  <c:v>292399</c:v>
                </c:pt>
                <c:pt idx="20">
                  <c:v>190017</c:v>
                </c:pt>
                <c:pt idx="21">
                  <c:v>153266</c:v>
                </c:pt>
                <c:pt idx="22">
                  <c:v>191511</c:v>
                </c:pt>
                <c:pt idx="23">
                  <c:v>165238</c:v>
                </c:pt>
                <c:pt idx="24">
                  <c:v>309515</c:v>
                </c:pt>
                <c:pt idx="25">
                  <c:v>205750</c:v>
                </c:pt>
                <c:pt idx="26">
                  <c:v>133370</c:v>
                </c:pt>
                <c:pt idx="27">
                  <c:v>118610</c:v>
                </c:pt>
                <c:pt idx="28">
                  <c:v>109178</c:v>
                </c:pt>
                <c:pt idx="29">
                  <c:v>88397</c:v>
                </c:pt>
                <c:pt idx="30">
                  <c:v>93433</c:v>
                </c:pt>
                <c:pt idx="31">
                  <c:v>193342</c:v>
                </c:pt>
                <c:pt idx="32">
                  <c:v>184800</c:v>
                </c:pt>
                <c:pt idx="33">
                  <c:v>68434</c:v>
                </c:pt>
                <c:pt idx="34">
                  <c:v>101164</c:v>
                </c:pt>
                <c:pt idx="35">
                  <c:v>114262</c:v>
                </c:pt>
                <c:pt idx="36">
                  <c:v>143688</c:v>
                </c:pt>
                <c:pt idx="37">
                  <c:v>88111</c:v>
                </c:pt>
                <c:pt idx="38">
                  <c:v>62620</c:v>
                </c:pt>
                <c:pt idx="39">
                  <c:v>79945</c:v>
                </c:pt>
                <c:pt idx="40">
                  <c:v>128719</c:v>
                </c:pt>
                <c:pt idx="41">
                  <c:v>88950</c:v>
                </c:pt>
                <c:pt idx="42">
                  <c:v>104218</c:v>
                </c:pt>
                <c:pt idx="43">
                  <c:v>193046</c:v>
                </c:pt>
                <c:pt idx="44">
                  <c:v>273288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EF-40E8-B885-D54CABB37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882415"/>
        <c:axId val="536382751"/>
      </c:scatterChart>
      <c:scatterChart>
        <c:scatterStyle val="lineMarker"/>
        <c:varyColors val="0"/>
        <c:ser>
          <c:idx val="0"/>
          <c:order val="0"/>
          <c:tx>
            <c:strRef>
              <c:f>RunSize_by_Group!$B$1</c:f>
              <c:strCache>
                <c:ptCount val="1"/>
                <c:pt idx="0">
                  <c:v>Spring 5.2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RunSize_by_Group!$A$2:$A$46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RunSize_by_Group!$B$2:$B$46</c:f>
              <c:numCache>
                <c:formatCode>General</c:formatCode>
                <c:ptCount val="45"/>
                <c:pt idx="0">
                  <c:v>40513</c:v>
                </c:pt>
                <c:pt idx="1">
                  <c:v>25760</c:v>
                </c:pt>
                <c:pt idx="2">
                  <c:v>22186</c:v>
                </c:pt>
                <c:pt idx="3">
                  <c:v>27610</c:v>
                </c:pt>
                <c:pt idx="4">
                  <c:v>37943</c:v>
                </c:pt>
                <c:pt idx="5">
                  <c:v>44540</c:v>
                </c:pt>
                <c:pt idx="6">
                  <c:v>60407</c:v>
                </c:pt>
                <c:pt idx="7">
                  <c:v>67253</c:v>
                </c:pt>
                <c:pt idx="8">
                  <c:v>71132</c:v>
                </c:pt>
                <c:pt idx="9">
                  <c:v>61324</c:v>
                </c:pt>
                <c:pt idx="10">
                  <c:v>48140</c:v>
                </c:pt>
                <c:pt idx="11">
                  <c:v>59201</c:v>
                </c:pt>
                <c:pt idx="12">
                  <c:v>45669</c:v>
                </c:pt>
                <c:pt idx="13">
                  <c:v>50235</c:v>
                </c:pt>
                <c:pt idx="14">
                  <c:v>56352</c:v>
                </c:pt>
                <c:pt idx="15">
                  <c:v>77993</c:v>
                </c:pt>
                <c:pt idx="16">
                  <c:v>61232</c:v>
                </c:pt>
                <c:pt idx="17">
                  <c:v>48914</c:v>
                </c:pt>
                <c:pt idx="18">
                  <c:v>50361</c:v>
                </c:pt>
                <c:pt idx="19">
                  <c:v>47513</c:v>
                </c:pt>
                <c:pt idx="20">
                  <c:v>30888</c:v>
                </c:pt>
                <c:pt idx="21">
                  <c:v>39482</c:v>
                </c:pt>
                <c:pt idx="22">
                  <c:v>46425</c:v>
                </c:pt>
                <c:pt idx="23">
                  <c:v>52632</c:v>
                </c:pt>
                <c:pt idx="24">
                  <c:v>67947</c:v>
                </c:pt>
                <c:pt idx="25">
                  <c:v>51154</c:v>
                </c:pt>
                <c:pt idx="26">
                  <c:v>33607</c:v>
                </c:pt>
                <c:pt idx="27">
                  <c:v>33020</c:v>
                </c:pt>
                <c:pt idx="28">
                  <c:v>18151</c:v>
                </c:pt>
                <c:pt idx="29">
                  <c:v>23950</c:v>
                </c:pt>
                <c:pt idx="30">
                  <c:v>40398</c:v>
                </c:pt>
                <c:pt idx="31">
                  <c:v>25173</c:v>
                </c:pt>
                <c:pt idx="32">
                  <c:v>17630</c:v>
                </c:pt>
                <c:pt idx="33">
                  <c:v>16528</c:v>
                </c:pt>
                <c:pt idx="34">
                  <c:v>21859</c:v>
                </c:pt>
                <c:pt idx="35">
                  <c:v>47935</c:v>
                </c:pt>
                <c:pt idx="36">
                  <c:v>31528</c:v>
                </c:pt>
                <c:pt idx="37">
                  <c:v>18299</c:v>
                </c:pt>
                <c:pt idx="38">
                  <c:v>12412</c:v>
                </c:pt>
                <c:pt idx="39">
                  <c:v>14288</c:v>
                </c:pt>
                <c:pt idx="40">
                  <c:v>17677</c:v>
                </c:pt>
                <c:pt idx="41">
                  <c:v>26265</c:v>
                </c:pt>
                <c:pt idx="42">
                  <c:v>23746</c:v>
                </c:pt>
                <c:pt idx="43">
                  <c:v>27492</c:v>
                </c:pt>
                <c:pt idx="44">
                  <c:v>19905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EF-40E8-B885-D54CABB37B69}"/>
            </c:ext>
          </c:extLst>
        </c:ser>
        <c:ser>
          <c:idx val="1"/>
          <c:order val="1"/>
          <c:tx>
            <c:strRef>
              <c:f>RunSize_by_Group!$C$1</c:f>
              <c:strCache>
                <c:ptCount val="1"/>
                <c:pt idx="0">
                  <c:v>Summer 5.2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RunSize_by_Group!$A$2:$A$46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RunSize_by_Group!$C$2:$C$46</c:f>
              <c:numCache>
                <c:formatCode>General</c:formatCode>
                <c:ptCount val="45"/>
                <c:pt idx="0">
                  <c:v>23684</c:v>
                </c:pt>
                <c:pt idx="1">
                  <c:v>22969</c:v>
                </c:pt>
                <c:pt idx="2">
                  <c:v>23603</c:v>
                </c:pt>
                <c:pt idx="3">
                  <c:v>35481</c:v>
                </c:pt>
                <c:pt idx="4">
                  <c:v>26250</c:v>
                </c:pt>
                <c:pt idx="5">
                  <c:v>27649</c:v>
                </c:pt>
                <c:pt idx="6">
                  <c:v>34803</c:v>
                </c:pt>
                <c:pt idx="7">
                  <c:v>48702</c:v>
                </c:pt>
                <c:pt idx="8">
                  <c:v>40388</c:v>
                </c:pt>
                <c:pt idx="9">
                  <c:v>42882</c:v>
                </c:pt>
                <c:pt idx="10">
                  <c:v>26283</c:v>
                </c:pt>
                <c:pt idx="11">
                  <c:v>49587</c:v>
                </c:pt>
                <c:pt idx="12">
                  <c:v>41332</c:v>
                </c:pt>
                <c:pt idx="13">
                  <c:v>48725</c:v>
                </c:pt>
                <c:pt idx="14">
                  <c:v>31321</c:v>
                </c:pt>
                <c:pt idx="15">
                  <c:v>33178</c:v>
                </c:pt>
                <c:pt idx="16">
                  <c:v>41796</c:v>
                </c:pt>
                <c:pt idx="17">
                  <c:v>57828</c:v>
                </c:pt>
                <c:pt idx="18">
                  <c:v>60589</c:v>
                </c:pt>
                <c:pt idx="19">
                  <c:v>48341</c:v>
                </c:pt>
                <c:pt idx="20">
                  <c:v>38362</c:v>
                </c:pt>
                <c:pt idx="21">
                  <c:v>47486</c:v>
                </c:pt>
                <c:pt idx="22">
                  <c:v>52824</c:v>
                </c:pt>
                <c:pt idx="23">
                  <c:v>46613</c:v>
                </c:pt>
                <c:pt idx="24">
                  <c:v>66598</c:v>
                </c:pt>
                <c:pt idx="25">
                  <c:v>54542</c:v>
                </c:pt>
                <c:pt idx="26">
                  <c:v>33768</c:v>
                </c:pt>
                <c:pt idx="27">
                  <c:v>45849</c:v>
                </c:pt>
                <c:pt idx="28">
                  <c:v>20957</c:v>
                </c:pt>
                <c:pt idx="29">
                  <c:v>31875</c:v>
                </c:pt>
                <c:pt idx="30">
                  <c:v>40601</c:v>
                </c:pt>
                <c:pt idx="31">
                  <c:v>31562</c:v>
                </c:pt>
                <c:pt idx="32">
                  <c:v>34043</c:v>
                </c:pt>
                <c:pt idx="33">
                  <c:v>19494</c:v>
                </c:pt>
                <c:pt idx="34">
                  <c:v>19865</c:v>
                </c:pt>
                <c:pt idx="35">
                  <c:v>38061</c:v>
                </c:pt>
                <c:pt idx="36">
                  <c:v>47251</c:v>
                </c:pt>
                <c:pt idx="37">
                  <c:v>16431</c:v>
                </c:pt>
                <c:pt idx="38">
                  <c:v>11142</c:v>
                </c:pt>
                <c:pt idx="39">
                  <c:v>10596</c:v>
                </c:pt>
                <c:pt idx="40">
                  <c:v>16446</c:v>
                </c:pt>
                <c:pt idx="41">
                  <c:v>24695</c:v>
                </c:pt>
                <c:pt idx="42">
                  <c:v>23713</c:v>
                </c:pt>
                <c:pt idx="43">
                  <c:v>41985</c:v>
                </c:pt>
                <c:pt idx="44">
                  <c:v>29567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EF-40E8-B885-D54CABB37B69}"/>
            </c:ext>
          </c:extLst>
        </c:ser>
        <c:ser>
          <c:idx val="2"/>
          <c:order val="2"/>
          <c:tx>
            <c:strRef>
              <c:f>RunSize_by_Group!$D$1</c:f>
              <c:strCache>
                <c:ptCount val="1"/>
                <c:pt idx="0">
                  <c:v>Spring 4.2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RunSize_by_Group!$A$2:$A$46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RunSize_by_Group!$D$2:$D$46</c:f>
              <c:numCache>
                <c:formatCode>General</c:formatCode>
                <c:ptCount val="45"/>
                <c:pt idx="0">
                  <c:v>12925</c:v>
                </c:pt>
                <c:pt idx="1">
                  <c:v>11558</c:v>
                </c:pt>
                <c:pt idx="2">
                  <c:v>7275</c:v>
                </c:pt>
                <c:pt idx="3">
                  <c:v>10834</c:v>
                </c:pt>
                <c:pt idx="4">
                  <c:v>5130</c:v>
                </c:pt>
                <c:pt idx="5">
                  <c:v>9830</c:v>
                </c:pt>
                <c:pt idx="6">
                  <c:v>14233</c:v>
                </c:pt>
                <c:pt idx="7">
                  <c:v>16209</c:v>
                </c:pt>
                <c:pt idx="8">
                  <c:v>9127</c:v>
                </c:pt>
                <c:pt idx="9">
                  <c:v>8046</c:v>
                </c:pt>
                <c:pt idx="10">
                  <c:v>11797</c:v>
                </c:pt>
                <c:pt idx="11">
                  <c:v>6960</c:v>
                </c:pt>
                <c:pt idx="12">
                  <c:v>11130</c:v>
                </c:pt>
                <c:pt idx="13">
                  <c:v>13533</c:v>
                </c:pt>
                <c:pt idx="14">
                  <c:v>19752</c:v>
                </c:pt>
                <c:pt idx="15">
                  <c:v>23569</c:v>
                </c:pt>
                <c:pt idx="16">
                  <c:v>25560</c:v>
                </c:pt>
                <c:pt idx="17">
                  <c:v>36487</c:v>
                </c:pt>
                <c:pt idx="18">
                  <c:v>32068</c:v>
                </c:pt>
                <c:pt idx="19">
                  <c:v>10444</c:v>
                </c:pt>
                <c:pt idx="20">
                  <c:v>18439</c:v>
                </c:pt>
                <c:pt idx="21">
                  <c:v>28087</c:v>
                </c:pt>
                <c:pt idx="22">
                  <c:v>31499</c:v>
                </c:pt>
                <c:pt idx="23">
                  <c:v>33724</c:v>
                </c:pt>
                <c:pt idx="24">
                  <c:v>43484</c:v>
                </c:pt>
                <c:pt idx="25">
                  <c:v>37065</c:v>
                </c:pt>
                <c:pt idx="26">
                  <c:v>17005</c:v>
                </c:pt>
                <c:pt idx="27">
                  <c:v>16916</c:v>
                </c:pt>
                <c:pt idx="28">
                  <c:v>4633</c:v>
                </c:pt>
                <c:pt idx="29">
                  <c:v>18183</c:v>
                </c:pt>
                <c:pt idx="30">
                  <c:v>4342</c:v>
                </c:pt>
                <c:pt idx="31">
                  <c:v>13078</c:v>
                </c:pt>
                <c:pt idx="32">
                  <c:v>8016</c:v>
                </c:pt>
                <c:pt idx="33">
                  <c:v>15503</c:v>
                </c:pt>
                <c:pt idx="34">
                  <c:v>8469</c:v>
                </c:pt>
                <c:pt idx="35">
                  <c:v>31303</c:v>
                </c:pt>
                <c:pt idx="36">
                  <c:v>13970</c:v>
                </c:pt>
                <c:pt idx="37">
                  <c:v>11352</c:v>
                </c:pt>
                <c:pt idx="38">
                  <c:v>6669</c:v>
                </c:pt>
                <c:pt idx="39">
                  <c:v>3626</c:v>
                </c:pt>
                <c:pt idx="40">
                  <c:v>6311</c:v>
                </c:pt>
                <c:pt idx="41">
                  <c:v>9234</c:v>
                </c:pt>
                <c:pt idx="42">
                  <c:v>6801</c:v>
                </c:pt>
                <c:pt idx="43">
                  <c:v>10700</c:v>
                </c:pt>
                <c:pt idx="44">
                  <c:v>11879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EF-40E8-B885-D54CABB37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553375"/>
        <c:axId val="364556703"/>
      </c:scatterChart>
      <c:valAx>
        <c:axId val="537882415"/>
        <c:scaling>
          <c:orientation val="minMax"/>
          <c:max val="2025"/>
          <c:min val="19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382751"/>
        <c:crosses val="autoZero"/>
        <c:crossBetween val="midCat"/>
      </c:valAx>
      <c:valAx>
        <c:axId val="5363827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Fry type (summer 4.1,fall)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82415"/>
        <c:crosses val="autoZero"/>
        <c:crossBetween val="midCat"/>
      </c:valAx>
      <c:valAx>
        <c:axId val="3645567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Smolt type (4.2 and 5.2 types)</a:t>
                </a:r>
              </a:p>
            </c:rich>
          </c:tx>
          <c:layout>
            <c:manualLayout>
              <c:xMode val="edge"/>
              <c:yMode val="edge"/>
              <c:x val="0.9299860017497813"/>
              <c:y val="0.225509259259259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553375"/>
        <c:crosses val="max"/>
        <c:crossBetween val="midCat"/>
      </c:valAx>
      <c:valAx>
        <c:axId val="3645533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4556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chinook terminal exploitation rates by run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RunSize_by_Group!$J$1</c:f>
              <c:strCache>
                <c:ptCount val="1"/>
                <c:pt idx="0">
                  <c:v>Spring 5.2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RunSize_by_Group!$I$2:$I$46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RunSize_by_Group!$J$2:$J$46</c:f>
              <c:numCache>
                <c:formatCode>General</c:formatCode>
                <c:ptCount val="45"/>
                <c:pt idx="0">
                  <c:v>0.55263580315790173</c:v>
                </c:pt>
                <c:pt idx="1">
                  <c:v>0.2424494547778682</c:v>
                </c:pt>
                <c:pt idx="2">
                  <c:v>0.35929804146870747</c:v>
                </c:pt>
                <c:pt idx="3">
                  <c:v>0.36072100649562167</c:v>
                </c:pt>
                <c:pt idx="4">
                  <c:v>0.23029578409953766</c:v>
                </c:pt>
                <c:pt idx="5">
                  <c:v>0.18336383328577638</c:v>
                </c:pt>
                <c:pt idx="6">
                  <c:v>0.13533330287762199</c:v>
                </c:pt>
                <c:pt idx="7">
                  <c:v>9.7163862379310212E-2</c:v>
                </c:pt>
                <c:pt idx="8">
                  <c:v>0.12867366156672499</c:v>
                </c:pt>
                <c:pt idx="9">
                  <c:v>0.11838540306730418</c:v>
                </c:pt>
                <c:pt idx="10">
                  <c:v>0.21166121986546971</c:v>
                </c:pt>
                <c:pt idx="11">
                  <c:v>0.13586164332727882</c:v>
                </c:pt>
                <c:pt idx="12">
                  <c:v>0.2387100313462413</c:v>
                </c:pt>
                <c:pt idx="13">
                  <c:v>0.15429791310851204</c:v>
                </c:pt>
                <c:pt idx="14">
                  <c:v>0.22348846874363709</c:v>
                </c:pt>
                <c:pt idx="15">
                  <c:v>0.15615022309605459</c:v>
                </c:pt>
                <c:pt idx="16">
                  <c:v>0.14543944810655554</c:v>
                </c:pt>
                <c:pt idx="17">
                  <c:v>0.15908269580903969</c:v>
                </c:pt>
                <c:pt idx="18">
                  <c:v>0.1783245817662775</c:v>
                </c:pt>
                <c:pt idx="19">
                  <c:v>0.27254609350895764</c:v>
                </c:pt>
                <c:pt idx="20">
                  <c:v>0.23761555586606936</c:v>
                </c:pt>
                <c:pt idx="21">
                  <c:v>0.26523923611329064</c:v>
                </c:pt>
                <c:pt idx="22">
                  <c:v>0.26636929150854921</c:v>
                </c:pt>
                <c:pt idx="23">
                  <c:v>0.15485648021395815</c:v>
                </c:pt>
                <c:pt idx="24">
                  <c:v>0.18617231271318252</c:v>
                </c:pt>
                <c:pt idx="25">
                  <c:v>0.30138288471653502</c:v>
                </c:pt>
                <c:pt idx="26">
                  <c:v>0.28222318721401518</c:v>
                </c:pt>
                <c:pt idx="27">
                  <c:v>0.26234178806049296</c:v>
                </c:pt>
                <c:pt idx="28">
                  <c:v>0.27268401495907046</c:v>
                </c:pt>
                <c:pt idx="29">
                  <c:v>0.23106580547525807</c:v>
                </c:pt>
                <c:pt idx="30">
                  <c:v>0.27316916321844753</c:v>
                </c:pt>
                <c:pt idx="31">
                  <c:v>0.1819414225968089</c:v>
                </c:pt>
                <c:pt idx="32">
                  <c:v>0.23587169351072487</c:v>
                </c:pt>
                <c:pt idx="33">
                  <c:v>0.22076880182023995</c:v>
                </c:pt>
                <c:pt idx="34">
                  <c:v>9.7289447063364329E-2</c:v>
                </c:pt>
                <c:pt idx="35">
                  <c:v>0.14601121268216061</c:v>
                </c:pt>
                <c:pt idx="36">
                  <c:v>0.11292870731559061</c:v>
                </c:pt>
                <c:pt idx="37">
                  <c:v>0.12720639749288928</c:v>
                </c:pt>
                <c:pt idx="38">
                  <c:v>0.12006000627460434</c:v>
                </c:pt>
                <c:pt idx="39">
                  <c:v>0.22511653497585285</c:v>
                </c:pt>
                <c:pt idx="40">
                  <c:v>4.8297862908878976E-2</c:v>
                </c:pt>
                <c:pt idx="41">
                  <c:v>2.2347190964985306E-2</c:v>
                </c:pt>
                <c:pt idx="42">
                  <c:v>3.8157572170845963E-2</c:v>
                </c:pt>
                <c:pt idx="43">
                  <c:v>2.0978021776768593E-2</c:v>
                </c:pt>
                <c:pt idx="44">
                  <c:v>2.5527051519243255E-2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9B-4D3E-8528-E569ED1445C4}"/>
            </c:ext>
          </c:extLst>
        </c:ser>
        <c:ser>
          <c:idx val="1"/>
          <c:order val="1"/>
          <c:tx>
            <c:strRef>
              <c:f>RunSize_by_Group!$K$1</c:f>
              <c:strCache>
                <c:ptCount val="1"/>
                <c:pt idx="0">
                  <c:v>Summer 5.2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RunSize_by_Group!$I$2:$I$46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RunSize_by_Group!$K$2:$K$46</c:f>
              <c:numCache>
                <c:formatCode>General</c:formatCode>
                <c:ptCount val="45"/>
                <c:pt idx="0">
                  <c:v>0.47730428770029859</c:v>
                </c:pt>
                <c:pt idx="1">
                  <c:v>0.2841579893221633</c:v>
                </c:pt>
                <c:pt idx="2">
                  <c:v>0.33479502179269105</c:v>
                </c:pt>
                <c:pt idx="3">
                  <c:v>0.50059730096644572</c:v>
                </c:pt>
                <c:pt idx="4">
                  <c:v>0.25015697685683302</c:v>
                </c:pt>
                <c:pt idx="5">
                  <c:v>0.39310741744860156</c:v>
                </c:pt>
                <c:pt idx="6">
                  <c:v>0.34948325252513329</c:v>
                </c:pt>
                <c:pt idx="7">
                  <c:v>0.20833869956392484</c:v>
                </c:pt>
                <c:pt idx="8">
                  <c:v>0.16603544601861947</c:v>
                </c:pt>
                <c:pt idx="9">
                  <c:v>0.12364226585181813</c:v>
                </c:pt>
                <c:pt idx="10">
                  <c:v>0.24136390810625422</c:v>
                </c:pt>
                <c:pt idx="11">
                  <c:v>0.22216927667594277</c:v>
                </c:pt>
                <c:pt idx="12">
                  <c:v>0.20479755338081787</c:v>
                </c:pt>
                <c:pt idx="13">
                  <c:v>9.6667940895735507E-2</c:v>
                </c:pt>
                <c:pt idx="14">
                  <c:v>0.21870310071873725</c:v>
                </c:pt>
                <c:pt idx="15">
                  <c:v>0.18881801474695872</c:v>
                </c:pt>
                <c:pt idx="16">
                  <c:v>0.1796491123025514</c:v>
                </c:pt>
                <c:pt idx="17">
                  <c:v>0.13655683918242778</c:v>
                </c:pt>
                <c:pt idx="18">
                  <c:v>0.19546040956214983</c:v>
                </c:pt>
                <c:pt idx="19">
                  <c:v>0.14187024827043937</c:v>
                </c:pt>
                <c:pt idx="20">
                  <c:v>0.23777890835503279</c:v>
                </c:pt>
                <c:pt idx="21">
                  <c:v>0.1770993913971827</c:v>
                </c:pt>
                <c:pt idx="22">
                  <c:v>0.16411664049371941</c:v>
                </c:pt>
                <c:pt idx="23">
                  <c:v>0.16189462300823831</c:v>
                </c:pt>
                <c:pt idx="24">
                  <c:v>0.14380865607041507</c:v>
                </c:pt>
                <c:pt idx="25">
                  <c:v>0.29731775616532591</c:v>
                </c:pt>
                <c:pt idx="26">
                  <c:v>0.18432432531365167</c:v>
                </c:pt>
                <c:pt idx="27">
                  <c:v>0.15487623101559711</c:v>
                </c:pt>
                <c:pt idx="28">
                  <c:v>0.23621285922607174</c:v>
                </c:pt>
                <c:pt idx="29">
                  <c:v>0.2301069398848147</c:v>
                </c:pt>
                <c:pt idx="30">
                  <c:v>0.22232632891810009</c:v>
                </c:pt>
                <c:pt idx="31">
                  <c:v>0.15408607521169024</c:v>
                </c:pt>
                <c:pt idx="32">
                  <c:v>0.30085235926272114</c:v>
                </c:pt>
                <c:pt idx="33">
                  <c:v>0.34437823363701658</c:v>
                </c:pt>
                <c:pt idx="34">
                  <c:v>0.12422885177132253</c:v>
                </c:pt>
                <c:pt idx="35">
                  <c:v>0.17501839604625186</c:v>
                </c:pt>
                <c:pt idx="36">
                  <c:v>8.9752590622393408E-2</c:v>
                </c:pt>
                <c:pt idx="37">
                  <c:v>0.12926297669074022</c:v>
                </c:pt>
                <c:pt idx="38">
                  <c:v>0.11280212850354529</c:v>
                </c:pt>
                <c:pt idx="39">
                  <c:v>0.15103952666654383</c:v>
                </c:pt>
                <c:pt idx="40">
                  <c:v>9.6593165432978162E-2</c:v>
                </c:pt>
                <c:pt idx="41">
                  <c:v>0.10791866180757945</c:v>
                </c:pt>
                <c:pt idx="42">
                  <c:v>8.6038859800993933E-2</c:v>
                </c:pt>
                <c:pt idx="43">
                  <c:v>7.2744583187425688E-2</c:v>
                </c:pt>
                <c:pt idx="44">
                  <c:v>5.2782829925241317E-2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9B-4D3E-8528-E569ED1445C4}"/>
            </c:ext>
          </c:extLst>
        </c:ser>
        <c:ser>
          <c:idx val="2"/>
          <c:order val="2"/>
          <c:tx>
            <c:strRef>
              <c:f>RunSize_by_Group!$L$1</c:f>
              <c:strCache>
                <c:ptCount val="1"/>
                <c:pt idx="0">
                  <c:v>Spring 4.2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RunSize_by_Group!$I$2:$I$46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RunSize_by_Group!$L$2:$L$46</c:f>
              <c:numCache>
                <c:formatCode>General</c:formatCode>
                <c:ptCount val="45"/>
                <c:pt idx="0">
                  <c:v>0.72878076266128056</c:v>
                </c:pt>
                <c:pt idx="1">
                  <c:v>0.34863223372530294</c:v>
                </c:pt>
                <c:pt idx="2">
                  <c:v>0.4814011114663424</c:v>
                </c:pt>
                <c:pt idx="3">
                  <c:v>0.38612684802283648</c:v>
                </c:pt>
                <c:pt idx="4">
                  <c:v>0.35990219716947569</c:v>
                </c:pt>
                <c:pt idx="5">
                  <c:v>0.16439295165758935</c:v>
                </c:pt>
                <c:pt idx="6">
                  <c:v>0.15168730623116747</c:v>
                </c:pt>
                <c:pt idx="7">
                  <c:v>0.15058672614142987</c:v>
                </c:pt>
                <c:pt idx="8">
                  <c:v>0.22285526459953983</c:v>
                </c:pt>
                <c:pt idx="9">
                  <c:v>0.19208194847092364</c:v>
                </c:pt>
                <c:pt idx="10">
                  <c:v>0.22655481547078019</c:v>
                </c:pt>
                <c:pt idx="11">
                  <c:v>0.22743756172244334</c:v>
                </c:pt>
                <c:pt idx="12">
                  <c:v>0.33561265827757281</c:v>
                </c:pt>
                <c:pt idx="13">
                  <c:v>0.26700555470592491</c:v>
                </c:pt>
                <c:pt idx="14">
                  <c:v>0.31382186414016378</c:v>
                </c:pt>
                <c:pt idx="15">
                  <c:v>0.26823223003047253</c:v>
                </c:pt>
                <c:pt idx="16">
                  <c:v>0.25745823999416689</c:v>
                </c:pt>
                <c:pt idx="17">
                  <c:v>0.23559075835228985</c:v>
                </c:pt>
                <c:pt idx="18">
                  <c:v>0.2954380808106476</c:v>
                </c:pt>
                <c:pt idx="19">
                  <c:v>0.46198774415932592</c:v>
                </c:pt>
                <c:pt idx="20">
                  <c:v>0.34395737256335329</c:v>
                </c:pt>
                <c:pt idx="21">
                  <c:v>0.41609997507743796</c:v>
                </c:pt>
                <c:pt idx="22">
                  <c:v>0.39779040604463634</c:v>
                </c:pt>
                <c:pt idx="23">
                  <c:v>0.25883643695884234</c:v>
                </c:pt>
                <c:pt idx="24">
                  <c:v>0.3280287002115721</c:v>
                </c:pt>
                <c:pt idx="25">
                  <c:v>0.43731282881424527</c:v>
                </c:pt>
                <c:pt idx="26">
                  <c:v>0.44910320493972361</c:v>
                </c:pt>
                <c:pt idx="27">
                  <c:v>0.39707968786947268</c:v>
                </c:pt>
                <c:pt idx="28">
                  <c:v>0.426505503993093</c:v>
                </c:pt>
                <c:pt idx="29">
                  <c:v>0.32959357641753284</c:v>
                </c:pt>
                <c:pt idx="30">
                  <c:v>0.42054352832795949</c:v>
                </c:pt>
                <c:pt idx="31">
                  <c:v>0.24392108885150635</c:v>
                </c:pt>
                <c:pt idx="32">
                  <c:v>0.32285429141716565</c:v>
                </c:pt>
                <c:pt idx="33">
                  <c:v>0.24872605302199574</c:v>
                </c:pt>
                <c:pt idx="34">
                  <c:v>0.13295548470893848</c:v>
                </c:pt>
                <c:pt idx="35">
                  <c:v>0.20279206465833946</c:v>
                </c:pt>
                <c:pt idx="36">
                  <c:v>0.17594846098783107</c:v>
                </c:pt>
                <c:pt idx="37">
                  <c:v>0.18076914403374586</c:v>
                </c:pt>
                <c:pt idx="38">
                  <c:v>0.17902836515919507</c:v>
                </c:pt>
                <c:pt idx="39">
                  <c:v>0.35135135135135137</c:v>
                </c:pt>
                <c:pt idx="40">
                  <c:v>2.4877198542227856E-2</c:v>
                </c:pt>
                <c:pt idx="41">
                  <c:v>3.8018121619284244E-2</c:v>
                </c:pt>
                <c:pt idx="42">
                  <c:v>2.7642993677400383E-2</c:v>
                </c:pt>
                <c:pt idx="43">
                  <c:v>2.0654205607476637E-2</c:v>
                </c:pt>
                <c:pt idx="44">
                  <c:v>2.5810010829732784E-2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9B-4D3E-8528-E569ED1445C4}"/>
            </c:ext>
          </c:extLst>
        </c:ser>
        <c:ser>
          <c:idx val="3"/>
          <c:order val="3"/>
          <c:tx>
            <c:strRef>
              <c:f>RunSize_by_Group!$M$1</c:f>
              <c:strCache>
                <c:ptCount val="1"/>
                <c:pt idx="0">
                  <c:v>Summer 4.1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RunSize_by_Group!$I$2:$I$46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RunSize_by_Group!$M$2:$M$46</c:f>
              <c:numCache>
                <c:formatCode>General</c:formatCode>
                <c:ptCount val="45"/>
                <c:pt idx="0">
                  <c:v>0.45718496678970355</c:v>
                </c:pt>
                <c:pt idx="1">
                  <c:v>0.640059610612151</c:v>
                </c:pt>
                <c:pt idx="2">
                  <c:v>0.35521161142071989</c:v>
                </c:pt>
                <c:pt idx="3">
                  <c:v>0.56148937237876473</c:v>
                </c:pt>
                <c:pt idx="4">
                  <c:v>0.4911418823075685</c:v>
                </c:pt>
                <c:pt idx="5">
                  <c:v>0.52732516590493528</c:v>
                </c:pt>
                <c:pt idx="6">
                  <c:v>0.36624198215874748</c:v>
                </c:pt>
                <c:pt idx="7">
                  <c:v>0.24927772588512764</c:v>
                </c:pt>
                <c:pt idx="8">
                  <c:v>0.20757347204686885</c:v>
                </c:pt>
                <c:pt idx="9">
                  <c:v>0.16522121018457367</c:v>
                </c:pt>
                <c:pt idx="10">
                  <c:v>0.23539697758090961</c:v>
                </c:pt>
                <c:pt idx="11">
                  <c:v>0.25408939406526754</c:v>
                </c:pt>
                <c:pt idx="12">
                  <c:v>0.17848164698258909</c:v>
                </c:pt>
                <c:pt idx="13">
                  <c:v>8.2116622070067938E-2</c:v>
                </c:pt>
                <c:pt idx="14">
                  <c:v>0.2462505064730893</c:v>
                </c:pt>
                <c:pt idx="15">
                  <c:v>0.2188863337044632</c:v>
                </c:pt>
                <c:pt idx="16">
                  <c:v>0.28271931736636208</c:v>
                </c:pt>
                <c:pt idx="17">
                  <c:v>0.15497899453172828</c:v>
                </c:pt>
                <c:pt idx="18">
                  <c:v>0.30518139875099026</c:v>
                </c:pt>
                <c:pt idx="19">
                  <c:v>0.10983312839361387</c:v>
                </c:pt>
                <c:pt idx="20">
                  <c:v>0.14130921608914726</c:v>
                </c:pt>
                <c:pt idx="21">
                  <c:v>0.18465051784587005</c:v>
                </c:pt>
                <c:pt idx="22">
                  <c:v>0.15828666218886386</c:v>
                </c:pt>
                <c:pt idx="23">
                  <c:v>0.12670368232885826</c:v>
                </c:pt>
                <c:pt idx="24">
                  <c:v>0.16886297170626083</c:v>
                </c:pt>
                <c:pt idx="25">
                  <c:v>0.2313887625617542</c:v>
                </c:pt>
                <c:pt idx="26">
                  <c:v>0.16507764224928242</c:v>
                </c:pt>
                <c:pt idx="27">
                  <c:v>0.10531614059050994</c:v>
                </c:pt>
                <c:pt idx="28">
                  <c:v>0.18322754147634018</c:v>
                </c:pt>
                <c:pt idx="29">
                  <c:v>0.19908048505575066</c:v>
                </c:pt>
                <c:pt idx="30">
                  <c:v>0.20353137038086919</c:v>
                </c:pt>
                <c:pt idx="31">
                  <c:v>0.13240438819786016</c:v>
                </c:pt>
                <c:pt idx="32">
                  <c:v>0.24350682461046316</c:v>
                </c:pt>
                <c:pt idx="33">
                  <c:v>0.29280368137474544</c:v>
                </c:pt>
                <c:pt idx="34">
                  <c:v>0.12176850594339599</c:v>
                </c:pt>
                <c:pt idx="35">
                  <c:v>0.23727454116769045</c:v>
                </c:pt>
                <c:pt idx="36">
                  <c:v>0.14567484494083471</c:v>
                </c:pt>
                <c:pt idx="37">
                  <c:v>7.1629750255256738E-2</c:v>
                </c:pt>
                <c:pt idx="38">
                  <c:v>0.14804896490528177</c:v>
                </c:pt>
                <c:pt idx="39">
                  <c:v>0.24535454436626275</c:v>
                </c:pt>
                <c:pt idx="40">
                  <c:v>0.16027056339937637</c:v>
                </c:pt>
                <c:pt idx="41">
                  <c:v>0.1775035175532165</c:v>
                </c:pt>
                <c:pt idx="42">
                  <c:v>0.14862625164654061</c:v>
                </c:pt>
                <c:pt idx="43">
                  <c:v>0.18235617005776775</c:v>
                </c:pt>
                <c:pt idx="44">
                  <c:v>5.9194388607136522E-2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9B-4D3E-8528-E569ED1445C4}"/>
            </c:ext>
          </c:extLst>
        </c:ser>
        <c:ser>
          <c:idx val="4"/>
          <c:order val="4"/>
          <c:tx>
            <c:strRef>
              <c:f>RunSize_by_Group!$N$1</c:f>
              <c:strCache>
                <c:ptCount val="1"/>
                <c:pt idx="0">
                  <c:v>      Fall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RunSize_by_Group!$I$2:$I$46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RunSize_by_Group!$N$2:$N$46</c:f>
              <c:numCache>
                <c:formatCode>General</c:formatCode>
                <c:ptCount val="45"/>
                <c:pt idx="0">
                  <c:v>4.4898612467468603E-2</c:v>
                </c:pt>
                <c:pt idx="1">
                  <c:v>0.25761449969056699</c:v>
                </c:pt>
                <c:pt idx="2">
                  <c:v>4.7128390188447958E-2</c:v>
                </c:pt>
                <c:pt idx="3">
                  <c:v>0.12463763875844749</c:v>
                </c:pt>
                <c:pt idx="4">
                  <c:v>0.3111276363567041</c:v>
                </c:pt>
                <c:pt idx="5">
                  <c:v>8.0569232723151155E-2</c:v>
                </c:pt>
                <c:pt idx="6">
                  <c:v>2.6823727579407455E-2</c:v>
                </c:pt>
                <c:pt idx="7">
                  <c:v>9.3807695431421048E-2</c:v>
                </c:pt>
                <c:pt idx="8">
                  <c:v>3.2505739043400615E-2</c:v>
                </c:pt>
                <c:pt idx="9">
                  <c:v>8.1449759290305915E-2</c:v>
                </c:pt>
                <c:pt idx="10">
                  <c:v>1.7799480911194657E-2</c:v>
                </c:pt>
                <c:pt idx="11">
                  <c:v>1.3651617490017066E-2</c:v>
                </c:pt>
                <c:pt idx="12">
                  <c:v>3.4836556367445433E-2</c:v>
                </c:pt>
                <c:pt idx="13">
                  <c:v>2.865420579221668E-2</c:v>
                </c:pt>
                <c:pt idx="14">
                  <c:v>2.3497420628335382E-2</c:v>
                </c:pt>
                <c:pt idx="15">
                  <c:v>2.4283653912687796E-2</c:v>
                </c:pt>
                <c:pt idx="16">
                  <c:v>2.2900541275095231E-2</c:v>
                </c:pt>
                <c:pt idx="17">
                  <c:v>2.5675226856936944E-2</c:v>
                </c:pt>
                <c:pt idx="18">
                  <c:v>2.4276512385972629E-2</c:v>
                </c:pt>
                <c:pt idx="19">
                  <c:v>2.9873563179080243E-2</c:v>
                </c:pt>
                <c:pt idx="20">
                  <c:v>3.5270528426403804E-2</c:v>
                </c:pt>
                <c:pt idx="21">
                  <c:v>3.1154985450131879E-2</c:v>
                </c:pt>
                <c:pt idx="22">
                  <c:v>4.7626507093587615E-2</c:v>
                </c:pt>
                <c:pt idx="23">
                  <c:v>0.10408622713903563</c:v>
                </c:pt>
                <c:pt idx="24">
                  <c:v>1.7236644427572171E-2</c:v>
                </c:pt>
                <c:pt idx="25">
                  <c:v>3.6520048602672862E-2</c:v>
                </c:pt>
                <c:pt idx="26">
                  <c:v>7.0203194121616561E-2</c:v>
                </c:pt>
                <c:pt idx="27">
                  <c:v>7.7471079119522973E-2</c:v>
                </c:pt>
                <c:pt idx="28">
                  <c:v>5.4470953354738012E-2</c:v>
                </c:pt>
                <c:pt idx="29">
                  <c:v>5.0842228593263185E-2</c:v>
                </c:pt>
                <c:pt idx="30">
                  <c:v>7.9886121605856605E-2</c:v>
                </c:pt>
                <c:pt idx="31">
                  <c:v>4.2717050614972434E-2</c:v>
                </c:pt>
                <c:pt idx="32">
                  <c:v>3.9501384695758257E-2</c:v>
                </c:pt>
                <c:pt idx="33">
                  <c:v>4.8046292778443467E-2</c:v>
                </c:pt>
                <c:pt idx="34">
                  <c:v>4.8179194179748884E-2</c:v>
                </c:pt>
                <c:pt idx="35">
                  <c:v>7.1878051637070242E-2</c:v>
                </c:pt>
                <c:pt idx="36">
                  <c:v>4.5445687879294025E-2</c:v>
                </c:pt>
                <c:pt idx="37">
                  <c:v>7.3913117879877963E-2</c:v>
                </c:pt>
                <c:pt idx="38">
                  <c:v>0.11254925736139434</c:v>
                </c:pt>
                <c:pt idx="39">
                  <c:v>6.9289348700531689E-2</c:v>
                </c:pt>
                <c:pt idx="40">
                  <c:v>6.773662007939768E-2</c:v>
                </c:pt>
                <c:pt idx="41">
                  <c:v>6.7093760539628899E-2</c:v>
                </c:pt>
                <c:pt idx="42">
                  <c:v>8.0981592128374066E-2</c:v>
                </c:pt>
                <c:pt idx="43">
                  <c:v>0.15834928650840915</c:v>
                </c:pt>
                <c:pt idx="44">
                  <c:v>8.8679341939639195E-2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9B-4D3E-8528-E569ED144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483087"/>
        <c:axId val="1220645807"/>
      </c:scatterChart>
      <c:valAx>
        <c:axId val="122048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645807"/>
        <c:crosses val="autoZero"/>
        <c:crossBetween val="midCat"/>
      </c:valAx>
      <c:valAx>
        <c:axId val="122064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Ut=Catch/Run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483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422910</xdr:colOff>
      <xdr:row>1</xdr:row>
      <xdr:rowOff>144780</xdr:rowOff>
    </xdr:from>
    <xdr:to>
      <xdr:col>81</xdr:col>
      <xdr:colOff>514350</xdr:colOff>
      <xdr:row>16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9A07A8-5003-49A5-85EB-4E8D5A20B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224790</xdr:colOff>
      <xdr:row>3</xdr:row>
      <xdr:rowOff>102870</xdr:rowOff>
    </xdr:from>
    <xdr:to>
      <xdr:col>8</xdr:col>
      <xdr:colOff>255270</xdr:colOff>
      <xdr:row>18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39D7F0-725C-4DFA-8DD2-C49D21075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68580</xdr:colOff>
      <xdr:row>2</xdr:row>
      <xdr:rowOff>133350</xdr:rowOff>
    </xdr:from>
    <xdr:to>
      <xdr:col>16</xdr:col>
      <xdr:colOff>160020</xdr:colOff>
      <xdr:row>19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65D75D-E05C-4D71-B91C-0D7733C9A4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289560</xdr:colOff>
      <xdr:row>0</xdr:row>
      <xdr:rowOff>121920</xdr:rowOff>
    </xdr:from>
    <xdr:to>
      <xdr:col>16</xdr:col>
      <xdr:colOff>213360</xdr:colOff>
      <xdr:row>15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1BE274-1F90-44BE-9776-F08B288A4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9282-2ED1-4089-A411-57587E092CCE}">
  <dimension ref="A1:CG85"/>
  <sheetViews>
    <sheetView zoomScale="50" zoomScaleNormal="50" workbookViewId="0">
      <pane ySplit="432" topLeftCell="A64" activePane="bottomLeft"/>
      <selection activeCell="X1" sqref="X1"/>
      <selection pane="bottomLeft" activeCell="A66" sqref="A66:XFD66"/>
    </sheetView>
  </sheetViews>
  <sheetFormatPr defaultRowHeight="14.4" x14ac:dyDescent="0.55000000000000004"/>
  <sheetData>
    <row r="1" spans="1:85" x14ac:dyDescent="0.55000000000000004">
      <c r="A1" s="3"/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  <c r="AD1" s="3" t="s">
        <v>35</v>
      </c>
      <c r="AE1" s="3" t="s">
        <v>36</v>
      </c>
      <c r="AF1" s="3" t="s">
        <v>37</v>
      </c>
      <c r="AG1" s="3" t="s">
        <v>38</v>
      </c>
      <c r="AH1" s="3" t="s">
        <v>39</v>
      </c>
      <c r="AI1" s="3" t="s">
        <v>40</v>
      </c>
      <c r="AJ1" s="3" t="s">
        <v>41</v>
      </c>
      <c r="AK1" s="3" t="s">
        <v>42</v>
      </c>
      <c r="AL1" s="3" t="s">
        <v>43</v>
      </c>
      <c r="AM1" s="3" t="s">
        <v>44</v>
      </c>
      <c r="AN1" s="3" t="s">
        <v>45</v>
      </c>
      <c r="AO1" s="3" t="s">
        <v>46</v>
      </c>
      <c r="AP1" s="3" t="s">
        <v>47</v>
      </c>
      <c r="AQ1" s="3" t="s">
        <v>48</v>
      </c>
      <c r="AR1" s="3" t="s">
        <v>49</v>
      </c>
      <c r="AS1" s="3" t="s">
        <v>50</v>
      </c>
      <c r="AT1" s="3" t="s">
        <v>51</v>
      </c>
      <c r="AU1" s="3" t="s">
        <v>52</v>
      </c>
      <c r="AV1" s="3" t="s">
        <v>53</v>
      </c>
      <c r="AW1" s="3" t="s">
        <v>54</v>
      </c>
      <c r="AX1" s="3" t="s">
        <v>55</v>
      </c>
      <c r="AY1" s="3" t="s">
        <v>56</v>
      </c>
      <c r="AZ1" s="3" t="s">
        <v>57</v>
      </c>
      <c r="BA1" s="3" t="s">
        <v>58</v>
      </c>
      <c r="BB1" s="3" t="s">
        <v>59</v>
      </c>
      <c r="BC1" s="3" t="s">
        <v>60</v>
      </c>
      <c r="BD1" s="3" t="s">
        <v>61</v>
      </c>
      <c r="BE1" s="3" t="s">
        <v>62</v>
      </c>
      <c r="BF1" s="3" t="s">
        <v>63</v>
      </c>
      <c r="BG1" s="3" t="s">
        <v>64</v>
      </c>
      <c r="BH1" s="3" t="s">
        <v>65</v>
      </c>
      <c r="BI1" s="3" t="s">
        <v>66</v>
      </c>
      <c r="BJ1" s="3" t="s">
        <v>67</v>
      </c>
      <c r="BK1" s="3" t="s">
        <v>68</v>
      </c>
      <c r="BL1" s="3" t="s">
        <v>69</v>
      </c>
      <c r="BM1" s="3" t="s">
        <v>70</v>
      </c>
      <c r="BN1" s="3" t="s">
        <v>71</v>
      </c>
      <c r="BO1" s="3" t="s">
        <v>72</v>
      </c>
      <c r="BP1" s="3" t="s">
        <v>73</v>
      </c>
      <c r="BQ1" s="3" t="s">
        <v>74</v>
      </c>
      <c r="BR1" s="3" t="s">
        <v>75</v>
      </c>
      <c r="BS1" s="3" t="s">
        <v>76</v>
      </c>
      <c r="BT1" s="3" t="s">
        <v>77</v>
      </c>
      <c r="BU1" s="3" t="s">
        <v>78</v>
      </c>
      <c r="BV1" s="3" t="s">
        <v>79</v>
      </c>
      <c r="BW1" s="3" t="s">
        <v>80</v>
      </c>
      <c r="BX1" s="3" t="s">
        <v>81</v>
      </c>
      <c r="BY1" s="3" t="s">
        <v>82</v>
      </c>
      <c r="BZ1" s="3" t="s">
        <v>83</v>
      </c>
      <c r="CA1" s="3" t="s">
        <v>84</v>
      </c>
      <c r="CB1" s="3" t="s">
        <v>85</v>
      </c>
      <c r="CC1" s="3" t="s">
        <v>86</v>
      </c>
      <c r="CD1" s="3" t="s">
        <v>87</v>
      </c>
      <c r="CE1" s="3" t="s">
        <v>88</v>
      </c>
      <c r="CF1" s="3" t="s">
        <v>89</v>
      </c>
      <c r="CG1" s="3" t="s">
        <v>90</v>
      </c>
    </row>
    <row r="2" spans="1:85" x14ac:dyDescent="0.55000000000000004">
      <c r="A2" s="1" t="s">
        <v>7</v>
      </c>
      <c r="B2" s="1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 x14ac:dyDescent="0.55000000000000004">
      <c r="A3" s="1" t="s">
        <v>8</v>
      </c>
      <c r="B3" s="1">
        <v>0.56823523344452287</v>
      </c>
      <c r="C3" s="1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5" x14ac:dyDescent="0.55000000000000004">
      <c r="A4" s="1" t="s">
        <v>9</v>
      </c>
      <c r="B4" s="1">
        <v>0.64277758815128838</v>
      </c>
      <c r="C4" s="1">
        <v>0.57345515324922203</v>
      </c>
      <c r="D4" s="1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 x14ac:dyDescent="0.55000000000000004">
      <c r="A5" s="1" t="s">
        <v>10</v>
      </c>
      <c r="B5" s="1">
        <v>0.34626463005560165</v>
      </c>
      <c r="C5" s="1">
        <v>8.2300862740042696E-2</v>
      </c>
      <c r="D5" s="1">
        <v>0.56512037114662017</v>
      </c>
      <c r="E5" s="1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1:85" x14ac:dyDescent="0.55000000000000004">
      <c r="A6" s="1" t="s">
        <v>11</v>
      </c>
      <c r="B6" s="1">
        <v>0.79491612712057846</v>
      </c>
      <c r="C6" s="1">
        <v>0.51529261473132404</v>
      </c>
      <c r="D6" s="1">
        <v>0.8028485320101667</v>
      </c>
      <c r="E6" s="1">
        <v>0.59863497616849659</v>
      </c>
      <c r="F6" s="1">
        <v>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 x14ac:dyDescent="0.55000000000000004">
      <c r="A7" s="1" t="s">
        <v>12</v>
      </c>
      <c r="B7" s="1">
        <v>0.2562287667492511</v>
      </c>
      <c r="C7" s="1">
        <v>0.14318263941760054</v>
      </c>
      <c r="D7" s="1">
        <v>0.32307574202100248</v>
      </c>
      <c r="E7" s="1">
        <v>0.47215504666295804</v>
      </c>
      <c r="F7" s="1">
        <v>0.41339165061574046</v>
      </c>
      <c r="G7" s="1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1:85" x14ac:dyDescent="0.55000000000000004">
      <c r="A8" s="1" t="s">
        <v>13</v>
      </c>
      <c r="B8" s="1">
        <v>0.25388555909558774</v>
      </c>
      <c r="C8" s="1">
        <v>1.2193052898011527E-2</v>
      </c>
      <c r="D8" s="1">
        <v>0.38120873871983646</v>
      </c>
      <c r="E8" s="1">
        <v>0.72806786423779257</v>
      </c>
      <c r="F8" s="1">
        <v>0.48604877250024681</v>
      </c>
      <c r="G8" s="1">
        <v>0.53199390400064783</v>
      </c>
      <c r="H8" s="1">
        <v>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 x14ac:dyDescent="0.55000000000000004">
      <c r="A9" s="1" t="s">
        <v>14</v>
      </c>
      <c r="B9" s="1">
        <v>0.57891484071497701</v>
      </c>
      <c r="C9" s="1">
        <v>0.1914880795882507</v>
      </c>
      <c r="D9" s="1">
        <v>0.55727760033407314</v>
      </c>
      <c r="E9" s="1">
        <v>0.53585424998123521</v>
      </c>
      <c r="F9" s="1">
        <v>0.68162346773455196</v>
      </c>
      <c r="G9" s="1">
        <v>0.45998575126399943</v>
      </c>
      <c r="H9" s="1">
        <v>0.45912941088527232</v>
      </c>
      <c r="I9" s="1">
        <v>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1:85" x14ac:dyDescent="0.55000000000000004">
      <c r="A10" s="1" t="s">
        <v>15</v>
      </c>
      <c r="B10" s="1">
        <v>0.42152621414093949</v>
      </c>
      <c r="C10" s="1">
        <v>0.12332656951750004</v>
      </c>
      <c r="D10" s="1">
        <v>0.15851328737187995</v>
      </c>
      <c r="E10" s="1">
        <v>0.31268628734088</v>
      </c>
      <c r="F10" s="1">
        <v>0.34416417257800036</v>
      </c>
      <c r="G10" s="1">
        <v>0.24035407010438517</v>
      </c>
      <c r="H10" s="1">
        <v>0.42210869788309358</v>
      </c>
      <c r="I10" s="1">
        <v>4.1720778117057079E-2</v>
      </c>
      <c r="J10" s="1">
        <v>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5" x14ac:dyDescent="0.55000000000000004">
      <c r="A11" s="1" t="s">
        <v>16</v>
      </c>
      <c r="B11" s="1">
        <v>0.48672523372748028</v>
      </c>
      <c r="C11" s="1">
        <v>0.36769089133701627</v>
      </c>
      <c r="D11" s="1">
        <v>0.53444049020891959</v>
      </c>
      <c r="E11" s="1">
        <v>0.4980107268247333</v>
      </c>
      <c r="F11" s="1">
        <v>0.62289279003577447</v>
      </c>
      <c r="G11" s="1">
        <v>0.29814233751593999</v>
      </c>
      <c r="H11" s="1">
        <v>0.51208533792997624</v>
      </c>
      <c r="I11" s="1">
        <v>0.29100501386947464</v>
      </c>
      <c r="J11" s="1">
        <v>0.49760391518981117</v>
      </c>
      <c r="K11" s="1">
        <v>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 x14ac:dyDescent="0.55000000000000004">
      <c r="A12" s="1" t="s">
        <v>17</v>
      </c>
      <c r="B12" s="1">
        <v>0.51369292093751373</v>
      </c>
      <c r="C12" s="1">
        <v>0.34574889064942521</v>
      </c>
      <c r="D12" s="1">
        <v>0.62386583380139049</v>
      </c>
      <c r="E12" s="1">
        <v>0.77607708514909157</v>
      </c>
      <c r="F12" s="1">
        <v>0.71821937164743133</v>
      </c>
      <c r="G12" s="1">
        <v>0.40837770490804826</v>
      </c>
      <c r="H12" s="1">
        <v>0.61187386424735168</v>
      </c>
      <c r="I12" s="1">
        <v>0.55058852878525033</v>
      </c>
      <c r="J12" s="1">
        <v>0.52230354027590697</v>
      </c>
      <c r="K12" s="1">
        <v>0.65303757837863163</v>
      </c>
      <c r="L12" s="1">
        <v>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1:85" x14ac:dyDescent="0.55000000000000004">
      <c r="A13" s="1" t="s">
        <v>18</v>
      </c>
      <c r="B13" s="1">
        <v>0.62798146060386717</v>
      </c>
      <c r="C13" s="1">
        <v>0.3341781560653666</v>
      </c>
      <c r="D13" s="1">
        <v>0.39704862172810107</v>
      </c>
      <c r="E13" s="1">
        <v>0.25677395854319851</v>
      </c>
      <c r="F13" s="1">
        <v>0.61817888170602575</v>
      </c>
      <c r="G13" s="1">
        <v>0.19875142553679612</v>
      </c>
      <c r="H13" s="1">
        <v>0.21667684248965535</v>
      </c>
      <c r="I13" s="1">
        <v>0.51509203654040592</v>
      </c>
      <c r="J13" s="1">
        <v>0.34635645237885104</v>
      </c>
      <c r="K13" s="1">
        <v>0.18919108500803372</v>
      </c>
      <c r="L13" s="1">
        <v>0.41389617896355907</v>
      </c>
      <c r="M13" s="1">
        <v>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1:85" x14ac:dyDescent="0.55000000000000004">
      <c r="A14" s="1" t="s">
        <v>19</v>
      </c>
      <c r="B14" s="1">
        <v>0.59109182068536259</v>
      </c>
      <c r="C14" s="1">
        <v>0.65349977164848305</v>
      </c>
      <c r="D14" s="1">
        <v>0.59753144017455107</v>
      </c>
      <c r="E14" s="1">
        <v>0.37925703616598189</v>
      </c>
      <c r="F14" s="1">
        <v>0.65284570213289439</v>
      </c>
      <c r="G14" s="1">
        <v>0.33612892424922447</v>
      </c>
      <c r="H14" s="1">
        <v>0.27162469788656501</v>
      </c>
      <c r="I14" s="1">
        <v>0.29716656652804535</v>
      </c>
      <c r="J14" s="1">
        <v>0.33345153880585099</v>
      </c>
      <c r="K14" s="1">
        <v>0.58721179009378854</v>
      </c>
      <c r="L14" s="1">
        <v>0.52230913169948656</v>
      </c>
      <c r="M14" s="1">
        <v>0.34655465811784619</v>
      </c>
      <c r="N14" s="1">
        <v>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1:85" x14ac:dyDescent="0.55000000000000004">
      <c r="A15" s="1" t="s">
        <v>20</v>
      </c>
      <c r="B15" s="1">
        <v>0.55198476312579303</v>
      </c>
      <c r="C15" s="1">
        <v>0.54222181867879904</v>
      </c>
      <c r="D15" s="1">
        <v>0.65378428913952258</v>
      </c>
      <c r="E15" s="1">
        <v>0.5189607792015275</v>
      </c>
      <c r="F15" s="1">
        <v>0.69075650686833101</v>
      </c>
      <c r="G15" s="1">
        <v>0.29872950614191701</v>
      </c>
      <c r="H15" s="1">
        <v>0.31478233299691244</v>
      </c>
      <c r="I15" s="1">
        <v>0.34335976224016868</v>
      </c>
      <c r="J15" s="1">
        <v>0.51029303401867709</v>
      </c>
      <c r="K15" s="1">
        <v>0.49601257605217336</v>
      </c>
      <c r="L15" s="1">
        <v>0.7174787777486511</v>
      </c>
      <c r="M15" s="1">
        <v>0.46940730093725308</v>
      </c>
      <c r="N15" s="1">
        <v>0.67716165034267328</v>
      </c>
      <c r="O15" s="1">
        <v>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spans="1:85" x14ac:dyDescent="0.55000000000000004">
      <c r="A16" s="1" t="s">
        <v>21</v>
      </c>
      <c r="B16" s="1">
        <v>0.63069025908075693</v>
      </c>
      <c r="C16" s="1">
        <v>0.37218056833662938</v>
      </c>
      <c r="D16" s="1">
        <v>0.58274162139484098</v>
      </c>
      <c r="E16" s="1">
        <v>0.53135278622760285</v>
      </c>
      <c r="F16" s="1">
        <v>0.73770983562445136</v>
      </c>
      <c r="G16" s="1">
        <v>0.30242410648939128</v>
      </c>
      <c r="H16" s="1">
        <v>0.46670013543122935</v>
      </c>
      <c r="I16" s="1">
        <v>0.45554792151153434</v>
      </c>
      <c r="J16" s="1">
        <v>0.54137470808844945</v>
      </c>
      <c r="K16" s="1">
        <v>0.74708705057562474</v>
      </c>
      <c r="L16" s="1">
        <v>0.77573730196261925</v>
      </c>
      <c r="M16" s="1">
        <v>0.49005062344508621</v>
      </c>
      <c r="N16" s="1">
        <v>0.51726808196714424</v>
      </c>
      <c r="O16" s="1">
        <v>0.61866712273084135</v>
      </c>
      <c r="P16" s="1">
        <v>1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1:85" x14ac:dyDescent="0.55000000000000004">
      <c r="A17" s="1" t="s">
        <v>22</v>
      </c>
      <c r="B17" s="1">
        <v>0.44182205008178449</v>
      </c>
      <c r="C17" s="1">
        <v>0.29244457340588753</v>
      </c>
      <c r="D17" s="1">
        <v>0.37531177907091207</v>
      </c>
      <c r="E17" s="1">
        <v>0.44234814203510497</v>
      </c>
      <c r="F17" s="1">
        <v>0.52196740040063494</v>
      </c>
      <c r="G17" s="1">
        <v>0.34626577849542689</v>
      </c>
      <c r="H17" s="1">
        <v>0.38973259663058152</v>
      </c>
      <c r="I17" s="1">
        <v>0.2451593589419373</v>
      </c>
      <c r="J17" s="1">
        <v>0.45153994255357943</v>
      </c>
      <c r="K17" s="1">
        <v>0.40665655810263152</v>
      </c>
      <c r="L17" s="1">
        <v>0.52198407489014109</v>
      </c>
      <c r="M17" s="1">
        <v>0.31301923196751774</v>
      </c>
      <c r="N17" s="1">
        <v>0.622024532791146</v>
      </c>
      <c r="O17" s="1">
        <v>0.58649576619076493</v>
      </c>
      <c r="P17" s="1">
        <v>0.50097213915954553</v>
      </c>
      <c r="Q17" s="1">
        <v>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1:85" x14ac:dyDescent="0.55000000000000004">
      <c r="A18" s="1" t="s">
        <v>23</v>
      </c>
      <c r="B18" s="1">
        <v>0.32910101651957935</v>
      </c>
      <c r="C18" s="1">
        <v>0.11313942281352131</v>
      </c>
      <c r="D18" s="1">
        <v>0.33955106855288858</v>
      </c>
      <c r="E18" s="1">
        <v>0.73547126370047877</v>
      </c>
      <c r="F18" s="1">
        <v>0.46483870592192572</v>
      </c>
      <c r="G18" s="1">
        <v>0.32962545587106601</v>
      </c>
      <c r="H18" s="1">
        <v>0.5515030309506227</v>
      </c>
      <c r="I18" s="1">
        <v>0.46140977047924125</v>
      </c>
      <c r="J18" s="1">
        <v>0.19736418595239541</v>
      </c>
      <c r="K18" s="1">
        <v>0.40433459241943875</v>
      </c>
      <c r="L18" s="1">
        <v>0.62179866585795274</v>
      </c>
      <c r="M18" s="1">
        <v>0.23392617621920972</v>
      </c>
      <c r="N18" s="1">
        <v>0.31338940379476748</v>
      </c>
      <c r="O18" s="1">
        <v>0.35661959839522872</v>
      </c>
      <c r="P18" s="1">
        <v>0.42248230153667338</v>
      </c>
      <c r="Q18" s="1">
        <v>0.59824423765299095</v>
      </c>
      <c r="R18" s="1">
        <v>1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1:85" x14ac:dyDescent="0.55000000000000004">
      <c r="A19" s="1" t="s">
        <v>24</v>
      </c>
      <c r="B19" s="1">
        <v>0.3424966796441376</v>
      </c>
      <c r="C19" s="1">
        <v>9.7329377388348695E-2</v>
      </c>
      <c r="D19" s="1">
        <v>0.16366245078356248</v>
      </c>
      <c r="E19" s="1">
        <v>0.18263281308853754</v>
      </c>
      <c r="F19" s="1">
        <v>0.43638248892219522</v>
      </c>
      <c r="G19" s="1">
        <v>2.3653559160489952E-2</v>
      </c>
      <c r="H19" s="1">
        <v>0.1825304498547535</v>
      </c>
      <c r="I19" s="1">
        <v>0.28351463895827816</v>
      </c>
      <c r="J19" s="1">
        <v>0.36301228068244018</v>
      </c>
      <c r="K19" s="1">
        <v>0.24074041916806835</v>
      </c>
      <c r="L19" s="1">
        <v>0.38872394344259492</v>
      </c>
      <c r="M19" s="1">
        <v>0.54384748244762282</v>
      </c>
      <c r="N19" s="1">
        <v>0.25654867470786608</v>
      </c>
      <c r="O19" s="1">
        <v>0.2546106010246989</v>
      </c>
      <c r="P19" s="1">
        <v>0.48447597244860052</v>
      </c>
      <c r="Q19" s="1">
        <v>0.19528474254469844</v>
      </c>
      <c r="R19" s="1">
        <v>0.12028928709654108</v>
      </c>
      <c r="S19" s="1">
        <v>1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1:85" x14ac:dyDescent="0.55000000000000004">
      <c r="A20" s="1" t="s">
        <v>25</v>
      </c>
      <c r="B20" s="1">
        <v>-8.7607564951559608E-2</v>
      </c>
      <c r="C20" s="1">
        <v>-0.11343066009427988</v>
      </c>
      <c r="D20" s="1">
        <v>7.6991073982420388E-2</v>
      </c>
      <c r="E20" s="1">
        <v>0.32612138673145613</v>
      </c>
      <c r="F20" s="1">
        <v>-5.1341512343250961E-2</v>
      </c>
      <c r="G20" s="1">
        <v>0.11536594825019608</v>
      </c>
      <c r="H20" s="1">
        <v>0.12805439569291102</v>
      </c>
      <c r="I20" s="1">
        <v>0.17697048775002677</v>
      </c>
      <c r="J20" s="1">
        <v>-0.1096754907501022</v>
      </c>
      <c r="K20" s="1">
        <v>-3.8893370856080633E-2</v>
      </c>
      <c r="L20" s="1">
        <v>0.15918725579722981</v>
      </c>
      <c r="M20" s="1">
        <v>-0.13301055670606696</v>
      </c>
      <c r="N20" s="1">
        <v>5.3292156441730694E-2</v>
      </c>
      <c r="O20" s="1">
        <v>2.4767992820368769E-2</v>
      </c>
      <c r="P20" s="1">
        <v>2.1622245124738555E-2</v>
      </c>
      <c r="Q20" s="1">
        <v>0.16360479558725732</v>
      </c>
      <c r="R20" s="1">
        <v>0.32959891727509538</v>
      </c>
      <c r="S20" s="1">
        <v>5.5891107670861161E-2</v>
      </c>
      <c r="T20" s="1">
        <v>1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1:85" x14ac:dyDescent="0.55000000000000004">
      <c r="A21" s="1" t="s">
        <v>26</v>
      </c>
      <c r="B21" s="1">
        <v>8.7857927485347584E-2</v>
      </c>
      <c r="C21" s="1">
        <v>0.14952255691230615</v>
      </c>
      <c r="D21" s="1">
        <v>-8.3803917434341693E-3</v>
      </c>
      <c r="E21" s="1">
        <v>-2.3863798274667544E-2</v>
      </c>
      <c r="F21" s="1">
        <v>6.7291037270737999E-2</v>
      </c>
      <c r="G21" s="1">
        <v>0.2491408632170895</v>
      </c>
      <c r="H21" s="1">
        <v>4.9941447253109159E-2</v>
      </c>
      <c r="I21" s="1">
        <v>-3.5455385554715717E-2</v>
      </c>
      <c r="J21" s="1">
        <v>0.10901101770121242</v>
      </c>
      <c r="K21" s="1">
        <v>0.20846135384298173</v>
      </c>
      <c r="L21" s="1">
        <v>9.4699699744531241E-2</v>
      </c>
      <c r="M21" s="1">
        <v>9.2706373113536425E-2</v>
      </c>
      <c r="N21" s="1">
        <v>0.23798039394059534</v>
      </c>
      <c r="O21" s="1">
        <v>9.2681494196371395E-2</v>
      </c>
      <c r="P21" s="1">
        <v>0.21951121159308237</v>
      </c>
      <c r="Q21" s="1">
        <v>0.16907257708847725</v>
      </c>
      <c r="R21" s="1">
        <v>7.3780191939738976E-2</v>
      </c>
      <c r="S21" s="1">
        <v>2.0856637715796059E-2</v>
      </c>
      <c r="T21" s="1">
        <v>-3.4209960519285695E-2</v>
      </c>
      <c r="U21" s="1">
        <v>1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1:85" x14ac:dyDescent="0.55000000000000004">
      <c r="A22" s="1" t="s">
        <v>27</v>
      </c>
      <c r="B22" s="1">
        <v>0.3534560070198165</v>
      </c>
      <c r="C22" s="1">
        <v>0.33805434231370235</v>
      </c>
      <c r="D22" s="1">
        <v>0.50746147017398213</v>
      </c>
      <c r="E22" s="1">
        <v>0.29723313184712957</v>
      </c>
      <c r="F22" s="1">
        <v>0.37631222836728884</v>
      </c>
      <c r="G22" s="1">
        <v>0.2481919446721785</v>
      </c>
      <c r="H22" s="1">
        <v>0.32189139172195791</v>
      </c>
      <c r="I22" s="1">
        <v>0.33324375062359407</v>
      </c>
      <c r="J22" s="1">
        <v>0.24861987970668875</v>
      </c>
      <c r="K22" s="1">
        <v>0.44496705307547735</v>
      </c>
      <c r="L22" s="1">
        <v>0.48778480248903833</v>
      </c>
      <c r="M22" s="1">
        <v>0.10098220834395495</v>
      </c>
      <c r="N22" s="1">
        <v>0.42880273273913655</v>
      </c>
      <c r="O22" s="1">
        <v>0.541736810304981</v>
      </c>
      <c r="P22" s="1">
        <v>0.39210355389129564</v>
      </c>
      <c r="Q22" s="1">
        <v>0.35117617496372971</v>
      </c>
      <c r="R22" s="1">
        <v>0.30486673091248268</v>
      </c>
      <c r="S22" s="1">
        <v>6.3690053594304893E-2</v>
      </c>
      <c r="T22" s="1">
        <v>0.25028529981103798</v>
      </c>
      <c r="U22" s="1">
        <v>0.24883282179132818</v>
      </c>
      <c r="V22" s="1">
        <v>1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1:85" x14ac:dyDescent="0.55000000000000004">
      <c r="A23" s="1" t="s">
        <v>28</v>
      </c>
      <c r="B23" s="1">
        <v>0.35447130060954213</v>
      </c>
      <c r="C23" s="1">
        <v>0.24575453927685387</v>
      </c>
      <c r="D23" s="1">
        <v>0.15362419127880786</v>
      </c>
      <c r="E23" s="1">
        <v>7.1727895967778857E-2</v>
      </c>
      <c r="F23" s="1">
        <v>0.28259963090942447</v>
      </c>
      <c r="G23" s="1">
        <v>0.1694540465133183</v>
      </c>
      <c r="H23" s="1">
        <v>0.11356947190618481</v>
      </c>
      <c r="I23" s="1">
        <v>0.27891995169956374</v>
      </c>
      <c r="J23" s="1">
        <v>4.4987058676067539E-2</v>
      </c>
      <c r="K23" s="1">
        <v>0.22920626554442594</v>
      </c>
      <c r="L23" s="1">
        <v>0.20755311630784301</v>
      </c>
      <c r="M23" s="1">
        <v>0.22393375108624472</v>
      </c>
      <c r="N23" s="1">
        <v>0.43084348820130852</v>
      </c>
      <c r="O23" s="1">
        <v>8.7402379856466886E-2</v>
      </c>
      <c r="P23" s="1">
        <v>0.21959133313615414</v>
      </c>
      <c r="Q23" s="1">
        <v>0.26919702074290003</v>
      </c>
      <c r="R23" s="1">
        <v>0.30791973772001774</v>
      </c>
      <c r="S23" s="1">
        <v>0.23739916874431749</v>
      </c>
      <c r="T23" s="1">
        <v>0.21092870678167039</v>
      </c>
      <c r="U23" s="1">
        <v>0.44074106876430191</v>
      </c>
      <c r="V23" s="1">
        <v>0.1051981853882</v>
      </c>
      <c r="W23" s="1">
        <v>1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1:85" x14ac:dyDescent="0.55000000000000004">
      <c r="A24" s="1" t="s">
        <v>29</v>
      </c>
      <c r="B24" s="1">
        <v>0.67785989975325989</v>
      </c>
      <c r="C24" s="1">
        <v>0.68386736544590832</v>
      </c>
      <c r="D24" s="1">
        <v>0.54251709676133741</v>
      </c>
      <c r="E24" s="1">
        <v>9.4571748486339716E-2</v>
      </c>
      <c r="F24" s="1">
        <v>0.58053570368474472</v>
      </c>
      <c r="G24" s="1">
        <v>-3.7718508499236213E-2</v>
      </c>
      <c r="H24" s="1">
        <v>6.2841900459499793E-3</v>
      </c>
      <c r="I24" s="1">
        <v>0.16510807579030631</v>
      </c>
      <c r="J24" s="1">
        <v>0.2905765506961478</v>
      </c>
      <c r="K24" s="1">
        <v>0.34100347111271989</v>
      </c>
      <c r="L24" s="1">
        <v>0.31262952117079196</v>
      </c>
      <c r="M24" s="1">
        <v>0.47836643123701467</v>
      </c>
      <c r="N24" s="1">
        <v>0.61048948944866699</v>
      </c>
      <c r="O24" s="1">
        <v>0.62321380447392649</v>
      </c>
      <c r="P24" s="1">
        <v>0.41199629307242841</v>
      </c>
      <c r="Q24" s="1">
        <v>0.34316278563718655</v>
      </c>
      <c r="R24" s="1">
        <v>0.18069365532633072</v>
      </c>
      <c r="S24" s="1">
        <v>0.17391993065363412</v>
      </c>
      <c r="T24" s="1">
        <v>-0.27743382670679384</v>
      </c>
      <c r="U24" s="1">
        <v>9.9292752522178299E-2</v>
      </c>
      <c r="V24" s="1">
        <v>0.2842260737480064</v>
      </c>
      <c r="W24" s="1">
        <v>0.28622721014418101</v>
      </c>
      <c r="X24" s="1">
        <v>1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1:85" x14ac:dyDescent="0.55000000000000004">
      <c r="A25" s="1" t="s">
        <v>30</v>
      </c>
      <c r="B25" s="1">
        <v>0.61902947717978174</v>
      </c>
      <c r="C25" s="1">
        <v>0.22548771588766356</v>
      </c>
      <c r="D25" s="1">
        <v>0.48379363400395869</v>
      </c>
      <c r="E25" s="1">
        <v>0.27730018776631055</v>
      </c>
      <c r="F25" s="1">
        <v>0.60247315414379754</v>
      </c>
      <c r="G25" s="1">
        <v>0.1805179042884702</v>
      </c>
      <c r="H25" s="1">
        <v>0.15448558755169339</v>
      </c>
      <c r="I25" s="1">
        <v>0.33226311704228356</v>
      </c>
      <c r="J25" s="1">
        <v>0.51242316651570363</v>
      </c>
      <c r="K25" s="1">
        <v>0.22215285570238905</v>
      </c>
      <c r="L25" s="1">
        <v>0.41385000489003182</v>
      </c>
      <c r="M25" s="1">
        <v>0.73951200426062691</v>
      </c>
      <c r="N25" s="1">
        <v>0.23492354044836036</v>
      </c>
      <c r="O25" s="1">
        <v>0.62179047037371704</v>
      </c>
      <c r="P25" s="1">
        <v>0.49646083475896974</v>
      </c>
      <c r="Q25" s="1">
        <v>0.36227534342889472</v>
      </c>
      <c r="R25" s="1">
        <v>0.15794885887213825</v>
      </c>
      <c r="S25" s="1">
        <v>0.25656897141080559</v>
      </c>
      <c r="T25" s="1">
        <v>-0.26461949093995263</v>
      </c>
      <c r="U25" s="1">
        <v>5.1286800412395361E-2</v>
      </c>
      <c r="V25" s="1">
        <v>0.12867129616669667</v>
      </c>
      <c r="W25" s="1">
        <v>2.1357547823815298E-2</v>
      </c>
      <c r="X25" s="1">
        <v>0.56024868292196806</v>
      </c>
      <c r="Y25" s="1">
        <v>1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spans="1:85" x14ac:dyDescent="0.55000000000000004">
      <c r="A26" s="1" t="s">
        <v>31</v>
      </c>
      <c r="B26" s="1">
        <v>0.63808540341744513</v>
      </c>
      <c r="C26" s="1">
        <v>0.50695664592781764</v>
      </c>
      <c r="D26" s="1">
        <v>0.49974494024124777</v>
      </c>
      <c r="E26" s="1">
        <v>0.34284367438543545</v>
      </c>
      <c r="F26" s="1">
        <v>0.70311642410872988</v>
      </c>
      <c r="G26" s="1">
        <v>0.25402858789177402</v>
      </c>
      <c r="H26" s="1">
        <v>0.18799588191853209</v>
      </c>
      <c r="I26" s="1">
        <v>0.29976773885132429</v>
      </c>
      <c r="J26" s="1">
        <v>0.40851271235499154</v>
      </c>
      <c r="K26" s="1">
        <v>0.57847196072144724</v>
      </c>
      <c r="L26" s="1">
        <v>0.5985309227297948</v>
      </c>
      <c r="M26" s="1">
        <v>0.47520663605123126</v>
      </c>
      <c r="N26" s="1">
        <v>0.72434681491637587</v>
      </c>
      <c r="O26" s="1">
        <v>0.71675995686602001</v>
      </c>
      <c r="P26" s="1">
        <v>0.55869215506787195</v>
      </c>
      <c r="Q26" s="1">
        <v>0.48131760296699555</v>
      </c>
      <c r="R26" s="1">
        <v>0.21169469486524473</v>
      </c>
      <c r="S26" s="1">
        <v>0.36878477347923555</v>
      </c>
      <c r="T26" s="1">
        <v>-2.0558753221021443E-2</v>
      </c>
      <c r="U26" s="1">
        <v>0.2126722145141271</v>
      </c>
      <c r="V26" s="1">
        <v>0.36536897114582439</v>
      </c>
      <c r="W26" s="1">
        <v>0.31994072290573683</v>
      </c>
      <c r="X26" s="1">
        <v>0.50550784791731573</v>
      </c>
      <c r="Y26" s="1">
        <v>0.47016175899821838</v>
      </c>
      <c r="Z26" s="1">
        <v>1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spans="1:85" x14ac:dyDescent="0.55000000000000004">
      <c r="A27" s="1" t="s">
        <v>32</v>
      </c>
      <c r="B27" s="1">
        <v>0.60979495242630322</v>
      </c>
      <c r="C27" s="1">
        <v>0.49438957812475159</v>
      </c>
      <c r="D27" s="1">
        <v>0.51257828029602892</v>
      </c>
      <c r="E27" s="1">
        <v>0.21550087716686012</v>
      </c>
      <c r="F27" s="1">
        <v>0.68016263782371</v>
      </c>
      <c r="G27" s="1">
        <v>0.22316075736205462</v>
      </c>
      <c r="H27" s="1">
        <v>0.15710419765910794</v>
      </c>
      <c r="I27" s="1">
        <v>0.24819818214329367</v>
      </c>
      <c r="J27" s="1">
        <v>0.29032566317250547</v>
      </c>
      <c r="K27" s="1">
        <v>0.3327050267479687</v>
      </c>
      <c r="L27" s="1">
        <v>0.4158297828885576</v>
      </c>
      <c r="M27" s="1">
        <v>0.6172899230340414</v>
      </c>
      <c r="N27" s="1">
        <v>0.552709922479243</v>
      </c>
      <c r="O27" s="1">
        <v>0.57015458617431336</v>
      </c>
      <c r="P27" s="1">
        <v>0.43053225644547649</v>
      </c>
      <c r="Q27" s="1">
        <v>0.38720638996098533</v>
      </c>
      <c r="R27" s="1">
        <v>0.11681539694113943</v>
      </c>
      <c r="S27" s="1">
        <v>0.39042649925209955</v>
      </c>
      <c r="T27" s="1">
        <v>-0.16614915164184979</v>
      </c>
      <c r="U27" s="1">
        <v>2.8171967851796483E-2</v>
      </c>
      <c r="V27" s="1">
        <v>0.17274530460582377</v>
      </c>
      <c r="W27" s="1">
        <v>0.29623979293375413</v>
      </c>
      <c r="X27" s="1">
        <v>0.67096963940338183</v>
      </c>
      <c r="Y27" s="1">
        <v>0.63394645438848329</v>
      </c>
      <c r="Z27" s="1">
        <v>0.69447807738427969</v>
      </c>
      <c r="AA27" s="1">
        <v>1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1:85" x14ac:dyDescent="0.55000000000000004">
      <c r="A28" s="1" t="s">
        <v>33</v>
      </c>
      <c r="B28" s="1">
        <v>0.14791297051794464</v>
      </c>
      <c r="C28" s="1">
        <v>0.25658608968954255</v>
      </c>
      <c r="D28" s="1">
        <v>0.21195196605902455</v>
      </c>
      <c r="E28" s="1">
        <v>4.5858478991897631E-3</v>
      </c>
      <c r="F28" s="1">
        <v>0.12749050809282597</v>
      </c>
      <c r="G28" s="1">
        <v>0.20961006328268986</v>
      </c>
      <c r="H28" s="1">
        <v>-4.4164824034015199E-3</v>
      </c>
      <c r="I28" s="1">
        <v>0.12905665166437061</v>
      </c>
      <c r="J28" s="1">
        <v>0.1955623415762599</v>
      </c>
      <c r="K28" s="1">
        <v>1.1183974158030269E-2</v>
      </c>
      <c r="L28" s="1">
        <v>0.14191404809644095</v>
      </c>
      <c r="M28" s="1">
        <v>0.33871434305332665</v>
      </c>
      <c r="N28" s="1">
        <v>0.14854721001498372</v>
      </c>
      <c r="O28" s="1">
        <v>0.33456738713189177</v>
      </c>
      <c r="P28" s="1">
        <v>4.8621710159553036E-2</v>
      </c>
      <c r="Q28" s="1">
        <v>0.16122125798407275</v>
      </c>
      <c r="R28" s="1">
        <v>7.0522118677503673E-2</v>
      </c>
      <c r="S28" s="1">
        <v>-5.2685790565627267E-4</v>
      </c>
      <c r="T28" s="1">
        <v>-0.12351083696518628</v>
      </c>
      <c r="U28" s="1">
        <v>4.249025222283425E-2</v>
      </c>
      <c r="V28" s="1">
        <v>6.5372452643410711E-2</v>
      </c>
      <c r="W28" s="1">
        <v>0.12838358734244756</v>
      </c>
      <c r="X28" s="1">
        <v>0.48186983885429396</v>
      </c>
      <c r="Y28" s="1">
        <v>0.44375138860252716</v>
      </c>
      <c r="Z28" s="1">
        <v>4.370804478020069E-2</v>
      </c>
      <c r="AA28" s="1">
        <v>0.37877310025021388</v>
      </c>
      <c r="AB28" s="1">
        <v>1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1:85" x14ac:dyDescent="0.55000000000000004">
      <c r="A29" s="1" t="s">
        <v>34</v>
      </c>
      <c r="B29" s="1">
        <v>0.48669496723696987</v>
      </c>
      <c r="C29" s="1">
        <v>1.9473521640189735E-2</v>
      </c>
      <c r="D29" s="1">
        <v>0.2767110851195988</v>
      </c>
      <c r="E29" s="1">
        <v>0.65202935029998699</v>
      </c>
      <c r="F29" s="1">
        <v>0.58591040108476988</v>
      </c>
      <c r="G29" s="1">
        <v>0.34163855638800028</v>
      </c>
      <c r="H29" s="1">
        <v>0.41944970832327488</v>
      </c>
      <c r="I29" s="1">
        <v>0.61491749795656858</v>
      </c>
      <c r="J29" s="1">
        <v>0.30598417693115076</v>
      </c>
      <c r="K29" s="1">
        <v>0.30830607067047483</v>
      </c>
      <c r="L29" s="1">
        <v>0.60661585891518299</v>
      </c>
      <c r="M29" s="1">
        <v>0.48585715682450104</v>
      </c>
      <c r="N29" s="1">
        <v>0.27303903859997286</v>
      </c>
      <c r="O29" s="1">
        <v>0.39394582531159494</v>
      </c>
      <c r="P29" s="1">
        <v>0.56170482243348396</v>
      </c>
      <c r="Q29" s="1">
        <v>0.50876279925143142</v>
      </c>
      <c r="R29" s="1">
        <v>0.72012338257490549</v>
      </c>
      <c r="S29" s="1">
        <v>0.44307493040736756</v>
      </c>
      <c r="T29" s="1">
        <v>0.30733929563534756</v>
      </c>
      <c r="U29" s="1">
        <v>1.6865375546308879E-2</v>
      </c>
      <c r="V29" s="1">
        <v>0.19342505895397785</v>
      </c>
      <c r="W29" s="1">
        <v>0.23184479721297882</v>
      </c>
      <c r="X29" s="1">
        <v>0.11494463912910584</v>
      </c>
      <c r="Y29" s="1">
        <v>0.39286397638122167</v>
      </c>
      <c r="Z29" s="1">
        <v>0.38362836565980762</v>
      </c>
      <c r="AA29" s="1">
        <v>0.26510439918116352</v>
      </c>
      <c r="AB29" s="1">
        <v>-7.2877255203497901E-2</v>
      </c>
      <c r="AC29" s="1">
        <v>1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1:85" x14ac:dyDescent="0.55000000000000004">
      <c r="A30" s="1" t="s">
        <v>35</v>
      </c>
      <c r="B30" s="1">
        <v>0.75070699322850487</v>
      </c>
      <c r="C30" s="1">
        <v>0.33460786259205444</v>
      </c>
      <c r="D30" s="1">
        <v>0.57073520321966187</v>
      </c>
      <c r="E30" s="1">
        <v>0.49068388902930515</v>
      </c>
      <c r="F30" s="1">
        <v>0.76874787535835132</v>
      </c>
      <c r="G30" s="1">
        <v>0.20435418421234755</v>
      </c>
      <c r="H30" s="1">
        <v>0.39740572956975512</v>
      </c>
      <c r="I30" s="1">
        <v>0.65786903329686108</v>
      </c>
      <c r="J30" s="1">
        <v>0.39140703461290083</v>
      </c>
      <c r="K30" s="1">
        <v>0.57668364524408244</v>
      </c>
      <c r="L30" s="1">
        <v>0.69373467943759892</v>
      </c>
      <c r="M30" s="1">
        <v>0.58982026555249201</v>
      </c>
      <c r="N30" s="1">
        <v>0.47638891744055484</v>
      </c>
      <c r="O30" s="1">
        <v>0.55820321586354993</v>
      </c>
      <c r="P30" s="1">
        <v>0.6658470268964205</v>
      </c>
      <c r="Q30" s="1">
        <v>0.51429911738257372</v>
      </c>
      <c r="R30" s="1">
        <v>0.55881688570491572</v>
      </c>
      <c r="S30" s="1">
        <v>0.41247239911223282</v>
      </c>
      <c r="T30" s="1">
        <v>-4.6139443502020087E-2</v>
      </c>
      <c r="U30" s="1">
        <v>8.9904543561959926E-2</v>
      </c>
      <c r="V30" s="1">
        <v>0.38300826758316281</v>
      </c>
      <c r="W30" s="1">
        <v>0.45161577288044391</v>
      </c>
      <c r="X30" s="1">
        <v>0.50222228665879942</v>
      </c>
      <c r="Y30" s="1">
        <v>0.59046597336609596</v>
      </c>
      <c r="Z30" s="1">
        <v>0.60617264525232939</v>
      </c>
      <c r="AA30" s="1">
        <v>0.5798390646014735</v>
      </c>
      <c r="AB30" s="1">
        <v>0.19344690092404646</v>
      </c>
      <c r="AC30" s="1">
        <v>0.63961510319301129</v>
      </c>
      <c r="AD30" s="1">
        <v>1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1:85" x14ac:dyDescent="0.55000000000000004">
      <c r="A31" s="1" t="s">
        <v>36</v>
      </c>
      <c r="B31" s="1">
        <v>0.41816414618153869</v>
      </c>
      <c r="C31" s="1">
        <v>0.42014043478942026</v>
      </c>
      <c r="D31" s="1">
        <v>0.38563994495472953</v>
      </c>
      <c r="E31" s="1">
        <v>0.17083399744079103</v>
      </c>
      <c r="F31" s="1">
        <v>0.49472685119869814</v>
      </c>
      <c r="G31" s="1">
        <v>0.14365919066539062</v>
      </c>
      <c r="H31" s="1">
        <v>2.8193084291717792E-2</v>
      </c>
      <c r="I31" s="1">
        <v>0.24330113308167195</v>
      </c>
      <c r="J31" s="1">
        <v>0.31813473375949569</v>
      </c>
      <c r="K31" s="1">
        <v>0.19793226042829462</v>
      </c>
      <c r="L31" s="1">
        <v>0.34166469923126014</v>
      </c>
      <c r="M31" s="1">
        <v>0.66152080894640886</v>
      </c>
      <c r="N31" s="1">
        <v>0.38383008871451624</v>
      </c>
      <c r="O31" s="1">
        <v>0.55811960113549008</v>
      </c>
      <c r="P31" s="1">
        <v>0.32806873862932062</v>
      </c>
      <c r="Q31" s="1">
        <v>0.45807908054636909</v>
      </c>
      <c r="R31" s="1">
        <v>0.35654936825452671</v>
      </c>
      <c r="S31" s="1">
        <v>0.32014535406178418</v>
      </c>
      <c r="T31" s="1">
        <v>-4.2131701699259089E-2</v>
      </c>
      <c r="U31" s="1">
        <v>0.12370984096312448</v>
      </c>
      <c r="V31" s="1">
        <v>0.23022228374399517</v>
      </c>
      <c r="W31" s="1">
        <v>0.12203044665897754</v>
      </c>
      <c r="X31" s="1">
        <v>0.55287341768422338</v>
      </c>
      <c r="Y31" s="1">
        <v>0.61655062095605251</v>
      </c>
      <c r="Z31" s="1">
        <v>0.39364539623626815</v>
      </c>
      <c r="AA31" s="1">
        <v>0.50820293327079369</v>
      </c>
      <c r="AB31" s="1">
        <v>0.50300375591096635</v>
      </c>
      <c r="AC31" s="1">
        <v>0.31126680458889155</v>
      </c>
      <c r="AD31" s="1">
        <v>0.46398448904224587</v>
      </c>
      <c r="AE31" s="1">
        <v>1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1:85" x14ac:dyDescent="0.55000000000000004">
      <c r="A32" s="1" t="s">
        <v>37</v>
      </c>
      <c r="B32" s="1">
        <v>0.37188976953404468</v>
      </c>
      <c r="C32" s="1">
        <v>-1.8014806528341566E-2</v>
      </c>
      <c r="D32" s="1">
        <v>0.21032171882052375</v>
      </c>
      <c r="E32" s="1">
        <v>0.45439622560193604</v>
      </c>
      <c r="F32" s="1">
        <v>0.40696438023452253</v>
      </c>
      <c r="G32" s="1">
        <v>0.18906703744471276</v>
      </c>
      <c r="H32" s="1">
        <v>0.26990097783678368</v>
      </c>
      <c r="I32" s="1">
        <v>0.44340501491484469</v>
      </c>
      <c r="J32" s="1">
        <v>0.18392161755988851</v>
      </c>
      <c r="K32" s="1">
        <v>9.1536760101835396E-2</v>
      </c>
      <c r="L32" s="1">
        <v>0.34902045244386537</v>
      </c>
      <c r="M32" s="1">
        <v>0.47013396176842037</v>
      </c>
      <c r="N32" s="1">
        <v>0.19665088031652078</v>
      </c>
      <c r="O32" s="1">
        <v>0.28389131076831053</v>
      </c>
      <c r="P32" s="1">
        <v>0.32364872079193502</v>
      </c>
      <c r="Q32" s="1">
        <v>0.32413986490232399</v>
      </c>
      <c r="R32" s="1">
        <v>0.47255110172602527</v>
      </c>
      <c r="S32" s="1">
        <v>0.38931924704865284</v>
      </c>
      <c r="T32" s="1">
        <v>0.48619138584639698</v>
      </c>
      <c r="U32" s="1">
        <v>-2.9808282384939145E-2</v>
      </c>
      <c r="V32" s="1">
        <v>0.23417057247186746</v>
      </c>
      <c r="W32" s="1">
        <v>0.22729675435421309</v>
      </c>
      <c r="X32" s="1">
        <v>0.17084686519880152</v>
      </c>
      <c r="Y32" s="1">
        <v>0.33374967709545256</v>
      </c>
      <c r="Z32" s="1">
        <v>0.2703548344249555</v>
      </c>
      <c r="AA32" s="1">
        <v>0.27781805935022791</v>
      </c>
      <c r="AB32" s="1">
        <v>3.4871481524766323E-2</v>
      </c>
      <c r="AC32" s="1">
        <v>0.73576149875486874</v>
      </c>
      <c r="AD32" s="1">
        <v>0.4098380719287058</v>
      </c>
      <c r="AE32" s="1">
        <v>0.25859951436198114</v>
      </c>
      <c r="AF32" s="1">
        <v>1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</row>
    <row r="33" spans="1:85" x14ac:dyDescent="0.55000000000000004">
      <c r="A33" s="1" t="s">
        <v>38</v>
      </c>
      <c r="B33" s="1">
        <v>-0.39950212298918031</v>
      </c>
      <c r="C33" s="1">
        <v>-0.34559080027661215</v>
      </c>
      <c r="D33" s="1">
        <v>-0.24834694746141261</v>
      </c>
      <c r="E33" s="1">
        <v>6.8308764899575644E-2</v>
      </c>
      <c r="F33" s="1">
        <v>-0.33230988895343644</v>
      </c>
      <c r="G33" s="1">
        <v>0.16867075455186714</v>
      </c>
      <c r="H33" s="1">
        <v>0.23728815598797826</v>
      </c>
      <c r="I33" s="1">
        <v>-5.462598266310939E-2</v>
      </c>
      <c r="J33" s="1">
        <v>-0.10997770158777831</v>
      </c>
      <c r="K33" s="1">
        <v>-0.24081466346289737</v>
      </c>
      <c r="L33" s="1">
        <v>-0.21897866305246227</v>
      </c>
      <c r="M33" s="1">
        <v>-0.28170402157042401</v>
      </c>
      <c r="N33" s="1">
        <v>-0.30917285056035831</v>
      </c>
      <c r="O33" s="1">
        <v>-0.30831571368774585</v>
      </c>
      <c r="P33" s="1">
        <v>-0.3257829034254125</v>
      </c>
      <c r="Q33" s="1">
        <v>-0.12092667583596046</v>
      </c>
      <c r="R33" s="1">
        <v>-5.9941140070966618E-2</v>
      </c>
      <c r="S33" s="1">
        <v>-0.14688889757294671</v>
      </c>
      <c r="T33" s="1">
        <v>0.39077966759951804</v>
      </c>
      <c r="U33" s="1">
        <v>-0.15616668619197147</v>
      </c>
      <c r="V33" s="1">
        <v>-9.1227340326810444E-2</v>
      </c>
      <c r="W33" s="1">
        <v>-0.19847833068029042</v>
      </c>
      <c r="X33" s="1">
        <v>-0.51114501982371774</v>
      </c>
      <c r="Y33" s="1">
        <v>-0.3804782434842523</v>
      </c>
      <c r="Z33" s="1">
        <v>-0.43867726832857817</v>
      </c>
      <c r="AA33" s="1">
        <v>-0.42703615536943124</v>
      </c>
      <c r="AB33" s="1">
        <v>-0.1671666580986457</v>
      </c>
      <c r="AC33" s="1">
        <v>-9.5966382498514011E-2</v>
      </c>
      <c r="AD33" s="1">
        <v>-0.49101728876107975</v>
      </c>
      <c r="AE33" s="1">
        <v>-0.33750950624340648</v>
      </c>
      <c r="AF33" s="1">
        <v>5.4331560791048464E-2</v>
      </c>
      <c r="AG33" s="1">
        <v>1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 spans="1:85" x14ac:dyDescent="0.55000000000000004">
      <c r="A34" s="1" t="s">
        <v>39</v>
      </c>
      <c r="B34" s="1">
        <v>0.54522189407513466</v>
      </c>
      <c r="C34" s="1">
        <v>0.20131169544330607</v>
      </c>
      <c r="D34" s="1">
        <v>0.37169311822107992</v>
      </c>
      <c r="E34" s="1">
        <v>0.35647085148063867</v>
      </c>
      <c r="F34" s="1">
        <v>0.61982347312629238</v>
      </c>
      <c r="G34" s="1">
        <v>0.19082959342580447</v>
      </c>
      <c r="H34" s="1">
        <v>0.19728657103688355</v>
      </c>
      <c r="I34" s="1">
        <v>0.45414738872506288</v>
      </c>
      <c r="J34" s="1">
        <v>0.13015379055459994</v>
      </c>
      <c r="K34" s="1">
        <v>0.26616312387383262</v>
      </c>
      <c r="L34" s="1">
        <v>0.40143333302108514</v>
      </c>
      <c r="M34" s="1">
        <v>0.50634580250221184</v>
      </c>
      <c r="N34" s="1">
        <v>0.26754779977016357</v>
      </c>
      <c r="O34" s="1">
        <v>0.42605544427193892</v>
      </c>
      <c r="P34" s="1">
        <v>0.54649013578715555</v>
      </c>
      <c r="Q34" s="1">
        <v>0.48260066018857312</v>
      </c>
      <c r="R34" s="1">
        <v>0.49537375689818791</v>
      </c>
      <c r="S34" s="1">
        <v>0.30609121439632581</v>
      </c>
      <c r="T34" s="1">
        <v>3.6650915537422197E-3</v>
      </c>
      <c r="U34" s="1">
        <v>4.916220490030563E-2</v>
      </c>
      <c r="V34" s="1">
        <v>0.14558763069528144</v>
      </c>
      <c r="W34" s="1">
        <v>0.13087315904600197</v>
      </c>
      <c r="X34" s="1">
        <v>0.30700187322408684</v>
      </c>
      <c r="Y34" s="1">
        <v>0.53194172205212376</v>
      </c>
      <c r="Z34" s="1">
        <v>0.40996354988328421</v>
      </c>
      <c r="AA34" s="1">
        <v>0.35586164492477546</v>
      </c>
      <c r="AB34" s="1">
        <v>5.4681021715045179E-3</v>
      </c>
      <c r="AC34" s="1">
        <v>0.71537278964243212</v>
      </c>
      <c r="AD34" s="1">
        <v>0.58946568957822287</v>
      </c>
      <c r="AE34" s="1">
        <v>0.45173834009022568</v>
      </c>
      <c r="AF34" s="1">
        <v>0.50061386761910642</v>
      </c>
      <c r="AG34" s="1">
        <v>-0.37344517222696583</v>
      </c>
      <c r="AH34" s="1">
        <v>1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1:85" x14ac:dyDescent="0.55000000000000004">
      <c r="A35" s="1" t="s">
        <v>40</v>
      </c>
      <c r="B35" s="1">
        <v>0.34193364113996483</v>
      </c>
      <c r="C35" s="1">
        <v>0.38644880202946091</v>
      </c>
      <c r="D35" s="1">
        <v>0.20834707143073425</v>
      </c>
      <c r="E35" s="1">
        <v>-9.3859544846597628E-2</v>
      </c>
      <c r="F35" s="1">
        <v>0.17136039375382159</v>
      </c>
      <c r="G35" s="1">
        <v>4.2657670214367942E-2</v>
      </c>
      <c r="H35" s="1">
        <v>-4.5774530475546457E-2</v>
      </c>
      <c r="I35" s="1">
        <v>4.4489538428430696E-2</v>
      </c>
      <c r="J35" s="1">
        <v>-8.6513275736187625E-2</v>
      </c>
      <c r="K35" s="1">
        <v>0.17222271867015812</v>
      </c>
      <c r="L35" s="1">
        <v>4.9383453869292493E-2</v>
      </c>
      <c r="M35" s="1">
        <v>9.6130521817490398E-3</v>
      </c>
      <c r="N35" s="1">
        <v>0.14303502879321051</v>
      </c>
      <c r="O35" s="1">
        <v>-4.2810490116475708E-4</v>
      </c>
      <c r="P35" s="1">
        <v>0.17764715752932334</v>
      </c>
      <c r="Q35" s="1">
        <v>1.974410429965057E-2</v>
      </c>
      <c r="R35" s="1">
        <v>-3.9298877939264697E-3</v>
      </c>
      <c r="S35" s="1">
        <v>-0.12873208348465123</v>
      </c>
      <c r="T35" s="1">
        <v>5.397556089093563E-2</v>
      </c>
      <c r="U35" s="1">
        <v>8.3375964000665839E-2</v>
      </c>
      <c r="V35" s="1">
        <v>0.21151343201440712</v>
      </c>
      <c r="W35" s="1">
        <v>0.35052393894649791</v>
      </c>
      <c r="X35" s="1">
        <v>0.25423675218462161</v>
      </c>
      <c r="Y35" s="1">
        <v>1.9458949109622768E-3</v>
      </c>
      <c r="Z35" s="1">
        <v>0.2300981672033594</v>
      </c>
      <c r="AA35" s="1">
        <v>0.32437439899465609</v>
      </c>
      <c r="AB35" s="1">
        <v>1.7430444949796182E-2</v>
      </c>
      <c r="AC35" s="1">
        <v>-6.5475218585844375E-2</v>
      </c>
      <c r="AD35" s="1">
        <v>0.24605017842649521</v>
      </c>
      <c r="AE35" s="1">
        <v>-8.4212539280407936E-2</v>
      </c>
      <c r="AF35" s="1">
        <v>-3.9627813482413843E-2</v>
      </c>
      <c r="AG35" s="1">
        <v>-0.37135982317153088</v>
      </c>
      <c r="AH35" s="1">
        <v>2.6342918714947813E-3</v>
      </c>
      <c r="AI35" s="1">
        <v>1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1:85" x14ac:dyDescent="0.55000000000000004">
      <c r="A36" s="1" t="s">
        <v>41</v>
      </c>
      <c r="B36" s="1">
        <v>0.30147761759625985</v>
      </c>
      <c r="C36" s="1">
        <v>0.53730318146069711</v>
      </c>
      <c r="D36" s="1">
        <v>0.26914163124842616</v>
      </c>
      <c r="E36" s="1">
        <v>-0.14534933656890753</v>
      </c>
      <c r="F36" s="1">
        <v>0.18458609082616007</v>
      </c>
      <c r="G36" s="1">
        <v>-0.15546234564720704</v>
      </c>
      <c r="H36" s="1">
        <v>-0.2011636189927668</v>
      </c>
      <c r="I36" s="1">
        <v>-0.21422803250218111</v>
      </c>
      <c r="J36" s="1">
        <v>0.14669329096779338</v>
      </c>
      <c r="K36" s="1">
        <v>0.31900956513913131</v>
      </c>
      <c r="L36" s="1">
        <v>7.3693835220227863E-2</v>
      </c>
      <c r="M36" s="1">
        <v>1.6815616663804815E-2</v>
      </c>
      <c r="N36" s="1">
        <v>0.19700299278543021</v>
      </c>
      <c r="O36" s="1">
        <v>0.24967640748669687</v>
      </c>
      <c r="P36" s="1">
        <v>0.22392693659641438</v>
      </c>
      <c r="Q36" s="1">
        <v>-1.0011350704713885E-2</v>
      </c>
      <c r="R36" s="1">
        <v>-3.7209729612882089E-2</v>
      </c>
      <c r="S36" s="1">
        <v>-9.0860492565651291E-2</v>
      </c>
      <c r="T36" s="1">
        <v>-0.20610037415454247</v>
      </c>
      <c r="U36" s="1">
        <v>0.13660291647548101</v>
      </c>
      <c r="V36" s="1">
        <v>0.20891456545292372</v>
      </c>
      <c r="W36" s="1">
        <v>0.21121818177685167</v>
      </c>
      <c r="X36" s="1">
        <v>0.45136189804641941</v>
      </c>
      <c r="Y36" s="1">
        <v>0.222666974206186</v>
      </c>
      <c r="Z36" s="1">
        <v>0.32942587968026615</v>
      </c>
      <c r="AA36" s="1">
        <v>0.29220639231232404</v>
      </c>
      <c r="AB36" s="1">
        <v>8.4843639327564682E-2</v>
      </c>
      <c r="AC36" s="1">
        <v>-0.13624031059392039</v>
      </c>
      <c r="AD36" s="1">
        <v>0.17866584954842926</v>
      </c>
      <c r="AE36" s="1">
        <v>0.11635789819971575</v>
      </c>
      <c r="AF36" s="1">
        <v>-0.12471785224363652</v>
      </c>
      <c r="AG36" s="1">
        <v>-0.43521329028027606</v>
      </c>
      <c r="AH36" s="1">
        <v>8.9981255924210024E-2</v>
      </c>
      <c r="AI36" s="1">
        <v>0.59037684921139422</v>
      </c>
      <c r="AJ36" s="1">
        <v>1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</row>
    <row r="37" spans="1:85" x14ac:dyDescent="0.55000000000000004">
      <c r="A37" s="1" t="s">
        <v>42</v>
      </c>
      <c r="B37" s="1">
        <v>0.53957248302942229</v>
      </c>
      <c r="C37" s="1">
        <v>0.41104288447561177</v>
      </c>
      <c r="D37" s="1">
        <v>0.54248988889123095</v>
      </c>
      <c r="E37" s="1">
        <v>0.51314391845428375</v>
      </c>
      <c r="F37" s="1">
        <v>0.63745256044027798</v>
      </c>
      <c r="G37" s="1">
        <v>0.26058612545771065</v>
      </c>
      <c r="H37" s="1">
        <v>0.38467861915178575</v>
      </c>
      <c r="I37" s="1">
        <v>0.29314534865549313</v>
      </c>
      <c r="J37" s="1">
        <v>0.26052829263731364</v>
      </c>
      <c r="K37" s="1">
        <v>0.67059959159312033</v>
      </c>
      <c r="L37" s="1">
        <v>0.62276276422990062</v>
      </c>
      <c r="M37" s="1">
        <v>0.12625427180107138</v>
      </c>
      <c r="N37" s="1">
        <v>0.61321230543756755</v>
      </c>
      <c r="O37" s="1">
        <v>0.46655541251944627</v>
      </c>
      <c r="P37" s="1">
        <v>0.57732391009810713</v>
      </c>
      <c r="Q37" s="1">
        <v>0.55434350265972643</v>
      </c>
      <c r="R37" s="1">
        <v>0.59381643695807773</v>
      </c>
      <c r="S37" s="1">
        <v>0.14590981518652263</v>
      </c>
      <c r="T37" s="1">
        <v>6.2904868098520861E-2</v>
      </c>
      <c r="U37" s="1">
        <v>0.22507409542734508</v>
      </c>
      <c r="V37" s="1">
        <v>0.36380410410485814</v>
      </c>
      <c r="W37" s="1">
        <v>0.4676906944659931</v>
      </c>
      <c r="X37" s="1">
        <v>0.50382653476519779</v>
      </c>
      <c r="Y37" s="1">
        <v>0.23937952515155667</v>
      </c>
      <c r="Z37" s="1">
        <v>0.58881825673188637</v>
      </c>
      <c r="AA37" s="1">
        <v>0.52563725680606932</v>
      </c>
      <c r="AB37" s="1">
        <v>0.10734167046203505</v>
      </c>
      <c r="AC37" s="1">
        <v>0.45864224576291696</v>
      </c>
      <c r="AD37" s="1">
        <v>0.64532088841753965</v>
      </c>
      <c r="AE37" s="1">
        <v>0.1717146871515127</v>
      </c>
      <c r="AF37" s="1">
        <v>0.25599142565734501</v>
      </c>
      <c r="AG37" s="1">
        <v>-0.37348997520009342</v>
      </c>
      <c r="AH37" s="1">
        <v>0.36759275884234416</v>
      </c>
      <c r="AI37" s="1">
        <v>0.40945270586284083</v>
      </c>
      <c r="AJ37" s="1">
        <v>0.39844500724540771</v>
      </c>
      <c r="AK37" s="1">
        <v>1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</row>
    <row r="38" spans="1:85" x14ac:dyDescent="0.55000000000000004">
      <c r="A38" s="1" t="s">
        <v>43</v>
      </c>
      <c r="B38" s="1">
        <v>0.66040379875196009</v>
      </c>
      <c r="C38" s="1">
        <v>0.34744367555075106</v>
      </c>
      <c r="D38" s="1">
        <v>0.38429888081231267</v>
      </c>
      <c r="E38" s="1">
        <v>0.38874967629571322</v>
      </c>
      <c r="F38" s="1">
        <v>0.63994883250998003</v>
      </c>
      <c r="G38" s="1">
        <v>0.41776364240296654</v>
      </c>
      <c r="H38" s="1">
        <v>0.2968413430901724</v>
      </c>
      <c r="I38" s="1">
        <v>0.50414710202116308</v>
      </c>
      <c r="J38" s="1">
        <v>0.33998181826941654</v>
      </c>
      <c r="K38" s="1">
        <v>0.43449500522025741</v>
      </c>
      <c r="L38" s="1">
        <v>0.45773266046255268</v>
      </c>
      <c r="M38" s="1">
        <v>0.4253356330665507</v>
      </c>
      <c r="N38" s="1">
        <v>0.64619795313799833</v>
      </c>
      <c r="O38" s="1">
        <v>0.51620278455532409</v>
      </c>
      <c r="P38" s="1">
        <v>0.46457915565258495</v>
      </c>
      <c r="Q38" s="1">
        <v>0.60786978765331279</v>
      </c>
      <c r="R38" s="1">
        <v>0.43841867838963183</v>
      </c>
      <c r="S38" s="1">
        <v>0.2842763654339901</v>
      </c>
      <c r="T38" s="1">
        <v>1.7174489040772224E-2</v>
      </c>
      <c r="U38" s="1">
        <v>4.0296399876493534E-2</v>
      </c>
      <c r="V38" s="1">
        <v>0.2065429339525563</v>
      </c>
      <c r="W38" s="1">
        <v>0.37415467995513285</v>
      </c>
      <c r="X38" s="1">
        <v>0.42443803462168683</v>
      </c>
      <c r="Y38" s="1">
        <v>0.43678995362744277</v>
      </c>
      <c r="Z38" s="1">
        <v>0.59993751149911401</v>
      </c>
      <c r="AA38" s="1">
        <v>0.55826329654498397</v>
      </c>
      <c r="AB38" s="1">
        <v>0.2069803604187182</v>
      </c>
      <c r="AC38" s="1">
        <v>0.62576087490953292</v>
      </c>
      <c r="AD38" s="1">
        <v>0.68117014550206867</v>
      </c>
      <c r="AE38" s="1">
        <v>0.33209963933309955</v>
      </c>
      <c r="AF38" s="1">
        <v>0.43494263596454552</v>
      </c>
      <c r="AG38" s="1">
        <v>-0.29683123548205959</v>
      </c>
      <c r="AH38" s="1">
        <v>0.57172985198688009</v>
      </c>
      <c r="AI38" s="1">
        <v>0.13533969104269777</v>
      </c>
      <c r="AJ38" s="1">
        <v>9.0288237133508767E-2</v>
      </c>
      <c r="AK38" s="1">
        <v>0.62535386636194035</v>
      </c>
      <c r="AL38" s="1">
        <v>1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</row>
    <row r="39" spans="1:85" x14ac:dyDescent="0.55000000000000004">
      <c r="A39" s="1" t="s">
        <v>44</v>
      </c>
      <c r="B39" s="1">
        <v>0.5623056358509293</v>
      </c>
      <c r="C39" s="1">
        <v>0.55596996674079757</v>
      </c>
      <c r="D39" s="1">
        <v>0.40062519090318238</v>
      </c>
      <c r="E39" s="1">
        <v>-8.2848741737452977E-2</v>
      </c>
      <c r="F39" s="1">
        <v>0.41296196182690104</v>
      </c>
      <c r="G39" s="1">
        <v>3.8672465435249138E-2</v>
      </c>
      <c r="H39" s="1">
        <v>-8.8266627464609393E-2</v>
      </c>
      <c r="I39" s="1">
        <v>6.0529075956856034E-2</v>
      </c>
      <c r="J39" s="1">
        <v>0.28588010953519144</v>
      </c>
      <c r="K39" s="1">
        <v>0.37307455715060805</v>
      </c>
      <c r="L39" s="1">
        <v>0.18284180763463315</v>
      </c>
      <c r="M39" s="1">
        <v>0.19054279811386984</v>
      </c>
      <c r="N39" s="1">
        <v>0.41732143350369932</v>
      </c>
      <c r="O39" s="1">
        <v>0.39557970144544941</v>
      </c>
      <c r="P39" s="1">
        <v>0.39859284753594337</v>
      </c>
      <c r="Q39" s="1">
        <v>0.28845913686395963</v>
      </c>
      <c r="R39" s="1">
        <v>3.0894512199500287E-2</v>
      </c>
      <c r="S39" s="1">
        <v>-8.6358197160702893E-2</v>
      </c>
      <c r="T39" s="1">
        <v>-0.19421163683597698</v>
      </c>
      <c r="U39" s="1">
        <v>0.16146746667752046</v>
      </c>
      <c r="V39" s="1">
        <v>0.33778754388515309</v>
      </c>
      <c r="W39" s="1">
        <v>0.17780252380200484</v>
      </c>
      <c r="X39" s="1">
        <v>0.6798316013710104</v>
      </c>
      <c r="Y39" s="1">
        <v>0.45761339813205876</v>
      </c>
      <c r="Z39" s="1">
        <v>0.42190812003982248</v>
      </c>
      <c r="AA39" s="1">
        <v>0.50357714398914444</v>
      </c>
      <c r="AB39" s="1">
        <v>0.37704281280076674</v>
      </c>
      <c r="AC39" s="1">
        <v>6.1147279617212329E-2</v>
      </c>
      <c r="AD39" s="1">
        <v>0.38684661218856847</v>
      </c>
      <c r="AE39" s="1">
        <v>0.33750203098689158</v>
      </c>
      <c r="AF39" s="1">
        <v>3.4188508934767471E-2</v>
      </c>
      <c r="AG39" s="1">
        <v>-0.47754508856187849</v>
      </c>
      <c r="AH39" s="1">
        <v>0.32141970868872105</v>
      </c>
      <c r="AI39" s="1">
        <v>0.54943040644859131</v>
      </c>
      <c r="AJ39" s="1">
        <v>0.65874526183248527</v>
      </c>
      <c r="AK39" s="1">
        <v>0.53850569837814921</v>
      </c>
      <c r="AL39" s="1">
        <v>0.44077310435438277</v>
      </c>
      <c r="AM39" s="1">
        <v>1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</row>
    <row r="40" spans="1:85" x14ac:dyDescent="0.55000000000000004">
      <c r="A40" s="1" t="s">
        <v>45</v>
      </c>
      <c r="B40" s="1">
        <v>0.57546318830108334</v>
      </c>
      <c r="C40" s="1">
        <v>0.43112827144105204</v>
      </c>
      <c r="D40" s="1">
        <v>0.35658840650004858</v>
      </c>
      <c r="E40" s="1">
        <v>0.12912971615951324</v>
      </c>
      <c r="F40" s="1">
        <v>0.50533501219479504</v>
      </c>
      <c r="G40" s="1">
        <v>0.15254785068607696</v>
      </c>
      <c r="H40" s="1">
        <v>-5.6608914709170746E-2</v>
      </c>
      <c r="I40" s="1">
        <v>0.2744317499711339</v>
      </c>
      <c r="J40" s="1">
        <v>0.21836701973100373</v>
      </c>
      <c r="K40" s="1">
        <v>0.23314741858065019</v>
      </c>
      <c r="L40" s="1">
        <v>0.33058653300393032</v>
      </c>
      <c r="M40" s="1">
        <v>0.40486971576989222</v>
      </c>
      <c r="N40" s="1">
        <v>0.47336444872793293</v>
      </c>
      <c r="O40" s="1">
        <v>0.4673661170974408</v>
      </c>
      <c r="P40" s="1">
        <v>0.36942314644338625</v>
      </c>
      <c r="Q40" s="1">
        <v>0.45496493640918295</v>
      </c>
      <c r="R40" s="1">
        <v>0.32411260527362107</v>
      </c>
      <c r="S40" s="1">
        <v>0.14272950787665528</v>
      </c>
      <c r="T40" s="1">
        <v>-0.14239912401262264</v>
      </c>
      <c r="U40" s="1">
        <v>6.5487936223115342E-2</v>
      </c>
      <c r="V40" s="1">
        <v>0.31708028513524872</v>
      </c>
      <c r="W40" s="1">
        <v>0.14602339503625128</v>
      </c>
      <c r="X40" s="1">
        <v>0.53119222953361189</v>
      </c>
      <c r="Y40" s="1">
        <v>0.49696187816107662</v>
      </c>
      <c r="Z40" s="1">
        <v>0.43111348888381529</v>
      </c>
      <c r="AA40" s="1">
        <v>0.40170642001358681</v>
      </c>
      <c r="AB40" s="1">
        <v>0.27388669253828291</v>
      </c>
      <c r="AC40" s="1">
        <v>0.38874350939348157</v>
      </c>
      <c r="AD40" s="1">
        <v>0.47448728169733578</v>
      </c>
      <c r="AE40" s="1">
        <v>0.53218795285957454</v>
      </c>
      <c r="AF40" s="1">
        <v>0.31808659867031608</v>
      </c>
      <c r="AG40" s="1">
        <v>-0.43828619634547916</v>
      </c>
      <c r="AH40" s="1">
        <v>0.66247483992751188</v>
      </c>
      <c r="AI40" s="1">
        <v>0.11394779842676192</v>
      </c>
      <c r="AJ40" s="1">
        <v>0.30037822175705159</v>
      </c>
      <c r="AK40" s="1">
        <v>0.38006092754877324</v>
      </c>
      <c r="AL40" s="1">
        <v>0.59891717021509672</v>
      </c>
      <c r="AM40" s="1">
        <v>0.63072671949514125</v>
      </c>
      <c r="AN40" s="1">
        <v>1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</row>
    <row r="41" spans="1:85" x14ac:dyDescent="0.55000000000000004">
      <c r="A41" s="1" t="s">
        <v>46</v>
      </c>
      <c r="B41" s="1">
        <v>7.5618680198904858E-2</v>
      </c>
      <c r="C41" s="1">
        <v>-3.9429042526618829E-2</v>
      </c>
      <c r="D41" s="1">
        <v>9.2301357245773485E-2</v>
      </c>
      <c r="E41" s="1">
        <v>0.25967115280930281</v>
      </c>
      <c r="F41" s="1">
        <v>2.2168711414364932E-2</v>
      </c>
      <c r="G41" s="1">
        <v>0.31842257680546709</v>
      </c>
      <c r="H41" s="1">
        <v>0.11936233097486869</v>
      </c>
      <c r="I41" s="1">
        <v>0.33749053812967966</v>
      </c>
      <c r="J41" s="1">
        <v>-3.1628463672214363E-2</v>
      </c>
      <c r="K41" s="1">
        <v>-0.14674048046169363</v>
      </c>
      <c r="L41" s="1">
        <v>0.24457831600448213</v>
      </c>
      <c r="M41" s="1">
        <v>-1.7309562309383287E-2</v>
      </c>
      <c r="N41" s="1">
        <v>-7.0081761629572428E-2</v>
      </c>
      <c r="O41" s="1">
        <v>0.11159098099271703</v>
      </c>
      <c r="P41" s="1">
        <v>0.14674923501883055</v>
      </c>
      <c r="Q41" s="1">
        <v>0.22534422165104137</v>
      </c>
      <c r="R41" s="1">
        <v>0.17991783785108428</v>
      </c>
      <c r="S41" s="1">
        <v>3.2388070862940925E-2</v>
      </c>
      <c r="T41" s="1">
        <v>0.39631112450008538</v>
      </c>
      <c r="U41" s="1">
        <v>-2.6383731198689114E-2</v>
      </c>
      <c r="V41" s="1">
        <v>0.1705679936891176</v>
      </c>
      <c r="W41" s="1">
        <v>-2.9175424772540849E-2</v>
      </c>
      <c r="X41" s="1">
        <v>-0.33574658310945221</v>
      </c>
      <c r="Y41" s="1">
        <v>-2.5508723104722884E-2</v>
      </c>
      <c r="Z41" s="1">
        <v>-2.027643883940889E-2</v>
      </c>
      <c r="AA41" s="1">
        <v>-0.1606974484750025</v>
      </c>
      <c r="AB41" s="1">
        <v>-9.4390520622209484E-2</v>
      </c>
      <c r="AC41" s="1">
        <v>0.33452251299420677</v>
      </c>
      <c r="AD41" s="1">
        <v>2.9568332535092723E-2</v>
      </c>
      <c r="AE41" s="1">
        <v>-5.7393342010016141E-2</v>
      </c>
      <c r="AF41" s="1">
        <v>0.15802045407233964</v>
      </c>
      <c r="AG41" s="1">
        <v>0.23055310361930412</v>
      </c>
      <c r="AH41" s="1">
        <v>0.23234096046236313</v>
      </c>
      <c r="AI41" s="1">
        <v>-3.2792511981006654E-2</v>
      </c>
      <c r="AJ41" s="1">
        <v>-0.29516011315650886</v>
      </c>
      <c r="AK41" s="1">
        <v>-6.0030013711366667E-2</v>
      </c>
      <c r="AL41" s="1">
        <v>0.10522813539534849</v>
      </c>
      <c r="AM41" s="1">
        <v>-0.18036729959444653</v>
      </c>
      <c r="AN41" s="1">
        <v>-1.1354473193882679E-2</v>
      </c>
      <c r="AO41" s="1">
        <v>1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</row>
    <row r="42" spans="1:85" x14ac:dyDescent="0.55000000000000004">
      <c r="A42" s="1" t="s">
        <v>47</v>
      </c>
      <c r="B42" s="1">
        <v>0.44603638992973693</v>
      </c>
      <c r="C42" s="1">
        <v>0.16359392571524203</v>
      </c>
      <c r="D42" s="1">
        <v>0.37377870817211128</v>
      </c>
      <c r="E42" s="1">
        <v>0.15221113669477057</v>
      </c>
      <c r="F42" s="1">
        <v>0.39201232501354094</v>
      </c>
      <c r="G42" s="1">
        <v>6.8971075139421537E-2</v>
      </c>
      <c r="H42" s="1">
        <v>-4.6757140000681506E-2</v>
      </c>
      <c r="I42" s="1">
        <v>0.59806278224080855</v>
      </c>
      <c r="J42" s="1">
        <v>-7.8753676879078555E-2</v>
      </c>
      <c r="K42" s="1">
        <v>-2.8869217343238426E-2</v>
      </c>
      <c r="L42" s="1">
        <v>0.16802398382709757</v>
      </c>
      <c r="M42" s="1">
        <v>0.39673341835509723</v>
      </c>
      <c r="N42" s="1">
        <v>0.16653734917047397</v>
      </c>
      <c r="O42" s="1">
        <v>0.14016961265432232</v>
      </c>
      <c r="P42" s="1">
        <v>0.16469198121504788</v>
      </c>
      <c r="Q42" s="1">
        <v>0.22356372578538272</v>
      </c>
      <c r="R42" s="1">
        <v>0.22063925983983537</v>
      </c>
      <c r="S42" s="1">
        <v>4.5095801313744382E-2</v>
      </c>
      <c r="T42" s="1">
        <v>7.8022502217680201E-2</v>
      </c>
      <c r="U42" s="1">
        <v>-4.4804460658429364E-2</v>
      </c>
      <c r="V42" s="1">
        <v>0.10298490384221877</v>
      </c>
      <c r="W42" s="1">
        <v>6.5512599476711258E-2</v>
      </c>
      <c r="X42" s="1">
        <v>0.20124269505424194</v>
      </c>
      <c r="Y42" s="1">
        <v>0.3907971302000795</v>
      </c>
      <c r="Z42" s="1">
        <v>8.7350402422438189E-2</v>
      </c>
      <c r="AA42" s="1">
        <v>8.579270060695135E-2</v>
      </c>
      <c r="AB42" s="1">
        <v>0.20764427746020642</v>
      </c>
      <c r="AC42" s="1">
        <v>0.33508619318488425</v>
      </c>
      <c r="AD42" s="1">
        <v>0.39309194902295391</v>
      </c>
      <c r="AE42" s="1">
        <v>0.38736596367625409</v>
      </c>
      <c r="AF42" s="1">
        <v>0.31126359429926703</v>
      </c>
      <c r="AG42" s="1">
        <v>-0.14095616302255629</v>
      </c>
      <c r="AH42" s="1">
        <v>0.45506645988419719</v>
      </c>
      <c r="AI42" s="1">
        <v>-7.8565909308093401E-2</v>
      </c>
      <c r="AJ42" s="1">
        <v>-0.12118726649930246</v>
      </c>
      <c r="AK42" s="1">
        <v>5.6178980905686543E-2</v>
      </c>
      <c r="AL42" s="1">
        <v>0.37598709827543597</v>
      </c>
      <c r="AM42" s="1">
        <v>0.28981862545786163</v>
      </c>
      <c r="AN42" s="1">
        <v>0.61665054537789865</v>
      </c>
      <c r="AO42" s="1">
        <v>0.17387540378182603</v>
      </c>
      <c r="AP42" s="1">
        <v>1</v>
      </c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</row>
    <row r="43" spans="1:85" x14ac:dyDescent="0.55000000000000004">
      <c r="A43" s="1" t="s">
        <v>48</v>
      </c>
      <c r="B43" s="1">
        <v>0.26225078563985593</v>
      </c>
      <c r="C43" s="1">
        <v>0.11201632806918971</v>
      </c>
      <c r="D43" s="1">
        <v>0.24282949560836742</v>
      </c>
      <c r="E43" s="1">
        <v>0.13824078246957119</v>
      </c>
      <c r="F43" s="1">
        <v>0.20821672524442697</v>
      </c>
      <c r="G43" s="1">
        <v>5.1299439364134114E-2</v>
      </c>
      <c r="H43" s="1">
        <v>0.11071690471384672</v>
      </c>
      <c r="I43" s="1">
        <v>0.35519764266589504</v>
      </c>
      <c r="J43" s="1">
        <v>0.21095149187988255</v>
      </c>
      <c r="K43" s="1">
        <v>9.8125364682806915E-2</v>
      </c>
      <c r="L43" s="1">
        <v>0.22620135689442611</v>
      </c>
      <c r="M43" s="1">
        <v>0.16169104474752491</v>
      </c>
      <c r="N43" s="1">
        <v>0.12665673410022482</v>
      </c>
      <c r="O43" s="1">
        <v>0.10680713781781213</v>
      </c>
      <c r="P43" s="1">
        <v>0.24687783631590768</v>
      </c>
      <c r="Q43" s="1">
        <v>0.15722983784587033</v>
      </c>
      <c r="R43" s="1">
        <v>4.3363414141861213E-2</v>
      </c>
      <c r="S43" s="1">
        <v>-1.2874635554970938E-2</v>
      </c>
      <c r="T43" s="1">
        <v>0.30417382179511598</v>
      </c>
      <c r="U43" s="1">
        <v>5.2678391929520943E-3</v>
      </c>
      <c r="V43" s="1">
        <v>0.16075274627329589</v>
      </c>
      <c r="W43" s="1">
        <v>0.10739562916867154</v>
      </c>
      <c r="X43" s="1">
        <v>5.2880140877847578E-2</v>
      </c>
      <c r="Y43" s="1">
        <v>0.2246985964592037</v>
      </c>
      <c r="Z43" s="1">
        <v>5.5413783075718148E-2</v>
      </c>
      <c r="AA43" s="1">
        <v>4.666905756704097E-2</v>
      </c>
      <c r="AB43" s="1">
        <v>0.12897333672548553</v>
      </c>
      <c r="AC43" s="1">
        <v>0.22031480234417031</v>
      </c>
      <c r="AD43" s="1">
        <v>0.22780861213190898</v>
      </c>
      <c r="AE43" s="1">
        <v>0.14590954038332196</v>
      </c>
      <c r="AF43" s="1">
        <v>0.19149572336896192</v>
      </c>
      <c r="AG43" s="1">
        <v>8.8012335842862374E-2</v>
      </c>
      <c r="AH43" s="1">
        <v>9.4937445058409814E-2</v>
      </c>
      <c r="AI43" s="1">
        <v>0.11472275577581847</v>
      </c>
      <c r="AJ43" s="1">
        <v>-2.5285103523789799E-2</v>
      </c>
      <c r="AK43" s="1">
        <v>0.12441985643122415</v>
      </c>
      <c r="AL43" s="1">
        <v>0.28258839220686682</v>
      </c>
      <c r="AM43" s="1">
        <v>0.38866835092821866</v>
      </c>
      <c r="AN43" s="1">
        <v>0.26432978674548513</v>
      </c>
      <c r="AO43" s="1">
        <v>0.22130671212630515</v>
      </c>
      <c r="AP43" s="1">
        <v>0.61467200875407935</v>
      </c>
      <c r="AQ43" s="1">
        <v>1</v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</row>
    <row r="44" spans="1:85" x14ac:dyDescent="0.55000000000000004">
      <c r="A44" s="1" t="s">
        <v>49</v>
      </c>
      <c r="B44" s="1">
        <v>0.57773236396174721</v>
      </c>
      <c r="C44" s="1">
        <v>0.4631024098868754</v>
      </c>
      <c r="D44" s="1">
        <v>0.33816501056789156</v>
      </c>
      <c r="E44" s="1">
        <v>0.1638856400173079</v>
      </c>
      <c r="F44" s="1">
        <v>0.4154821451780521</v>
      </c>
      <c r="G44" s="1">
        <v>3.4739112602730285E-2</v>
      </c>
      <c r="H44" s="1">
        <v>0.11438661150503651</v>
      </c>
      <c r="I44" s="1">
        <v>0.4326174630845438</v>
      </c>
      <c r="J44" s="1">
        <v>9.3000811925135207E-2</v>
      </c>
      <c r="K44" s="1">
        <v>0.14196629403558611</v>
      </c>
      <c r="L44" s="1">
        <v>0.33300246383243182</v>
      </c>
      <c r="M44" s="1">
        <v>0.58546825978289974</v>
      </c>
      <c r="N44" s="1">
        <v>0.32157554351806095</v>
      </c>
      <c r="O44" s="1">
        <v>0.36191343489452155</v>
      </c>
      <c r="P44" s="1">
        <v>0.36093992547217063</v>
      </c>
      <c r="Q44" s="1">
        <v>0.22936839065193174</v>
      </c>
      <c r="R44" s="1">
        <v>0.16997755495579614</v>
      </c>
      <c r="S44" s="1">
        <v>0.22506574704786289</v>
      </c>
      <c r="T44" s="1">
        <v>8.899956934651175E-2</v>
      </c>
      <c r="U44" s="1">
        <v>0.11823594410412944</v>
      </c>
      <c r="V44" s="1">
        <v>0.27053485732548527</v>
      </c>
      <c r="W44" s="1">
        <v>0.28643060228566619</v>
      </c>
      <c r="X44" s="1">
        <v>0.45258375812428381</v>
      </c>
      <c r="Y44" s="1">
        <v>0.41248567778211581</v>
      </c>
      <c r="Z44" s="1">
        <v>0.42630621124760809</v>
      </c>
      <c r="AA44" s="1">
        <v>0.46906780113472968</v>
      </c>
      <c r="AB44" s="1">
        <v>0.2175897316017196</v>
      </c>
      <c r="AC44" s="1">
        <v>0.32101724703252482</v>
      </c>
      <c r="AD44" s="1">
        <v>0.52992349966650887</v>
      </c>
      <c r="AE44" s="1">
        <v>0.33770909935987115</v>
      </c>
      <c r="AF44" s="1">
        <v>0.46171368396075169</v>
      </c>
      <c r="AG44" s="1">
        <v>-0.24941319816715612</v>
      </c>
      <c r="AH44" s="1">
        <v>0.45660094293356668</v>
      </c>
      <c r="AI44" s="1">
        <v>0.27572719350826624</v>
      </c>
      <c r="AJ44" s="1">
        <v>9.567136604143868E-2</v>
      </c>
      <c r="AK44" s="1">
        <v>0.22938769213496016</v>
      </c>
      <c r="AL44" s="1">
        <v>0.37708631013439919</v>
      </c>
      <c r="AM44" s="1">
        <v>0.38164423543632364</v>
      </c>
      <c r="AN44" s="1">
        <v>0.47004975551080053</v>
      </c>
      <c r="AO44" s="1">
        <v>0.18526475599942563</v>
      </c>
      <c r="AP44" s="1">
        <v>0.44904292425051423</v>
      </c>
      <c r="AQ44" s="1">
        <v>0.35991220735759072</v>
      </c>
      <c r="AR44" s="1">
        <v>1</v>
      </c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</row>
    <row r="45" spans="1:85" x14ac:dyDescent="0.55000000000000004">
      <c r="A45" s="1" t="s">
        <v>50</v>
      </c>
      <c r="B45" s="1">
        <v>0.50764139576731315</v>
      </c>
      <c r="C45" s="1">
        <v>0.10789180387398327</v>
      </c>
      <c r="D45" s="1">
        <v>0.34094950372987626</v>
      </c>
      <c r="E45" s="1">
        <v>0.32124384742373485</v>
      </c>
      <c r="F45" s="1">
        <v>0.5351165997922066</v>
      </c>
      <c r="G45" s="1">
        <v>0.21667031171019713</v>
      </c>
      <c r="H45" s="1">
        <v>0.27215452807316087</v>
      </c>
      <c r="I45" s="1">
        <v>0.60220765919499908</v>
      </c>
      <c r="J45" s="1">
        <v>0.29986144300340667</v>
      </c>
      <c r="K45" s="1">
        <v>8.8216160492894963E-2</v>
      </c>
      <c r="L45" s="1">
        <v>0.4850462601838238</v>
      </c>
      <c r="M45" s="1">
        <v>0.71852111701915611</v>
      </c>
      <c r="N45" s="1">
        <v>0.19859299881365344</v>
      </c>
      <c r="O45" s="1">
        <v>0.31383884728861916</v>
      </c>
      <c r="P45" s="1">
        <v>0.39407796945198981</v>
      </c>
      <c r="Q45" s="1">
        <v>0.26823288768486325</v>
      </c>
      <c r="R45" s="1">
        <v>0.21844068914018516</v>
      </c>
      <c r="S45" s="1">
        <v>0.66710324386090292</v>
      </c>
      <c r="T45" s="1">
        <v>0.16379243061523421</v>
      </c>
      <c r="U45" s="1">
        <v>-8.4470566037761471E-2</v>
      </c>
      <c r="V45" s="1">
        <v>0.16650315391491016</v>
      </c>
      <c r="W45" s="1">
        <v>0.18689681892187412</v>
      </c>
      <c r="X45" s="1">
        <v>0.21419550799819881</v>
      </c>
      <c r="Y45" s="1">
        <v>0.496139302659235</v>
      </c>
      <c r="Z45" s="1">
        <v>0.40197036597484193</v>
      </c>
      <c r="AA45" s="1">
        <v>0.51752600783204217</v>
      </c>
      <c r="AB45" s="1">
        <v>0.23643727112675275</v>
      </c>
      <c r="AC45" s="1">
        <v>0.49694976088404053</v>
      </c>
      <c r="AD45" s="1">
        <v>0.55481412016155462</v>
      </c>
      <c r="AE45" s="1">
        <v>0.40399517754167213</v>
      </c>
      <c r="AF45" s="1">
        <v>0.56172459385018958</v>
      </c>
      <c r="AG45" s="1">
        <v>-0.14818515825006859</v>
      </c>
      <c r="AH45" s="1">
        <v>0.35114963962872198</v>
      </c>
      <c r="AI45" s="1">
        <v>5.6852254315692671E-2</v>
      </c>
      <c r="AJ45" s="1">
        <v>-0.19582285093250065</v>
      </c>
      <c r="AK45" s="1">
        <v>0.13283746423680481</v>
      </c>
      <c r="AL45" s="1">
        <v>0.36882040903852276</v>
      </c>
      <c r="AM45" s="1">
        <v>3.6177472421063624E-2</v>
      </c>
      <c r="AN45" s="1">
        <v>0.26531543595284213</v>
      </c>
      <c r="AO45" s="1">
        <v>0.22678527451499425</v>
      </c>
      <c r="AP45" s="1">
        <v>0.40762790799028875</v>
      </c>
      <c r="AQ45" s="1">
        <v>0.24781314045152061</v>
      </c>
      <c r="AR45" s="1">
        <v>0.54616906928127873</v>
      </c>
      <c r="AS45" s="1">
        <v>1</v>
      </c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 spans="1:85" x14ac:dyDescent="0.55000000000000004">
      <c r="A46" s="1" t="s">
        <v>51</v>
      </c>
      <c r="B46" s="1">
        <v>4.6335712142440207E-2</v>
      </c>
      <c r="C46" s="1">
        <v>-0.20278675783860331</v>
      </c>
      <c r="D46" s="1">
        <v>0.10622622391158484</v>
      </c>
      <c r="E46" s="1">
        <v>0.23813768598675653</v>
      </c>
      <c r="F46" s="1">
        <v>0.10013464195408396</v>
      </c>
      <c r="G46" s="1">
        <v>0.14496030213726277</v>
      </c>
      <c r="H46" s="1">
        <v>0.1957750086756615</v>
      </c>
      <c r="I46" s="1">
        <v>0.40098838745804516</v>
      </c>
      <c r="J46" s="1">
        <v>-1.8040948178451137E-2</v>
      </c>
      <c r="K46" s="1">
        <v>9.0784191139561595E-3</v>
      </c>
      <c r="L46" s="1">
        <v>0.16474401623585591</v>
      </c>
      <c r="M46" s="1">
        <v>0.2057684724423533</v>
      </c>
      <c r="N46" s="1">
        <v>-1.6637230819205408E-2</v>
      </c>
      <c r="O46" s="1">
        <v>4.0098125695995225E-2</v>
      </c>
      <c r="P46" s="1">
        <v>5.8387897188640119E-2</v>
      </c>
      <c r="Q46" s="1">
        <v>0.19093169971578947</v>
      </c>
      <c r="R46" s="1">
        <v>0.26213214913722721</v>
      </c>
      <c r="S46" s="1">
        <v>0.27278299630465414</v>
      </c>
      <c r="T46" s="1">
        <v>0.499602555746477</v>
      </c>
      <c r="U46" s="1">
        <v>-0.15652023788273711</v>
      </c>
      <c r="V46" s="1">
        <v>0.13272701275377566</v>
      </c>
      <c r="W46" s="1">
        <v>5.1306894138603794E-2</v>
      </c>
      <c r="X46" s="1">
        <v>-0.19666291960662335</v>
      </c>
      <c r="Y46" s="1">
        <v>2.6393656362001267E-2</v>
      </c>
      <c r="Z46" s="1">
        <v>-1.3652671954601108E-2</v>
      </c>
      <c r="AA46" s="1">
        <v>1.661057434563247E-2</v>
      </c>
      <c r="AB46" s="1">
        <v>1.0062348000510705E-2</v>
      </c>
      <c r="AC46" s="1">
        <v>0.29682864216846938</v>
      </c>
      <c r="AD46" s="1">
        <v>0.22386232726472696</v>
      </c>
      <c r="AE46" s="1">
        <v>0.19392941640377098</v>
      </c>
      <c r="AF46" s="1">
        <v>0.4328175551584908</v>
      </c>
      <c r="AG46" s="1">
        <v>0.18173287320858345</v>
      </c>
      <c r="AH46" s="1">
        <v>9.6484457368816307E-2</v>
      </c>
      <c r="AI46" s="1">
        <v>-0.13603875188398243</v>
      </c>
      <c r="AJ46" s="1">
        <v>-0.41377036109057469</v>
      </c>
      <c r="AK46" s="1">
        <v>-0.10223681082044139</v>
      </c>
      <c r="AL46" s="1">
        <v>0.13775397041675749</v>
      </c>
      <c r="AM46" s="1">
        <v>-0.2999236526915271</v>
      </c>
      <c r="AN46" s="1">
        <v>-4.6105415200176331E-2</v>
      </c>
      <c r="AO46" s="1">
        <v>0.2582863520928726</v>
      </c>
      <c r="AP46" s="1">
        <v>0.31237821224172113</v>
      </c>
      <c r="AQ46" s="1">
        <v>0.21315511269951648</v>
      </c>
      <c r="AR46" s="1">
        <v>0.24975946515662101</v>
      </c>
      <c r="AS46" s="1">
        <v>0.55956389912426363</v>
      </c>
      <c r="AT46" s="1">
        <v>1</v>
      </c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</row>
    <row r="47" spans="1:85" x14ac:dyDescent="0.55000000000000004">
      <c r="A47" s="1" t="s">
        <v>52</v>
      </c>
      <c r="B47" s="1">
        <v>0.26082189165929559</v>
      </c>
      <c r="C47" s="1">
        <v>0.16627269053723495</v>
      </c>
      <c r="D47" s="1">
        <v>0.39839732958353707</v>
      </c>
      <c r="E47" s="1">
        <v>0.26574076385914064</v>
      </c>
      <c r="F47" s="1">
        <v>0.32583977755236398</v>
      </c>
      <c r="G47" s="1">
        <v>0.16003574245225988</v>
      </c>
      <c r="H47" s="1">
        <v>0.2075665554036806</v>
      </c>
      <c r="I47" s="1">
        <v>0.31914490206566776</v>
      </c>
      <c r="J47" s="1">
        <v>0.2078259485994304</v>
      </c>
      <c r="K47" s="1">
        <v>0.2264798989594268</v>
      </c>
      <c r="L47" s="1">
        <v>0.4254870653010181</v>
      </c>
      <c r="M47" s="1">
        <v>0.31356299211300598</v>
      </c>
      <c r="N47" s="1">
        <v>0.32031347314348835</v>
      </c>
      <c r="O47" s="1">
        <v>0.39290482109852104</v>
      </c>
      <c r="P47" s="1">
        <v>0.43504841039928988</v>
      </c>
      <c r="Q47" s="1">
        <v>0.2760431025221316</v>
      </c>
      <c r="R47" s="1">
        <v>0.14193330955901168</v>
      </c>
      <c r="S47" s="1">
        <v>0.26489706016190201</v>
      </c>
      <c r="T47" s="1">
        <v>0.17184271808021212</v>
      </c>
      <c r="U47" s="1">
        <v>-0.15352053638887359</v>
      </c>
      <c r="V47" s="1">
        <v>0.3089456482118062</v>
      </c>
      <c r="W47" s="1">
        <v>-9.0094868829963592E-2</v>
      </c>
      <c r="X47" s="1">
        <v>0.18813188741863093</v>
      </c>
      <c r="Y47" s="1">
        <v>0.26143838866661939</v>
      </c>
      <c r="Z47" s="1">
        <v>0.37572774965076633</v>
      </c>
      <c r="AA47" s="1">
        <v>0.35034524206325479</v>
      </c>
      <c r="AB47" s="1">
        <v>0.1369004179798935</v>
      </c>
      <c r="AC47" s="1">
        <v>0.21775081190604803</v>
      </c>
      <c r="AD47" s="1">
        <v>0.30066606104372906</v>
      </c>
      <c r="AE47" s="1">
        <v>0.26308013237907757</v>
      </c>
      <c r="AF47" s="1">
        <v>0.16529408492659992</v>
      </c>
      <c r="AG47" s="1">
        <v>-0.17199143778107565</v>
      </c>
      <c r="AH47" s="1">
        <v>0.2026555042823753</v>
      </c>
      <c r="AI47" s="1">
        <v>3.5846440748157474E-2</v>
      </c>
      <c r="AJ47" s="1">
        <v>-5.5534646773178313E-3</v>
      </c>
      <c r="AK47" s="1">
        <v>0.21010058236574802</v>
      </c>
      <c r="AL47" s="1">
        <v>0.22931852106599476</v>
      </c>
      <c r="AM47" s="1">
        <v>0.16429668364341138</v>
      </c>
      <c r="AN47" s="1">
        <v>0.14853360940672192</v>
      </c>
      <c r="AO47" s="1">
        <v>0.11230412396917945</v>
      </c>
      <c r="AP47" s="1">
        <v>0.12386127039275083</v>
      </c>
      <c r="AQ47" s="1">
        <v>0.14408746820272478</v>
      </c>
      <c r="AR47" s="1">
        <v>0.24049496543867069</v>
      </c>
      <c r="AS47" s="1">
        <v>0.46401713654086985</v>
      </c>
      <c r="AT47" s="1">
        <v>0.34781978375321526</v>
      </c>
      <c r="AU47" s="1">
        <v>1</v>
      </c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</row>
    <row r="48" spans="1:85" x14ac:dyDescent="0.55000000000000004">
      <c r="A48" s="1" t="s">
        <v>53</v>
      </c>
      <c r="B48" s="1">
        <v>0.51814698636357492</v>
      </c>
      <c r="C48" s="1">
        <v>0.56660183850313595</v>
      </c>
      <c r="D48" s="1">
        <v>0.43053114026833256</v>
      </c>
      <c r="E48" s="1">
        <v>-1.609732572649436E-2</v>
      </c>
      <c r="F48" s="1">
        <v>0.33339374388603565</v>
      </c>
      <c r="G48" s="1">
        <v>0.14664521628926164</v>
      </c>
      <c r="H48" s="1">
        <v>-4.2501980393252533E-3</v>
      </c>
      <c r="I48" s="1">
        <v>0.10533151930990993</v>
      </c>
      <c r="J48" s="1">
        <v>0.14269475136870441</v>
      </c>
      <c r="K48" s="1">
        <v>0.13408505925026651</v>
      </c>
      <c r="L48" s="1">
        <v>0.14182321529124461</v>
      </c>
      <c r="M48" s="1">
        <v>0.36624661468135461</v>
      </c>
      <c r="N48" s="1">
        <v>0.3557260691822966</v>
      </c>
      <c r="O48" s="1">
        <v>0.39482750659111182</v>
      </c>
      <c r="P48" s="1">
        <v>0.29177862254006237</v>
      </c>
      <c r="Q48" s="1">
        <v>0.23819518165859113</v>
      </c>
      <c r="R48" s="1">
        <v>-9.4968065762062737E-2</v>
      </c>
      <c r="S48" s="1">
        <v>-9.6682377964214986E-2</v>
      </c>
      <c r="T48" s="1">
        <v>-3.1503834827697655E-2</v>
      </c>
      <c r="U48" s="1">
        <v>8.3633270315111474E-2</v>
      </c>
      <c r="V48" s="1">
        <v>0.30934098311536573</v>
      </c>
      <c r="W48" s="1">
        <v>3.5221143967319228E-2</v>
      </c>
      <c r="X48" s="1">
        <v>0.50051632179752026</v>
      </c>
      <c r="Y48" s="1">
        <v>0.43209796791548616</v>
      </c>
      <c r="Z48" s="1">
        <v>0.37380214342079288</v>
      </c>
      <c r="AA48" s="1">
        <v>0.57737957591453892</v>
      </c>
      <c r="AB48" s="1">
        <v>0.31969135309062291</v>
      </c>
      <c r="AC48" s="1">
        <v>-8.5689500774168426E-2</v>
      </c>
      <c r="AD48" s="1">
        <v>0.24036837486657053</v>
      </c>
      <c r="AE48" s="1">
        <v>0.39624421542533589</v>
      </c>
      <c r="AF48" s="1">
        <v>-1.6797674620141888E-2</v>
      </c>
      <c r="AG48" s="1">
        <v>-0.30952227265987586</v>
      </c>
      <c r="AH48" s="1">
        <v>0.19771060200563703</v>
      </c>
      <c r="AI48" s="1">
        <v>0.52755481611159283</v>
      </c>
      <c r="AJ48" s="1">
        <v>0.34695484863587855</v>
      </c>
      <c r="AK48" s="1">
        <v>0.16945612253069686</v>
      </c>
      <c r="AL48" s="1">
        <v>0.2007338617442242</v>
      </c>
      <c r="AM48" s="1">
        <v>0.62117176156442266</v>
      </c>
      <c r="AN48" s="1">
        <v>0.34202106766281665</v>
      </c>
      <c r="AO48" s="1">
        <v>0.10882225777108152</v>
      </c>
      <c r="AP48" s="1">
        <v>0.19319454672903835</v>
      </c>
      <c r="AQ48" s="1">
        <v>0.26143819153612502</v>
      </c>
      <c r="AR48" s="1">
        <v>0.55798458477463542</v>
      </c>
      <c r="AS48" s="1">
        <v>0.20534002946612581</v>
      </c>
      <c r="AT48" s="1">
        <v>-5.143678670394744E-2</v>
      </c>
      <c r="AU48" s="1">
        <v>0.36933545194310335</v>
      </c>
      <c r="AV48" s="1">
        <v>1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</row>
    <row r="49" spans="1:85" x14ac:dyDescent="0.55000000000000004">
      <c r="A49" s="1" t="s">
        <v>54</v>
      </c>
      <c r="B49" s="1">
        <v>-0.38974504094204415</v>
      </c>
      <c r="C49" s="1">
        <v>-0.44986686335563336</v>
      </c>
      <c r="D49" s="1">
        <v>-0.30349242050662195</v>
      </c>
      <c r="E49" s="1">
        <v>-0.11990207979739075</v>
      </c>
      <c r="F49" s="1">
        <v>-0.33874439507001569</v>
      </c>
      <c r="G49" s="1">
        <v>-6.1551174478836651E-2</v>
      </c>
      <c r="H49" s="1">
        <v>-4.377891639488736E-2</v>
      </c>
      <c r="I49" s="1">
        <v>-4.6467593035482931E-2</v>
      </c>
      <c r="J49" s="1">
        <v>-0.15347962855289538</v>
      </c>
      <c r="K49" s="1">
        <v>-0.30708893190142333</v>
      </c>
      <c r="L49" s="1">
        <v>-0.28136771629658286</v>
      </c>
      <c r="M49" s="1">
        <v>-0.14521974368851071</v>
      </c>
      <c r="N49" s="1">
        <v>-0.21751590735599077</v>
      </c>
      <c r="O49" s="1">
        <v>-0.1957336291346031</v>
      </c>
      <c r="P49" s="1">
        <v>-0.36470375023563384</v>
      </c>
      <c r="Q49" s="1">
        <v>-0.11085725679324743</v>
      </c>
      <c r="R49" s="1">
        <v>-0.13325802883530444</v>
      </c>
      <c r="S49" s="1">
        <v>-8.033235331237577E-3</v>
      </c>
      <c r="T49" s="1">
        <v>0.35941117685267437</v>
      </c>
      <c r="U49" s="1">
        <v>-0.16999579715116858</v>
      </c>
      <c r="V49" s="1">
        <v>-0.13961510254203291</v>
      </c>
      <c r="W49" s="1">
        <v>-0.17430154617861041</v>
      </c>
      <c r="X49" s="1">
        <v>-0.43655680999420782</v>
      </c>
      <c r="Y49" s="1">
        <v>-0.27580854118959458</v>
      </c>
      <c r="Z49" s="1">
        <v>-0.26803756920228017</v>
      </c>
      <c r="AA49" s="1">
        <v>-0.29961471664027717</v>
      </c>
      <c r="AB49" s="1">
        <v>-0.19736070702135394</v>
      </c>
      <c r="AC49" s="1">
        <v>-9.3485832766990171E-2</v>
      </c>
      <c r="AD49" s="1">
        <v>-0.35216664431266947</v>
      </c>
      <c r="AE49" s="1">
        <v>-0.18712111427476799</v>
      </c>
      <c r="AF49" s="1">
        <v>0.13497987094084604</v>
      </c>
      <c r="AG49" s="1">
        <v>0.40352708373660312</v>
      </c>
      <c r="AH49" s="1">
        <v>-0.30210350128795316</v>
      </c>
      <c r="AI49" s="1">
        <v>-0.34271479843134078</v>
      </c>
      <c r="AJ49" s="1">
        <v>-0.40552842138652795</v>
      </c>
      <c r="AK49" s="1">
        <v>-0.42278061530386662</v>
      </c>
      <c r="AL49" s="1">
        <v>-0.16763467548919875</v>
      </c>
      <c r="AM49" s="1">
        <v>-0.52369015572656008</v>
      </c>
      <c r="AN49" s="1">
        <v>-0.39923985684590374</v>
      </c>
      <c r="AO49" s="1">
        <v>1.5109507486488361E-2</v>
      </c>
      <c r="AP49" s="1">
        <v>-6.0782458400415053E-2</v>
      </c>
      <c r="AQ49" s="1">
        <v>-1.6602682258718308E-2</v>
      </c>
      <c r="AR49" s="1">
        <v>-0.2294659460282007</v>
      </c>
      <c r="AS49" s="1">
        <v>5.1524190759895748E-2</v>
      </c>
      <c r="AT49" s="1">
        <v>0.61713542573443392</v>
      </c>
      <c r="AU49" s="1">
        <v>6.0066935994191675E-2</v>
      </c>
      <c r="AV49" s="1">
        <v>-0.30350312983144412</v>
      </c>
      <c r="AW49" s="1">
        <v>1</v>
      </c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</row>
    <row r="50" spans="1:85" x14ac:dyDescent="0.55000000000000004">
      <c r="A50" s="1" t="s">
        <v>55</v>
      </c>
      <c r="B50" s="1">
        <v>-0.40303958601616591</v>
      </c>
      <c r="C50" s="1">
        <v>-0.33402040014177914</v>
      </c>
      <c r="D50" s="1">
        <v>-0.32072294370612026</v>
      </c>
      <c r="E50" s="1">
        <v>-0.19985656912152702</v>
      </c>
      <c r="F50" s="1">
        <v>-0.33715162881217042</v>
      </c>
      <c r="G50" s="1">
        <v>-0.15302854012757869</v>
      </c>
      <c r="H50" s="1">
        <v>-0.19060513280492752</v>
      </c>
      <c r="I50" s="1">
        <v>-0.14926647177978944</v>
      </c>
      <c r="J50" s="1">
        <v>-0.22928024959161922</v>
      </c>
      <c r="K50" s="1">
        <v>-0.27001803698193411</v>
      </c>
      <c r="L50" s="1">
        <v>-0.29125148252982386</v>
      </c>
      <c r="M50" s="1">
        <v>-0.21809102038472589</v>
      </c>
      <c r="N50" s="1">
        <v>-0.24855678070366155</v>
      </c>
      <c r="O50" s="1">
        <v>-0.18482778679259923</v>
      </c>
      <c r="P50" s="1">
        <v>-0.2930798528461136</v>
      </c>
      <c r="Q50" s="1">
        <v>-0.16534699358186214</v>
      </c>
      <c r="R50" s="1">
        <v>-0.16926305090756807</v>
      </c>
      <c r="S50" s="1">
        <v>-8.8034464793889433E-2</v>
      </c>
      <c r="T50" s="1">
        <v>8.8137910773040465E-2</v>
      </c>
      <c r="U50" s="1">
        <v>-0.15059030596123921</v>
      </c>
      <c r="V50" s="1">
        <v>-0.25643211273019667</v>
      </c>
      <c r="W50" s="1">
        <v>-0.25398327321949293</v>
      </c>
      <c r="X50" s="1">
        <v>-0.3024701362583111</v>
      </c>
      <c r="Y50" s="1">
        <v>-0.23414180335381121</v>
      </c>
      <c r="Z50" s="1">
        <v>-0.29417124628679298</v>
      </c>
      <c r="AA50" s="1">
        <v>-0.19518422373550265</v>
      </c>
      <c r="AB50" s="1">
        <v>-0.14099554979417972</v>
      </c>
      <c r="AC50" s="1">
        <v>-0.16893277669090706</v>
      </c>
      <c r="AD50" s="1">
        <v>-0.33135825650028028</v>
      </c>
      <c r="AE50" s="1">
        <v>-0.2376775510902745</v>
      </c>
      <c r="AF50" s="1">
        <v>-0.10949057074208214</v>
      </c>
      <c r="AG50" s="1">
        <v>0.15633232347984771</v>
      </c>
      <c r="AH50" s="1">
        <v>-0.27994632503294764</v>
      </c>
      <c r="AI50" s="1">
        <v>-0.20985323019538013</v>
      </c>
      <c r="AJ50" s="1">
        <v>-0.21389517798532195</v>
      </c>
      <c r="AK50" s="1">
        <v>-0.3172978372966711</v>
      </c>
      <c r="AL50" s="1">
        <v>-0.15006015216949997</v>
      </c>
      <c r="AM50" s="1">
        <v>-0.345169928175869</v>
      </c>
      <c r="AN50" s="1">
        <v>-0.32732077501535634</v>
      </c>
      <c r="AO50" s="1">
        <v>-8.9781423971703037E-2</v>
      </c>
      <c r="AP50" s="1">
        <v>-0.10577842675158138</v>
      </c>
      <c r="AQ50" s="1">
        <v>-8.7841596174821637E-2</v>
      </c>
      <c r="AR50" s="1">
        <v>-0.28983588312531405</v>
      </c>
      <c r="AS50" s="1">
        <v>-7.6114785966782006E-2</v>
      </c>
      <c r="AT50" s="1">
        <v>0.4155890822361098</v>
      </c>
      <c r="AU50" s="1">
        <v>-1.4447106801160689E-2</v>
      </c>
      <c r="AV50" s="1">
        <v>-0.26112825818516722</v>
      </c>
      <c r="AW50" s="1">
        <v>0.82174910488386099</v>
      </c>
      <c r="AX50" s="1">
        <v>1</v>
      </c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</row>
    <row r="51" spans="1:85" x14ac:dyDescent="0.55000000000000004">
      <c r="A51" s="1" t="s">
        <v>56</v>
      </c>
      <c r="B51" s="1">
        <v>-0.46382227010848182</v>
      </c>
      <c r="C51" s="1">
        <v>-0.47281055893693474</v>
      </c>
      <c r="D51" s="1">
        <v>-0.32870443217208833</v>
      </c>
      <c r="E51" s="1">
        <v>-9.2761566943600771E-2</v>
      </c>
      <c r="F51" s="1">
        <v>-0.37556711085092864</v>
      </c>
      <c r="G51" s="1">
        <v>-6.62655494438322E-2</v>
      </c>
      <c r="H51" s="1">
        <v>-8.4922218834467086E-2</v>
      </c>
      <c r="I51" s="1">
        <v>-9.1707588457114644E-2</v>
      </c>
      <c r="J51" s="1">
        <v>-0.26961513658977088</v>
      </c>
      <c r="K51" s="1">
        <v>-0.32519394952622238</v>
      </c>
      <c r="L51" s="1">
        <v>-0.30721476151103833</v>
      </c>
      <c r="M51" s="1">
        <v>-0.25720730664945912</v>
      </c>
      <c r="N51" s="1">
        <v>-0.30406600358663022</v>
      </c>
      <c r="O51" s="1">
        <v>-0.25112625462386351</v>
      </c>
      <c r="P51" s="1">
        <v>-0.36321531963023834</v>
      </c>
      <c r="Q51" s="1">
        <v>-0.12791139350646138</v>
      </c>
      <c r="R51" s="1">
        <v>-0.11782419144311065</v>
      </c>
      <c r="S51" s="1">
        <v>-3.995816196089929E-2</v>
      </c>
      <c r="T51" s="1">
        <v>0.2711065195224589</v>
      </c>
      <c r="U51" s="1">
        <v>-0.1644615576833342</v>
      </c>
      <c r="V51" s="1">
        <v>-0.22383193333754015</v>
      </c>
      <c r="W51" s="1">
        <v>-0.22521336199021461</v>
      </c>
      <c r="X51" s="1">
        <v>-0.48039847528219809</v>
      </c>
      <c r="Y51" s="1">
        <v>-0.321190610425301</v>
      </c>
      <c r="Z51" s="1">
        <v>-0.34351909748867626</v>
      </c>
      <c r="AA51" s="1">
        <v>-0.30581284458983099</v>
      </c>
      <c r="AB51" s="1">
        <v>-0.20851573292186137</v>
      </c>
      <c r="AC51" s="1">
        <v>-0.12787419230048924</v>
      </c>
      <c r="AD51" s="1">
        <v>-0.38393989802038458</v>
      </c>
      <c r="AE51" s="1">
        <v>-0.31690776438867602</v>
      </c>
      <c r="AF51" s="1">
        <v>-4.3323024581780768E-4</v>
      </c>
      <c r="AG51" s="1">
        <v>0.38713397309601782</v>
      </c>
      <c r="AH51" s="1">
        <v>-0.32643519862642478</v>
      </c>
      <c r="AI51" s="1">
        <v>-0.29742279446460518</v>
      </c>
      <c r="AJ51" s="1">
        <v>-0.37974923579255537</v>
      </c>
      <c r="AK51" s="1">
        <v>-0.37003372924725242</v>
      </c>
      <c r="AL51" s="1">
        <v>-0.1839300910130682</v>
      </c>
      <c r="AM51" s="1">
        <v>-0.54952108168618519</v>
      </c>
      <c r="AN51" s="1">
        <v>-0.45155841191000951</v>
      </c>
      <c r="AO51" s="1">
        <v>5.8610415744058439E-2</v>
      </c>
      <c r="AP51" s="1">
        <v>-0.127437262933384</v>
      </c>
      <c r="AQ51" s="1">
        <v>-0.1127689289445752</v>
      </c>
      <c r="AR51" s="1">
        <v>-0.33101003153287067</v>
      </c>
      <c r="AS51" s="1">
        <v>-3.125424208284551E-2</v>
      </c>
      <c r="AT51" s="1">
        <v>0.50854542737742237</v>
      </c>
      <c r="AU51" s="1">
        <v>-4.7750022756879472E-2</v>
      </c>
      <c r="AV51" s="1">
        <v>-0.3821047213309392</v>
      </c>
      <c r="AW51" s="1">
        <v>0.89363356071649125</v>
      </c>
      <c r="AX51" s="1">
        <v>0.91807279991382063</v>
      </c>
      <c r="AY51" s="1">
        <v>1</v>
      </c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</row>
    <row r="52" spans="1:85" x14ac:dyDescent="0.55000000000000004">
      <c r="A52" s="1" t="s">
        <v>57</v>
      </c>
      <c r="B52" s="1">
        <v>-0.24565833164077699</v>
      </c>
      <c r="C52" s="1">
        <v>-0.39589751650910554</v>
      </c>
      <c r="D52" s="1">
        <v>-0.11977080869830753</v>
      </c>
      <c r="E52" s="1">
        <v>0.19099875416668938</v>
      </c>
      <c r="F52" s="1">
        <v>-0.16860812147781504</v>
      </c>
      <c r="G52" s="1">
        <v>0.17655358091850026</v>
      </c>
      <c r="H52" s="1">
        <v>0.17883807410758565</v>
      </c>
      <c r="I52" s="1">
        <v>0.2186639429350237</v>
      </c>
      <c r="J52" s="1">
        <v>-0.20952370094934983</v>
      </c>
      <c r="K52" s="1">
        <v>-0.137541913735994</v>
      </c>
      <c r="L52" s="1">
        <v>-7.9676416928071842E-2</v>
      </c>
      <c r="M52" s="1">
        <v>-0.16467243926851688</v>
      </c>
      <c r="N52" s="1">
        <v>-0.20710646449916939</v>
      </c>
      <c r="O52" s="1">
        <v>-0.17451187332933335</v>
      </c>
      <c r="P52" s="1">
        <v>-0.18835290672575758</v>
      </c>
      <c r="Q52" s="1">
        <v>-0.10174336377258128</v>
      </c>
      <c r="R52" s="1">
        <v>-9.6309337879129373E-4</v>
      </c>
      <c r="S52" s="1">
        <v>4.5965881320813279E-2</v>
      </c>
      <c r="T52" s="1">
        <v>0.37639439751497467</v>
      </c>
      <c r="U52" s="1">
        <v>-0.1908711738335738</v>
      </c>
      <c r="V52" s="1">
        <v>-2.9939520774183905E-2</v>
      </c>
      <c r="W52" s="1">
        <v>-6.9793886089873414E-2</v>
      </c>
      <c r="X52" s="1">
        <v>-0.49000086951596994</v>
      </c>
      <c r="Y52" s="1">
        <v>-0.29777795599120932</v>
      </c>
      <c r="Z52" s="1">
        <v>-0.18918379767929425</v>
      </c>
      <c r="AA52" s="1">
        <v>-0.25950347533759027</v>
      </c>
      <c r="AB52" s="1">
        <v>-0.1547374266289574</v>
      </c>
      <c r="AC52" s="1">
        <v>2.9062459055488282E-3</v>
      </c>
      <c r="AD52" s="1">
        <v>-0.18562319710664571</v>
      </c>
      <c r="AE52" s="1">
        <v>-0.31681011878909898</v>
      </c>
      <c r="AF52" s="1">
        <v>0.10533229005936348</v>
      </c>
      <c r="AG52" s="1">
        <v>0.5538632520173068</v>
      </c>
      <c r="AH52" s="1">
        <v>-0.24420832039804027</v>
      </c>
      <c r="AI52" s="1">
        <v>-0.27755421543377468</v>
      </c>
      <c r="AJ52" s="1">
        <v>-0.47523182010166681</v>
      </c>
      <c r="AK52" s="1">
        <v>-0.26481584795436114</v>
      </c>
      <c r="AL52" s="1">
        <v>-3.1479329384992032E-2</v>
      </c>
      <c r="AM52" s="1">
        <v>-0.59857021040426583</v>
      </c>
      <c r="AN52" s="1">
        <v>-0.43264584049505739</v>
      </c>
      <c r="AO52" s="1">
        <v>0.33465896522159694</v>
      </c>
      <c r="AP52" s="1">
        <v>-9.1166402267961161E-2</v>
      </c>
      <c r="AQ52" s="1">
        <v>-5.0573799009805062E-2</v>
      </c>
      <c r="AR52" s="1">
        <v>-0.18410216686426764</v>
      </c>
      <c r="AS52" s="1">
        <v>0.15633871493476079</v>
      </c>
      <c r="AT52" s="1">
        <v>0.46465864703747295</v>
      </c>
      <c r="AU52" s="1">
        <v>0.14787563332483378</v>
      </c>
      <c r="AV52" s="1">
        <v>-0.32164203127712604</v>
      </c>
      <c r="AW52" s="1">
        <v>0.49036866555600606</v>
      </c>
      <c r="AX52" s="1">
        <v>0.32357528151588416</v>
      </c>
      <c r="AY52" s="1">
        <v>0.59022429396946408</v>
      </c>
      <c r="AZ52" s="1">
        <v>1</v>
      </c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</row>
    <row r="53" spans="1:85" x14ac:dyDescent="0.55000000000000004">
      <c r="A53" s="1" t="s">
        <v>58</v>
      </c>
      <c r="B53" s="1">
        <v>0.43779246272904226</v>
      </c>
      <c r="C53" s="1">
        <v>0.16513129594315534</v>
      </c>
      <c r="D53" s="1">
        <v>0.42234995511663204</v>
      </c>
      <c r="E53" s="1">
        <v>0.4795439448615314</v>
      </c>
      <c r="F53" s="1">
        <v>0.46126219855155531</v>
      </c>
      <c r="G53" s="1">
        <v>3.7960881197877688E-2</v>
      </c>
      <c r="H53" s="1">
        <v>0.27985291872125923</v>
      </c>
      <c r="I53" s="1">
        <v>0.41807276235199464</v>
      </c>
      <c r="J53" s="1">
        <v>4.5326633170181423E-2</v>
      </c>
      <c r="K53" s="1">
        <v>0.21204395947582377</v>
      </c>
      <c r="L53" s="1">
        <v>0.31553031353288424</v>
      </c>
      <c r="M53" s="1">
        <v>0.46585685914629288</v>
      </c>
      <c r="N53" s="1">
        <v>0.16359045120914475</v>
      </c>
      <c r="O53" s="1">
        <v>0.36949193519018353</v>
      </c>
      <c r="P53" s="1">
        <v>0.327510386613447</v>
      </c>
      <c r="Q53" s="1">
        <v>0.32448611389525095</v>
      </c>
      <c r="R53" s="1">
        <v>0.5190404632914708</v>
      </c>
      <c r="S53" s="1">
        <v>0.14122101710438531</v>
      </c>
      <c r="T53" s="1">
        <v>0.282078491651026</v>
      </c>
      <c r="U53" s="1">
        <v>-9.4005527661223345E-2</v>
      </c>
      <c r="V53" s="1">
        <v>0.28833683087013734</v>
      </c>
      <c r="W53" s="1">
        <v>-1.6420564660644107E-2</v>
      </c>
      <c r="X53" s="1">
        <v>0.28172463421331095</v>
      </c>
      <c r="Y53" s="1">
        <v>0.47863040749656788</v>
      </c>
      <c r="Z53" s="1">
        <v>0.27718131641594007</v>
      </c>
      <c r="AA53" s="1">
        <v>0.41082319984774662</v>
      </c>
      <c r="AB53" s="1">
        <v>0.14664612897139293</v>
      </c>
      <c r="AC53" s="1">
        <v>0.55164626157621521</v>
      </c>
      <c r="AD53" s="1">
        <v>0.48862317893221746</v>
      </c>
      <c r="AE53" s="1">
        <v>0.46298458114079521</v>
      </c>
      <c r="AF53" s="1">
        <v>0.52394509513698029</v>
      </c>
      <c r="AG53" s="1">
        <v>-0.1666578444344744</v>
      </c>
      <c r="AH53" s="1">
        <v>0.60148841594698599</v>
      </c>
      <c r="AI53" s="1">
        <v>9.1243044191176445E-2</v>
      </c>
      <c r="AJ53" s="1">
        <v>5.0010000660731864E-2</v>
      </c>
      <c r="AK53" s="1">
        <v>0.34196008145830453</v>
      </c>
      <c r="AL53" s="1">
        <v>0.39853333045194267</v>
      </c>
      <c r="AM53" s="1">
        <v>0.24544710812209761</v>
      </c>
      <c r="AN53" s="1">
        <v>0.36008730426318497</v>
      </c>
      <c r="AO53" s="1">
        <v>0.16873245232145787</v>
      </c>
      <c r="AP53" s="1">
        <v>0.36923083140542184</v>
      </c>
      <c r="AQ53" s="1">
        <v>0.199461463519849</v>
      </c>
      <c r="AR53" s="1">
        <v>0.46350978312805913</v>
      </c>
      <c r="AS53" s="1">
        <v>0.3478435065600094</v>
      </c>
      <c r="AT53" s="1">
        <v>0.25316331213788257</v>
      </c>
      <c r="AU53" s="1">
        <v>0.27472088526922472</v>
      </c>
      <c r="AV53" s="1">
        <v>0.3822118594884335</v>
      </c>
      <c r="AW53" s="1">
        <v>-0.12799776814948982</v>
      </c>
      <c r="AX53" s="1">
        <v>-0.15741210985603377</v>
      </c>
      <c r="AY53" s="1">
        <v>-0.14202233149850751</v>
      </c>
      <c r="AZ53" s="1">
        <v>-3.4335698424198841E-2</v>
      </c>
      <c r="BA53" s="1">
        <v>1</v>
      </c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</row>
    <row r="54" spans="1:85" x14ac:dyDescent="0.55000000000000004">
      <c r="A54" s="1" t="s">
        <v>59</v>
      </c>
      <c r="B54" s="1">
        <v>0.24091620103227493</v>
      </c>
      <c r="C54" s="1">
        <v>-3.8627984481208674E-2</v>
      </c>
      <c r="D54" s="1">
        <v>0.3061109989561015</v>
      </c>
      <c r="E54" s="1">
        <v>0.45070556210506962</v>
      </c>
      <c r="F54" s="1">
        <v>0.40136049342178831</v>
      </c>
      <c r="G54" s="1">
        <v>0.30287567429462886</v>
      </c>
      <c r="H54" s="1">
        <v>0.27668350095282962</v>
      </c>
      <c r="I54" s="1">
        <v>0.65139848908186559</v>
      </c>
      <c r="J54" s="1">
        <v>-8.7576913736104781E-2</v>
      </c>
      <c r="K54" s="1">
        <v>-2.4312786881096126E-2</v>
      </c>
      <c r="L54" s="1">
        <v>0.34686704033375354</v>
      </c>
      <c r="M54" s="1">
        <v>0.43066391461512116</v>
      </c>
      <c r="N54" s="1">
        <v>2.8748610284697801E-2</v>
      </c>
      <c r="O54" s="1">
        <v>0.21781901702651946</v>
      </c>
      <c r="P54" s="1">
        <v>0.23326350783452096</v>
      </c>
      <c r="Q54" s="1">
        <v>0.28452408858402045</v>
      </c>
      <c r="R54" s="1">
        <v>0.52123125108970059</v>
      </c>
      <c r="S54" s="1">
        <v>0.16908484558844344</v>
      </c>
      <c r="T54" s="1">
        <v>0.37380009059693808</v>
      </c>
      <c r="U54" s="1">
        <v>3.2897021721871145E-2</v>
      </c>
      <c r="V54" s="1">
        <v>0.12084245654071595</v>
      </c>
      <c r="W54" s="1">
        <v>6.904414937408393E-2</v>
      </c>
      <c r="X54" s="1">
        <v>-9.5300198674681813E-2</v>
      </c>
      <c r="Y54" s="1">
        <v>0.30988557397910982</v>
      </c>
      <c r="Z54" s="1">
        <v>0.1283260947837026</v>
      </c>
      <c r="AA54" s="1">
        <v>7.1523593399995519E-2</v>
      </c>
      <c r="AB54" s="1">
        <v>3.6072780017840471E-2</v>
      </c>
      <c r="AC54" s="1">
        <v>0.64404993379379194</v>
      </c>
      <c r="AD54" s="1">
        <v>0.34690334558872093</v>
      </c>
      <c r="AE54" s="1">
        <v>0.37256465092448177</v>
      </c>
      <c r="AF54" s="1">
        <v>0.48833121797192069</v>
      </c>
      <c r="AG54" s="1">
        <v>2.8622039113020095E-2</v>
      </c>
      <c r="AH54" s="1">
        <v>0.57102461430065998</v>
      </c>
      <c r="AI54" s="1">
        <v>-0.22833486336629275</v>
      </c>
      <c r="AJ54" s="1">
        <v>-0.3444112466252307</v>
      </c>
      <c r="AK54" s="1">
        <v>8.2434027878628385E-2</v>
      </c>
      <c r="AL54" s="1">
        <v>0.27705251630374389</v>
      </c>
      <c r="AM54" s="1">
        <v>-0.15917506467408374</v>
      </c>
      <c r="AN54" s="1">
        <v>0.19631784650371198</v>
      </c>
      <c r="AO54" s="1">
        <v>0.44152379288080684</v>
      </c>
      <c r="AP54" s="1">
        <v>0.50023832501963672</v>
      </c>
      <c r="AQ54" s="1">
        <v>0.22263529175921948</v>
      </c>
      <c r="AR54" s="1">
        <v>0.25141583985066657</v>
      </c>
      <c r="AS54" s="1">
        <v>0.4155421570799232</v>
      </c>
      <c r="AT54" s="1">
        <v>0.34760482431742129</v>
      </c>
      <c r="AU54" s="1">
        <v>0.20160894558410788</v>
      </c>
      <c r="AV54" s="1">
        <v>2.0977271478753043E-2</v>
      </c>
      <c r="AW54" s="1">
        <v>0.12850820025349377</v>
      </c>
      <c r="AX54" s="1">
        <v>-1.5950150939020098E-2</v>
      </c>
      <c r="AY54" s="1">
        <v>7.607101690706855E-2</v>
      </c>
      <c r="AZ54" s="1">
        <v>0.15845989590037951</v>
      </c>
      <c r="BA54" s="1">
        <v>0.61386892291052308</v>
      </c>
      <c r="BB54" s="1">
        <v>1</v>
      </c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</row>
    <row r="55" spans="1:85" x14ac:dyDescent="0.55000000000000004">
      <c r="A55" s="1" t="s">
        <v>60</v>
      </c>
      <c r="B55" s="1">
        <v>0.57713170728206487</v>
      </c>
      <c r="C55" s="1">
        <v>0.45197524076319157</v>
      </c>
      <c r="D55" s="1">
        <v>0.51852276283488841</v>
      </c>
      <c r="E55" s="1">
        <v>0.31626289621838466</v>
      </c>
      <c r="F55" s="1">
        <v>0.61221755302863257</v>
      </c>
      <c r="G55" s="1">
        <v>2.1913472957121472E-2</v>
      </c>
      <c r="H55" s="1">
        <v>0.13299164710839095</v>
      </c>
      <c r="I55" s="1">
        <v>0.44581176347587548</v>
      </c>
      <c r="J55" s="1">
        <v>5.5661715812908533E-2</v>
      </c>
      <c r="K55" s="1">
        <v>0.45060881335578479</v>
      </c>
      <c r="L55" s="1">
        <v>0.46390026762656172</v>
      </c>
      <c r="M55" s="1">
        <v>0.48228140533740027</v>
      </c>
      <c r="N55" s="1">
        <v>0.37693061750608076</v>
      </c>
      <c r="O55" s="1">
        <v>0.40612074163590345</v>
      </c>
      <c r="P55" s="1">
        <v>0.70799779594072387</v>
      </c>
      <c r="Q55" s="1">
        <v>0.3267065766789693</v>
      </c>
      <c r="R55" s="1">
        <v>0.30827368792691262</v>
      </c>
      <c r="S55" s="1">
        <v>0.17832111400555287</v>
      </c>
      <c r="T55" s="1">
        <v>2.5673228116475055E-2</v>
      </c>
      <c r="U55" s="1">
        <v>0.17127293113279901</v>
      </c>
      <c r="V55" s="1">
        <v>0.16475975134619045</v>
      </c>
      <c r="W55" s="1">
        <v>0.32145871108789209</v>
      </c>
      <c r="X55" s="1">
        <v>0.41424728362884394</v>
      </c>
      <c r="Y55" s="1">
        <v>0.43488781844277152</v>
      </c>
      <c r="Z55" s="1">
        <v>0.47758319559852969</v>
      </c>
      <c r="AA55" s="1">
        <v>0.39155774553463607</v>
      </c>
      <c r="AB55" s="1">
        <v>-3.0477708960743619E-2</v>
      </c>
      <c r="AC55" s="1">
        <v>0.43610041346433348</v>
      </c>
      <c r="AD55" s="1">
        <v>0.61815215010438551</v>
      </c>
      <c r="AE55" s="1">
        <v>0.26711195038663332</v>
      </c>
      <c r="AF55" s="1">
        <v>0.295184879024179</v>
      </c>
      <c r="AG55" s="1">
        <v>-0.41613877888239326</v>
      </c>
      <c r="AH55" s="1">
        <v>0.56647352609821644</v>
      </c>
      <c r="AI55" s="1">
        <v>0.39419218278861273</v>
      </c>
      <c r="AJ55" s="1">
        <v>0.3395297543861826</v>
      </c>
      <c r="AK55" s="1">
        <v>0.44877456803658139</v>
      </c>
      <c r="AL55" s="1">
        <v>0.31840692026046757</v>
      </c>
      <c r="AM55" s="1">
        <v>0.40923056005949654</v>
      </c>
      <c r="AN55" s="1">
        <v>0.36239737078009221</v>
      </c>
      <c r="AO55" s="1">
        <v>8.4066074119855269E-2</v>
      </c>
      <c r="AP55" s="1">
        <v>0.36856623024926594</v>
      </c>
      <c r="AQ55" s="1">
        <v>0.24972258025275354</v>
      </c>
      <c r="AR55" s="1">
        <v>0.55133412516222402</v>
      </c>
      <c r="AS55" s="1">
        <v>0.2637599584312964</v>
      </c>
      <c r="AT55" s="1">
        <v>3.7608110750571338E-4</v>
      </c>
      <c r="AU55" s="1">
        <v>0.21660388970511266</v>
      </c>
      <c r="AV55" s="1">
        <v>0.41007528129138043</v>
      </c>
      <c r="AW55" s="1">
        <v>-0.38355731199048249</v>
      </c>
      <c r="AX55" s="1">
        <v>-0.25466782603233074</v>
      </c>
      <c r="AY55" s="1">
        <v>-0.36887672584557274</v>
      </c>
      <c r="AZ55" s="1">
        <v>-0.3281227144598412</v>
      </c>
      <c r="BA55" s="1">
        <v>0.43595191088186624</v>
      </c>
      <c r="BB55" s="1">
        <v>0.31312776442065549</v>
      </c>
      <c r="BC55" s="1">
        <v>1</v>
      </c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</row>
    <row r="56" spans="1:85" x14ac:dyDescent="0.55000000000000004">
      <c r="A56" s="1" t="s">
        <v>61</v>
      </c>
      <c r="B56" s="1">
        <v>0.33830064660596643</v>
      </c>
      <c r="C56" s="1">
        <v>2.4812309484323693E-2</v>
      </c>
      <c r="D56" s="1">
        <v>0.36934848009831989</v>
      </c>
      <c r="E56" s="1">
        <v>0.64333143692362982</v>
      </c>
      <c r="F56" s="1">
        <v>0.49982841088494095</v>
      </c>
      <c r="G56" s="1">
        <v>0.31511420663109901</v>
      </c>
      <c r="H56" s="1">
        <v>0.42123751428061385</v>
      </c>
      <c r="I56" s="1">
        <v>0.58406982387682393</v>
      </c>
      <c r="J56" s="1">
        <v>0.15096009315254874</v>
      </c>
      <c r="K56" s="1">
        <v>0.17674564693289474</v>
      </c>
      <c r="L56" s="1">
        <v>0.56804666233403522</v>
      </c>
      <c r="M56" s="1">
        <v>0.35216239566463564</v>
      </c>
      <c r="N56" s="1">
        <v>0.13969180849100019</v>
      </c>
      <c r="O56" s="1">
        <v>0.38247172105046801</v>
      </c>
      <c r="P56" s="1">
        <v>0.47535595656078589</v>
      </c>
      <c r="Q56" s="1">
        <v>0.46269099222961502</v>
      </c>
      <c r="R56" s="1">
        <v>0.61665737188426628</v>
      </c>
      <c r="S56" s="1">
        <v>1.2250659368851016E-2</v>
      </c>
      <c r="T56" s="1">
        <v>0.30802618253815783</v>
      </c>
      <c r="U56" s="1">
        <v>-3.5397318230656276E-2</v>
      </c>
      <c r="V56" s="1">
        <v>0.15629752620633475</v>
      </c>
      <c r="W56" s="1">
        <v>6.336016302887687E-2</v>
      </c>
      <c r="X56" s="1">
        <v>5.6673774782839406E-3</v>
      </c>
      <c r="Y56" s="1">
        <v>0.42280882295320915</v>
      </c>
      <c r="Z56" s="1">
        <v>0.26182713976175198</v>
      </c>
      <c r="AA56" s="1">
        <v>0.14915775215129026</v>
      </c>
      <c r="AB56" s="1">
        <v>-3.3646537027648797E-2</v>
      </c>
      <c r="AC56" s="1">
        <v>0.72296733314548567</v>
      </c>
      <c r="AD56" s="1">
        <v>0.45493458373433154</v>
      </c>
      <c r="AE56" s="1">
        <v>0.23195130169817854</v>
      </c>
      <c r="AF56" s="1">
        <v>0.49025619765427969</v>
      </c>
      <c r="AG56" s="1">
        <v>-6.4296784867229145E-2</v>
      </c>
      <c r="AH56" s="1">
        <v>0.63920407111554356</v>
      </c>
      <c r="AI56" s="1">
        <v>-1.0810085526653929E-2</v>
      </c>
      <c r="AJ56" s="1">
        <v>-8.8696481640033645E-2</v>
      </c>
      <c r="AK56" s="1">
        <v>0.30795448035699013</v>
      </c>
      <c r="AL56" s="1">
        <v>0.37564623978000417</v>
      </c>
      <c r="AM56" s="1">
        <v>9.6706476182645704E-2</v>
      </c>
      <c r="AN56" s="1">
        <v>0.34720087218041618</v>
      </c>
      <c r="AO56" s="1">
        <v>0.48219265005296619</v>
      </c>
      <c r="AP56" s="1">
        <v>0.48625223216233543</v>
      </c>
      <c r="AQ56" s="1">
        <v>0.39963641436282898</v>
      </c>
      <c r="AR56" s="1">
        <v>0.33855672804420672</v>
      </c>
      <c r="AS56" s="1">
        <v>0.37201799120902257</v>
      </c>
      <c r="AT56" s="1">
        <v>0.23416292635529551</v>
      </c>
      <c r="AU56" s="1">
        <v>0.24775578602133164</v>
      </c>
      <c r="AV56" s="1">
        <v>0.13919663318668635</v>
      </c>
      <c r="AW56" s="1">
        <v>-8.0170800585192492E-2</v>
      </c>
      <c r="AX56" s="1">
        <v>-8.1965344142679114E-2</v>
      </c>
      <c r="AY56" s="1">
        <v>-7.7474533402535753E-2</v>
      </c>
      <c r="AZ56" s="1">
        <v>1.3839740737337781E-2</v>
      </c>
      <c r="BA56" s="1">
        <v>0.57314576852371735</v>
      </c>
      <c r="BB56" s="1">
        <v>0.73235180828287194</v>
      </c>
      <c r="BC56" s="1">
        <v>0.55905434496389861</v>
      </c>
      <c r="BD56" s="1">
        <v>1</v>
      </c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</row>
    <row r="57" spans="1:85" x14ac:dyDescent="0.55000000000000004">
      <c r="A57" s="1" t="s">
        <v>62</v>
      </c>
      <c r="B57" s="1">
        <v>0.46378593310980515</v>
      </c>
      <c r="C57" s="1">
        <v>0.17670927830470728</v>
      </c>
      <c r="D57" s="1">
        <v>0.36836341327948113</v>
      </c>
      <c r="E57" s="1">
        <v>0.36185457010062227</v>
      </c>
      <c r="F57" s="1">
        <v>0.55014697459941131</v>
      </c>
      <c r="G57" s="1">
        <v>0.12594176230096182</v>
      </c>
      <c r="H57" s="1">
        <v>0.13457370113449821</v>
      </c>
      <c r="I57" s="1">
        <v>0.67098839242255759</v>
      </c>
      <c r="J57" s="1">
        <v>-9.1220648938914364E-2</v>
      </c>
      <c r="K57" s="1">
        <v>0.18973907457439393</v>
      </c>
      <c r="L57" s="1">
        <v>0.40251730802048841</v>
      </c>
      <c r="M57" s="1">
        <v>0.50765528430569618</v>
      </c>
      <c r="N57" s="1">
        <v>0.2357139402407003</v>
      </c>
      <c r="O57" s="1">
        <v>0.30743269261591188</v>
      </c>
      <c r="P57" s="1">
        <v>0.48577095488709221</v>
      </c>
      <c r="Q57" s="1">
        <v>0.35446973135878257</v>
      </c>
      <c r="R57" s="1">
        <v>0.51808114340538625</v>
      </c>
      <c r="S57" s="1">
        <v>0.24152184274449795</v>
      </c>
      <c r="T57" s="1">
        <v>0.2067101472703258</v>
      </c>
      <c r="U57" s="1">
        <v>4.8547068431468686E-2</v>
      </c>
      <c r="V57" s="1">
        <v>0.2041561447114395</v>
      </c>
      <c r="W57" s="1">
        <v>0.32050857383058312</v>
      </c>
      <c r="X57" s="1">
        <v>0.31274800263045449</v>
      </c>
      <c r="Y57" s="1">
        <v>0.40692699919914088</v>
      </c>
      <c r="Z57" s="1">
        <v>0.28075371333553151</v>
      </c>
      <c r="AA57" s="1">
        <v>0.31637557047537596</v>
      </c>
      <c r="AB57" s="1">
        <v>0.19459783520777554</v>
      </c>
      <c r="AC57" s="1">
        <v>0.68656714691437504</v>
      </c>
      <c r="AD57" s="1">
        <v>0.62932900357667299</v>
      </c>
      <c r="AE57" s="1">
        <v>0.40951865141745275</v>
      </c>
      <c r="AF57" s="1">
        <v>0.61146136195678902</v>
      </c>
      <c r="AG57" s="1">
        <v>-0.28708494065945411</v>
      </c>
      <c r="AH57" s="1">
        <v>0.74560715247256004</v>
      </c>
      <c r="AI57" s="1">
        <v>0.13492848720337869</v>
      </c>
      <c r="AJ57" s="1">
        <v>-4.5933783934972621E-3</v>
      </c>
      <c r="AK57" s="1">
        <v>0.37986336942381388</v>
      </c>
      <c r="AL57" s="1">
        <v>0.48702662078963949</v>
      </c>
      <c r="AM57" s="1">
        <v>0.31362366460000463</v>
      </c>
      <c r="AN57" s="1">
        <v>0.56047787442739716</v>
      </c>
      <c r="AO57" s="1">
        <v>0.25332557942676237</v>
      </c>
      <c r="AP57" s="1">
        <v>0.64711889608417184</v>
      </c>
      <c r="AQ57" s="1">
        <v>0.35225041609249608</v>
      </c>
      <c r="AR57" s="1">
        <v>0.59829885713837461</v>
      </c>
      <c r="AS57" s="1">
        <v>0.47849451701761447</v>
      </c>
      <c r="AT57" s="1">
        <v>0.28723194936099539</v>
      </c>
      <c r="AU57" s="1">
        <v>0.22987198766111297</v>
      </c>
      <c r="AV57" s="1">
        <v>0.18017457474170859</v>
      </c>
      <c r="AW57" s="1">
        <v>-0.23340759884155246</v>
      </c>
      <c r="AX57" s="1">
        <v>-0.20727009969838631</v>
      </c>
      <c r="AY57" s="1">
        <v>-0.24335143564876777</v>
      </c>
      <c r="AZ57" s="1">
        <v>-0.10859954718587898</v>
      </c>
      <c r="BA57" s="1">
        <v>0.60989738444729413</v>
      </c>
      <c r="BB57" s="1">
        <v>0.58831291275371933</v>
      </c>
      <c r="BC57" s="1">
        <v>0.6929777106668118</v>
      </c>
      <c r="BD57" s="1">
        <v>0.68827972646299596</v>
      </c>
      <c r="BE57" s="1">
        <v>1</v>
      </c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</row>
    <row r="58" spans="1:85" x14ac:dyDescent="0.55000000000000004">
      <c r="A58" s="1" t="s">
        <v>63</v>
      </c>
      <c r="B58" s="1">
        <v>0.25644449063275493</v>
      </c>
      <c r="C58" s="1">
        <v>0.42558920054439597</v>
      </c>
      <c r="D58" s="1">
        <v>0.44137312917576599</v>
      </c>
      <c r="E58" s="1">
        <v>5.0085864986022556E-2</v>
      </c>
      <c r="F58" s="1">
        <v>0.30060005265521833</v>
      </c>
      <c r="G58" s="1">
        <v>3.55435657715297E-2</v>
      </c>
      <c r="H58" s="1">
        <v>-7.0995218614317249E-2</v>
      </c>
      <c r="I58" s="1">
        <v>0.14653721524347532</v>
      </c>
      <c r="J58" s="1">
        <v>-3.895670003829247E-2</v>
      </c>
      <c r="K58" s="1">
        <v>0.20290339513246453</v>
      </c>
      <c r="L58" s="1">
        <v>0.16163268962842237</v>
      </c>
      <c r="M58" s="1">
        <v>0.30285671554939014</v>
      </c>
      <c r="N58" s="1">
        <v>0.32070122419753355</v>
      </c>
      <c r="O58" s="1">
        <v>0.31060568876186384</v>
      </c>
      <c r="P58" s="1">
        <v>0.38990770967844712</v>
      </c>
      <c r="Q58" s="1">
        <v>5.7827714771434724E-2</v>
      </c>
      <c r="R58" s="1">
        <v>-0.15893774455092824</v>
      </c>
      <c r="S58" s="1">
        <v>7.4224460867555908E-2</v>
      </c>
      <c r="T58" s="1">
        <v>-0.13729674994644403</v>
      </c>
      <c r="U58" s="1">
        <v>9.2203553980062927E-2</v>
      </c>
      <c r="V58" s="1">
        <v>0.13041789868340978</v>
      </c>
      <c r="W58" s="1">
        <v>0.12541109580681498</v>
      </c>
      <c r="X58" s="1">
        <v>0.25327770256860233</v>
      </c>
      <c r="Y58" s="1">
        <v>0.2859332851365638</v>
      </c>
      <c r="Z58" s="1">
        <v>0.28818134435835135</v>
      </c>
      <c r="AA58" s="1">
        <v>0.34976531829780994</v>
      </c>
      <c r="AB58" s="1">
        <v>-4.3503660633278637E-2</v>
      </c>
      <c r="AC58" s="1">
        <v>-2.9633988357259288E-2</v>
      </c>
      <c r="AD58" s="1">
        <v>0.21690634384433705</v>
      </c>
      <c r="AE58" s="1">
        <v>7.3803765187217249E-2</v>
      </c>
      <c r="AF58" s="1">
        <v>-9.5054995455451083E-2</v>
      </c>
      <c r="AG58" s="1">
        <v>-0.31121550354241467</v>
      </c>
      <c r="AH58" s="1">
        <v>0.13826553506159139</v>
      </c>
      <c r="AI58" s="1">
        <v>0.34476347341986557</v>
      </c>
      <c r="AJ58" s="1">
        <v>0.38711978554930765</v>
      </c>
      <c r="AK58" s="1">
        <v>9.2400125177588555E-2</v>
      </c>
      <c r="AL58" s="1">
        <v>7.0525906426513268E-2</v>
      </c>
      <c r="AM58" s="1">
        <v>0.24729231060940507</v>
      </c>
      <c r="AN58" s="1">
        <v>8.8029678054874202E-2</v>
      </c>
      <c r="AO58" s="1">
        <v>9.2564735453807834E-2</v>
      </c>
      <c r="AP58" s="1">
        <v>5.5863819827519562E-2</v>
      </c>
      <c r="AQ58" s="1">
        <v>5.329429101413409E-2</v>
      </c>
      <c r="AR58" s="1">
        <v>0.28687656041473431</v>
      </c>
      <c r="AS58" s="1">
        <v>8.6084131240234424E-2</v>
      </c>
      <c r="AT58" s="1">
        <v>-0.11624373331283812</v>
      </c>
      <c r="AU58" s="1">
        <v>0.1842965294959869</v>
      </c>
      <c r="AV58" s="1">
        <v>0.45499209790140227</v>
      </c>
      <c r="AW58" s="1">
        <v>-0.19791806809651696</v>
      </c>
      <c r="AX58" s="1">
        <v>1.3608246850311898E-2</v>
      </c>
      <c r="AY58" s="1">
        <v>-0.1095329192295538</v>
      </c>
      <c r="AZ58" s="1">
        <v>-0.20095592679923757</v>
      </c>
      <c r="BA58" s="1">
        <v>0.11484400289429715</v>
      </c>
      <c r="BB58" s="1">
        <v>-2.41206054795855E-2</v>
      </c>
      <c r="BC58" s="1">
        <v>0.62798624520379498</v>
      </c>
      <c r="BD58" s="1">
        <v>0.18729056730926177</v>
      </c>
      <c r="BE58" s="1">
        <v>0.20628154374234642</v>
      </c>
      <c r="BF58" s="1">
        <v>1</v>
      </c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</row>
    <row r="59" spans="1:85" x14ac:dyDescent="0.55000000000000004">
      <c r="A59" s="1" t="s">
        <v>64</v>
      </c>
      <c r="B59" s="1">
        <v>-0.12012496068049971</v>
      </c>
      <c r="C59" s="1">
        <v>-0.32200648771787971</v>
      </c>
      <c r="D59" s="1">
        <v>9.9867996704011128E-2</v>
      </c>
      <c r="E59" s="1">
        <v>0.22711124785719325</v>
      </c>
      <c r="F59" s="1">
        <v>-6.8033278322691742E-3</v>
      </c>
      <c r="G59" s="1">
        <v>0.28338581571018007</v>
      </c>
      <c r="H59" s="1">
        <v>0.15405201663706142</v>
      </c>
      <c r="I59" s="1">
        <v>0.28117965738548356</v>
      </c>
      <c r="J59" s="1">
        <v>-0.22126845088390562</v>
      </c>
      <c r="K59" s="1">
        <v>-5.8804990545604938E-2</v>
      </c>
      <c r="L59" s="1">
        <v>7.126594158432234E-2</v>
      </c>
      <c r="M59" s="1">
        <v>-3.6294832042490656E-2</v>
      </c>
      <c r="N59" s="1">
        <v>-0.11878519848154616</v>
      </c>
      <c r="O59" s="1">
        <v>-0.10643050004411603</v>
      </c>
      <c r="P59" s="1">
        <v>-8.3628399401608391E-2</v>
      </c>
      <c r="Q59" s="1">
        <v>-0.12122623552685838</v>
      </c>
      <c r="R59" s="1">
        <v>0.11006694375482123</v>
      </c>
      <c r="S59" s="1">
        <v>0.10582607418599008</v>
      </c>
      <c r="T59" s="1">
        <v>0.48098325040743772</v>
      </c>
      <c r="U59" s="1">
        <v>-0.11235138269899551</v>
      </c>
      <c r="V59" s="1">
        <v>0.12286943786363644</v>
      </c>
      <c r="W59" s="1">
        <v>0.12414991367201926</v>
      </c>
      <c r="X59" s="1">
        <v>-0.33014975638513394</v>
      </c>
      <c r="Y59" s="1">
        <v>-0.1806761174504212</v>
      </c>
      <c r="Z59" s="1">
        <v>-6.219114204508451E-2</v>
      </c>
      <c r="AA59" s="1">
        <v>-0.13897363851118436</v>
      </c>
      <c r="AB59" s="1">
        <v>-8.4009547499614576E-2</v>
      </c>
      <c r="AC59" s="1">
        <v>0.16440293596465277</v>
      </c>
      <c r="AD59" s="1">
        <v>-3.9833315132535671E-2</v>
      </c>
      <c r="AE59" s="1">
        <v>-0.16799685638896963</v>
      </c>
      <c r="AF59" s="1">
        <v>0.2832040605940892</v>
      </c>
      <c r="AG59" s="1">
        <v>0.44158125364980438</v>
      </c>
      <c r="AH59" s="1">
        <v>-0.11062771714027038</v>
      </c>
      <c r="AI59" s="1">
        <v>-0.15476057241932537</v>
      </c>
      <c r="AJ59" s="1">
        <v>-0.34185102464972567</v>
      </c>
      <c r="AK59" s="1">
        <v>-0.11350915762352107</v>
      </c>
      <c r="AL59" s="1">
        <v>-0.10979582892104882</v>
      </c>
      <c r="AM59" s="1">
        <v>-0.40771275141686519</v>
      </c>
      <c r="AN59" s="1">
        <v>-0.28533532205385642</v>
      </c>
      <c r="AO59" s="1">
        <v>0.21388476580284907</v>
      </c>
      <c r="AP59" s="1">
        <v>-1.0484039116862505E-2</v>
      </c>
      <c r="AQ59" s="1">
        <v>-5.4845164733684938E-3</v>
      </c>
      <c r="AR59" s="1">
        <v>-5.197405889128083E-2</v>
      </c>
      <c r="AS59" s="1">
        <v>9.8161444779779658E-2</v>
      </c>
      <c r="AT59" s="1">
        <v>0.26513452164869777</v>
      </c>
      <c r="AU59" s="1">
        <v>1.3410540063254272E-2</v>
      </c>
      <c r="AV59" s="1">
        <v>-0.19127613707582539</v>
      </c>
      <c r="AW59" s="1">
        <v>0.2863072152679616</v>
      </c>
      <c r="AX59" s="1">
        <v>-3.6226022592018817E-3</v>
      </c>
      <c r="AY59" s="1">
        <v>0.24000814326677089</v>
      </c>
      <c r="AZ59" s="1">
        <v>0.43528433549075213</v>
      </c>
      <c r="BA59" s="1">
        <v>-2.5674136408809525E-2</v>
      </c>
      <c r="BB59" s="1">
        <v>0.29996578345172681</v>
      </c>
      <c r="BC59" s="1">
        <v>-0.1109404821390215</v>
      </c>
      <c r="BD59" s="1">
        <v>5.3634826091599135E-2</v>
      </c>
      <c r="BE59" s="1">
        <v>2.8668206808611332E-2</v>
      </c>
      <c r="BF59" s="1">
        <v>-9.0034643513040247E-2</v>
      </c>
      <c r="BG59" s="1">
        <v>1</v>
      </c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</row>
    <row r="60" spans="1:85" x14ac:dyDescent="0.55000000000000004">
      <c r="A60" s="1" t="s">
        <v>65</v>
      </c>
      <c r="B60" s="1">
        <v>1.0796973721725082E-2</v>
      </c>
      <c r="C60" s="1">
        <v>-0.19509318101681664</v>
      </c>
      <c r="D60" s="1">
        <v>4.1726030385944815E-2</v>
      </c>
      <c r="E60" s="1">
        <v>9.7827050186791414E-2</v>
      </c>
      <c r="F60" s="1">
        <v>-5.2515042150240485E-2</v>
      </c>
      <c r="G60" s="1">
        <v>0.17415556544902591</v>
      </c>
      <c r="H60" s="1">
        <v>4.6681805139880413E-2</v>
      </c>
      <c r="I60" s="1">
        <v>6.0917908625432796E-2</v>
      </c>
      <c r="J60" s="1">
        <v>-1.764342791869818E-2</v>
      </c>
      <c r="K60" s="1">
        <v>-6.7248378294462383E-2</v>
      </c>
      <c r="L60" s="1">
        <v>-9.5621644334159123E-3</v>
      </c>
      <c r="M60" s="1">
        <v>-9.411074204508009E-2</v>
      </c>
      <c r="N60" s="1">
        <v>-0.14636807610989896</v>
      </c>
      <c r="O60" s="1">
        <v>-0.1971950923899001</v>
      </c>
      <c r="P60" s="1">
        <v>-4.0159718236644618E-2</v>
      </c>
      <c r="Q60" s="1">
        <v>-0.10622075303727241</v>
      </c>
      <c r="R60" s="1">
        <v>-8.8752650358516913E-2</v>
      </c>
      <c r="S60" s="1">
        <v>8.5661813794375319E-2</v>
      </c>
      <c r="T60" s="1">
        <v>0.2898929931424174</v>
      </c>
      <c r="U60" s="1">
        <v>0.24771749582462826</v>
      </c>
      <c r="V60" s="1">
        <v>3.2705343954392341E-2</v>
      </c>
      <c r="W60" s="1">
        <v>0.12852914729716139</v>
      </c>
      <c r="X60" s="1">
        <v>-0.2130164204391195</v>
      </c>
      <c r="Y60" s="1">
        <v>-5.6099544107031551E-2</v>
      </c>
      <c r="Z60" s="1">
        <v>-5.0190677336339494E-2</v>
      </c>
      <c r="AA60" s="1">
        <v>-1.5094304328205545E-2</v>
      </c>
      <c r="AB60" s="1">
        <v>-2.4192558270343029E-2</v>
      </c>
      <c r="AC60" s="1">
        <v>2.784710029635078E-2</v>
      </c>
      <c r="AD60" s="1">
        <v>-0.10277891756232499</v>
      </c>
      <c r="AE60" s="1">
        <v>-0.24656189054380698</v>
      </c>
      <c r="AF60" s="1">
        <v>0.22527193985863914</v>
      </c>
      <c r="AG60" s="1">
        <v>0.18644469703660385</v>
      </c>
      <c r="AH60" s="1">
        <v>-0.16195157782760569</v>
      </c>
      <c r="AI60" s="1">
        <v>3.2573429934981843E-2</v>
      </c>
      <c r="AJ60" s="1">
        <v>-0.15665744564205891</v>
      </c>
      <c r="AK60" s="1">
        <v>2.8509048146638443E-2</v>
      </c>
      <c r="AL60" s="1">
        <v>-9.0414112998500551E-2</v>
      </c>
      <c r="AM60" s="1">
        <v>-0.13923796570542271</v>
      </c>
      <c r="AN60" s="1">
        <v>-0.23185852601733795</v>
      </c>
      <c r="AO60" s="1">
        <v>0.20315006660319909</v>
      </c>
      <c r="AP60" s="1">
        <v>-2.10736878212095E-2</v>
      </c>
      <c r="AQ60" s="1">
        <v>0.10550084326114351</v>
      </c>
      <c r="AR60" s="1">
        <v>-1.6442405710916593E-2</v>
      </c>
      <c r="AS60" s="1">
        <v>0.12187244316214618</v>
      </c>
      <c r="AT60" s="1">
        <v>0.17903186890482933</v>
      </c>
      <c r="AU60" s="1">
        <v>-6.7409606788920232E-2</v>
      </c>
      <c r="AV60" s="1">
        <v>-2.3350700693842395E-2</v>
      </c>
      <c r="AW60" s="1">
        <v>8.1980432724913829E-2</v>
      </c>
      <c r="AX60" s="1">
        <v>-9.4756158183463265E-2</v>
      </c>
      <c r="AY60" s="1">
        <v>7.0879363167762569E-2</v>
      </c>
      <c r="AZ60" s="1">
        <v>0.18783556875465829</v>
      </c>
      <c r="BA60" s="1">
        <v>1.4703361558472563E-2</v>
      </c>
      <c r="BB60" s="1">
        <v>6.7944871249377689E-2</v>
      </c>
      <c r="BC60" s="1">
        <v>-0.1213133952954574</v>
      </c>
      <c r="BD60" s="1">
        <v>-7.0956028598970614E-2</v>
      </c>
      <c r="BE60" s="1">
        <v>-0.10723181123083683</v>
      </c>
      <c r="BF60" s="1">
        <v>-0.14952198139335748</v>
      </c>
      <c r="BG60" s="1">
        <v>0.37420002861318152</v>
      </c>
      <c r="BH60" s="1">
        <v>1</v>
      </c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</row>
    <row r="61" spans="1:85" x14ac:dyDescent="0.55000000000000004">
      <c r="A61" s="1" t="s">
        <v>66</v>
      </c>
      <c r="B61" s="1">
        <v>0.24211536901396377</v>
      </c>
      <c r="C61" s="1">
        <v>0.20508945359463368</v>
      </c>
      <c r="D61" s="1">
        <v>0.36775048926409187</v>
      </c>
      <c r="E61" s="1">
        <v>0.44029320668285776</v>
      </c>
      <c r="F61" s="1">
        <v>0.34219625418422195</v>
      </c>
      <c r="G61" s="1">
        <v>0.13035750440371763</v>
      </c>
      <c r="H61" s="1">
        <v>0.2357609581192176</v>
      </c>
      <c r="I61" s="1">
        <v>0.15633390149416126</v>
      </c>
      <c r="J61" s="1">
        <v>0.23890847382704222</v>
      </c>
      <c r="K61" s="1">
        <v>0.39621271250580747</v>
      </c>
      <c r="L61" s="1">
        <v>0.59734083076521938</v>
      </c>
      <c r="M61" s="1">
        <v>0.22812563440923631</v>
      </c>
      <c r="N61" s="1">
        <v>0.33337880911557449</v>
      </c>
      <c r="O61" s="1">
        <v>0.45311183682509576</v>
      </c>
      <c r="P61" s="1">
        <v>0.483738776205141</v>
      </c>
      <c r="Q61" s="1">
        <v>0.30204675391935859</v>
      </c>
      <c r="R61" s="1">
        <v>0.33360531898411194</v>
      </c>
      <c r="S61" s="1">
        <v>0.26381833406938759</v>
      </c>
      <c r="T61" s="1">
        <v>0.2389274951818216</v>
      </c>
      <c r="U61" s="1">
        <v>6.2299599832903133E-2</v>
      </c>
      <c r="V61" s="1">
        <v>0.21215752266569576</v>
      </c>
      <c r="W61" s="1">
        <v>0.16251403518788798</v>
      </c>
      <c r="X61" s="1">
        <v>0.19078200766677697</v>
      </c>
      <c r="Y61" s="1">
        <v>0.27389987010066041</v>
      </c>
      <c r="Z61" s="1">
        <v>0.47477234123250117</v>
      </c>
      <c r="AA61" s="1">
        <v>0.41329441564929847</v>
      </c>
      <c r="AB61" s="1">
        <v>9.8964112408319801E-2</v>
      </c>
      <c r="AC61" s="1">
        <v>0.40660879717206228</v>
      </c>
      <c r="AD61" s="1">
        <v>0.44184148137363521</v>
      </c>
      <c r="AE61" s="1">
        <v>6.5417974756115022E-2</v>
      </c>
      <c r="AF61" s="1">
        <v>0.28128283131310083</v>
      </c>
      <c r="AG61" s="1">
        <v>-0.2066337521947913</v>
      </c>
      <c r="AH61" s="1">
        <v>0.1728041571127692</v>
      </c>
      <c r="AI61" s="1">
        <v>0.26314086651331647</v>
      </c>
      <c r="AJ61" s="1">
        <v>0.24307837904764165</v>
      </c>
      <c r="AK61" s="1">
        <v>0.56443609832468811</v>
      </c>
      <c r="AL61" s="1">
        <v>0.38014588585598003</v>
      </c>
      <c r="AM61" s="1">
        <v>0.23603210748492046</v>
      </c>
      <c r="AN61" s="1">
        <v>0.11176865525800363</v>
      </c>
      <c r="AO61" s="1">
        <v>6.6109103269911443E-2</v>
      </c>
      <c r="AP61" s="1">
        <v>-5.5292998148551882E-2</v>
      </c>
      <c r="AQ61" s="1">
        <v>0.10067946380133064</v>
      </c>
      <c r="AR61" s="1">
        <v>0.24495335693589521</v>
      </c>
      <c r="AS61" s="1">
        <v>0.28711376730550375</v>
      </c>
      <c r="AT61" s="1">
        <v>0.14895913905619981</v>
      </c>
      <c r="AU61" s="1">
        <v>0.34518771701940443</v>
      </c>
      <c r="AV61" s="1">
        <v>0.13709202025808476</v>
      </c>
      <c r="AW61" s="1">
        <v>-5.6511994255935422E-2</v>
      </c>
      <c r="AX61" s="1">
        <v>2.8912160624819879E-2</v>
      </c>
      <c r="AY61" s="1">
        <v>-3.3167847776059987E-2</v>
      </c>
      <c r="AZ61" s="1">
        <v>-0.16825300807169347</v>
      </c>
      <c r="BA61" s="1">
        <v>0.24174376159372388</v>
      </c>
      <c r="BB61" s="1">
        <v>9.3260325683141188E-2</v>
      </c>
      <c r="BC61" s="1">
        <v>0.36924045552323959</v>
      </c>
      <c r="BD61" s="1">
        <v>0.26224085842255651</v>
      </c>
      <c r="BE61" s="1">
        <v>0.19285754422776516</v>
      </c>
      <c r="BF61" s="1">
        <v>0.29462881322922335</v>
      </c>
      <c r="BG61" s="1">
        <v>0.10872520645754261</v>
      </c>
      <c r="BH61" s="1">
        <v>0.11207821384234629</v>
      </c>
      <c r="BI61" s="1">
        <v>1</v>
      </c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</row>
    <row r="62" spans="1:85" x14ac:dyDescent="0.55000000000000004">
      <c r="A62" s="1" t="s">
        <v>67</v>
      </c>
      <c r="B62" s="1">
        <v>-0.18603728848847098</v>
      </c>
      <c r="C62" s="1">
        <v>-0.51088676318633786</v>
      </c>
      <c r="D62" s="1">
        <v>-0.16692370052776281</v>
      </c>
      <c r="E62" s="1">
        <v>0.16412033517330954</v>
      </c>
      <c r="F62" s="1">
        <v>-0.14368507830365218</v>
      </c>
      <c r="G62" s="1">
        <v>4.852831102952896E-2</v>
      </c>
      <c r="H62" s="1">
        <v>2.8707143646664841E-2</v>
      </c>
      <c r="I62" s="1">
        <v>0.25244595225376165</v>
      </c>
      <c r="J62" s="1">
        <v>-6.5425308598568779E-2</v>
      </c>
      <c r="K62" s="1">
        <v>-0.22926108471828768</v>
      </c>
      <c r="L62" s="1">
        <v>-1.2583968016175092E-2</v>
      </c>
      <c r="M62" s="1">
        <v>5.8417987969276337E-2</v>
      </c>
      <c r="N62" s="1">
        <v>-0.31200255871898563</v>
      </c>
      <c r="O62" s="1">
        <v>-0.13456813084719402</v>
      </c>
      <c r="P62" s="1">
        <v>-8.4492274194702802E-2</v>
      </c>
      <c r="Q62" s="1">
        <v>3.9592090100659255E-2</v>
      </c>
      <c r="R62" s="1">
        <v>0.14293588093915105</v>
      </c>
      <c r="S62" s="1">
        <v>0.15226115565110512</v>
      </c>
      <c r="T62" s="1">
        <v>0.34125172845885077</v>
      </c>
      <c r="U62" s="1">
        <v>-0.20647862344624965</v>
      </c>
      <c r="V62" s="1">
        <v>-4.5523732685074252E-2</v>
      </c>
      <c r="W62" s="1">
        <v>-0.31051632259995721</v>
      </c>
      <c r="X62" s="1">
        <v>-0.54590868129414338</v>
      </c>
      <c r="Y62" s="1">
        <v>-1.8124955252977352E-2</v>
      </c>
      <c r="Z62" s="1">
        <v>-0.22800300192965145</v>
      </c>
      <c r="AA62" s="1">
        <v>-0.31421851515775062</v>
      </c>
      <c r="AB62" s="1">
        <v>-0.28986507636817876</v>
      </c>
      <c r="AC62" s="1">
        <v>0.35152634752872941</v>
      </c>
      <c r="AD62" s="1">
        <v>-2.4888465186842585E-2</v>
      </c>
      <c r="AE62" s="1">
        <v>-3.6214252797110727E-2</v>
      </c>
      <c r="AF62" s="1">
        <v>0.22937747728200994</v>
      </c>
      <c r="AG62" s="1">
        <v>0.25395524644433126</v>
      </c>
      <c r="AH62" s="1">
        <v>0.10277275656178658</v>
      </c>
      <c r="AI62" s="1">
        <v>-0.41428651590993604</v>
      </c>
      <c r="AJ62" s="1">
        <v>-0.54699384737624346</v>
      </c>
      <c r="AK62" s="1">
        <v>-0.35286271638230071</v>
      </c>
      <c r="AL62" s="1">
        <v>-2.3681692830469874E-2</v>
      </c>
      <c r="AM62" s="1">
        <v>-0.50791094125406289</v>
      </c>
      <c r="AN62" s="1">
        <v>-0.13763567507930036</v>
      </c>
      <c r="AO62" s="1">
        <v>0.40584699924195367</v>
      </c>
      <c r="AP62" s="1">
        <v>0.26796418638653968</v>
      </c>
      <c r="AQ62" s="1">
        <v>0.15022680161195742</v>
      </c>
      <c r="AR62" s="1">
        <v>-7.7116501490098924E-2</v>
      </c>
      <c r="AS62" s="1">
        <v>0.29838732499076237</v>
      </c>
      <c r="AT62" s="1">
        <v>0.69839598866385866</v>
      </c>
      <c r="AU62" s="1">
        <v>0.18980242707370273</v>
      </c>
      <c r="AV62" s="1">
        <v>-0.30689202822942846</v>
      </c>
      <c r="AW62" s="1">
        <v>0.61000723473405327</v>
      </c>
      <c r="AX62" s="1">
        <v>0.50585420050201479</v>
      </c>
      <c r="AY62" s="1">
        <v>0.60074645868471088</v>
      </c>
      <c r="AZ62" s="1">
        <v>0.45591920320338325</v>
      </c>
      <c r="BA62" s="1">
        <v>0.1900612847301861</v>
      </c>
      <c r="BB62" s="1">
        <v>0.44637104330916577</v>
      </c>
      <c r="BC62" s="1">
        <v>-0.14204440554847944</v>
      </c>
      <c r="BD62" s="1">
        <v>0.33683041019020721</v>
      </c>
      <c r="BE62" s="1">
        <v>0.13673656307126161</v>
      </c>
      <c r="BF62" s="1">
        <v>-0.12405576784911536</v>
      </c>
      <c r="BG62" s="1">
        <v>0.23650362369351427</v>
      </c>
      <c r="BH62" s="1">
        <v>6.1185546901263932E-2</v>
      </c>
      <c r="BI62" s="1">
        <v>2.6114927214798474E-2</v>
      </c>
      <c r="BJ62" s="1">
        <v>1</v>
      </c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</row>
    <row r="63" spans="1:85" x14ac:dyDescent="0.55000000000000004">
      <c r="A63" s="1" t="s">
        <v>68</v>
      </c>
      <c r="B63" s="1">
        <v>0.50944158344393631</v>
      </c>
      <c r="C63" s="1">
        <v>0.29738998255041987</v>
      </c>
      <c r="D63" s="1">
        <v>0.22087851247587903</v>
      </c>
      <c r="E63" s="1">
        <v>8.7033014830942612E-2</v>
      </c>
      <c r="F63" s="1">
        <v>0.40081140783176195</v>
      </c>
      <c r="G63" s="1">
        <v>0.25741803493782922</v>
      </c>
      <c r="H63" s="1">
        <v>8.2470237572314017E-3</v>
      </c>
      <c r="I63" s="1">
        <v>0.10114837653803406</v>
      </c>
      <c r="J63" s="1">
        <v>0.42758792370651155</v>
      </c>
      <c r="K63" s="1">
        <v>0.38544774595166259</v>
      </c>
      <c r="L63" s="1">
        <v>0.32123664833038984</v>
      </c>
      <c r="M63" s="1">
        <v>9.9708627113807111E-2</v>
      </c>
      <c r="N63" s="1">
        <v>0.49303016693673729</v>
      </c>
      <c r="O63" s="1">
        <v>0.34411212511253136</v>
      </c>
      <c r="P63" s="1">
        <v>0.32135348351586129</v>
      </c>
      <c r="Q63" s="1">
        <v>0.41760334910253982</v>
      </c>
      <c r="R63" s="1">
        <v>0.16868661532760371</v>
      </c>
      <c r="S63" s="1">
        <v>0.11096844684808485</v>
      </c>
      <c r="T63" s="1">
        <v>-9.8087572509145834E-2</v>
      </c>
      <c r="U63" s="1">
        <v>0.20969328451157043</v>
      </c>
      <c r="V63" s="1">
        <v>0.13851889005498969</v>
      </c>
      <c r="W63" s="1">
        <v>0.3962321623997267</v>
      </c>
      <c r="X63" s="1">
        <v>0.50555565784926626</v>
      </c>
      <c r="Y63" s="1">
        <v>0.30446382409895523</v>
      </c>
      <c r="Z63" s="1">
        <v>0.5028086835706933</v>
      </c>
      <c r="AA63" s="1">
        <v>0.48096372990275132</v>
      </c>
      <c r="AB63" s="1">
        <v>0.3162321865161708</v>
      </c>
      <c r="AC63" s="1">
        <v>0.10877058817334785</v>
      </c>
      <c r="AD63" s="1">
        <v>0.39646858952829828</v>
      </c>
      <c r="AE63" s="1">
        <v>0.35937477413251845</v>
      </c>
      <c r="AF63" s="1">
        <v>-2.0060696215599326E-2</v>
      </c>
      <c r="AG63" s="1">
        <v>-0.33184598319356434</v>
      </c>
      <c r="AH63" s="1">
        <v>0.16483334243722447</v>
      </c>
      <c r="AI63" s="1">
        <v>0.22719550444187525</v>
      </c>
      <c r="AJ63" s="1">
        <v>0.20159812857247758</v>
      </c>
      <c r="AK63" s="1">
        <v>0.50681208696074753</v>
      </c>
      <c r="AL63" s="1">
        <v>0.42787637618249952</v>
      </c>
      <c r="AM63" s="1">
        <v>0.53503658647075003</v>
      </c>
      <c r="AN63" s="1">
        <v>0.44319206706235975</v>
      </c>
      <c r="AO63" s="1">
        <v>-4.2663402276250137E-2</v>
      </c>
      <c r="AP63" s="1">
        <v>0.13601168081477516</v>
      </c>
      <c r="AQ63" s="1">
        <v>0.14404362890215786</v>
      </c>
      <c r="AR63" s="1">
        <v>0.16146322720301587</v>
      </c>
      <c r="AS63" s="1">
        <v>0.18096791348137659</v>
      </c>
      <c r="AT63" s="1">
        <v>-0.12458786186757434</v>
      </c>
      <c r="AU63" s="1">
        <v>0.10559906471209733</v>
      </c>
      <c r="AV63" s="1">
        <v>0.33591819736691575</v>
      </c>
      <c r="AW63" s="1">
        <v>-0.3813685017707189</v>
      </c>
      <c r="AX63" s="1">
        <v>-0.30156654917634779</v>
      </c>
      <c r="AY63" s="1">
        <v>-0.39076220869291362</v>
      </c>
      <c r="AZ63" s="1">
        <v>-0.25658027066306904</v>
      </c>
      <c r="BA63" s="1">
        <v>-5.6675229738262726E-3</v>
      </c>
      <c r="BB63" s="1">
        <v>-9.943622375939011E-2</v>
      </c>
      <c r="BC63" s="1">
        <v>0.15964193861010073</v>
      </c>
      <c r="BD63" s="1">
        <v>5.2646261239236387E-2</v>
      </c>
      <c r="BE63" s="1">
        <v>0.15116543707692032</v>
      </c>
      <c r="BF63" s="1">
        <v>-5.2230766054157787E-2</v>
      </c>
      <c r="BG63" s="1">
        <v>-0.19480568439895146</v>
      </c>
      <c r="BH63" s="1">
        <v>-5.3225031203489669E-2</v>
      </c>
      <c r="BI63" s="1">
        <v>2.623149119354411E-2</v>
      </c>
      <c r="BJ63" s="1">
        <v>-0.39331206533451285</v>
      </c>
      <c r="BK63" s="1">
        <v>1</v>
      </c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</row>
    <row r="64" spans="1:85" x14ac:dyDescent="0.55000000000000004">
      <c r="A64" s="1" t="s">
        <v>69</v>
      </c>
      <c r="B64" s="1">
        <v>-0.27754378760101767</v>
      </c>
      <c r="C64" s="1">
        <v>-0.33069649689146224</v>
      </c>
      <c r="D64" s="1">
        <v>7.5136757233257759E-2</v>
      </c>
      <c r="E64" s="1">
        <v>0.23843196394845098</v>
      </c>
      <c r="F64" s="1">
        <v>-6.854405262574563E-2</v>
      </c>
      <c r="G64" s="1">
        <v>0.25856042912213012</v>
      </c>
      <c r="H64" s="1">
        <v>9.3215132483444013E-2</v>
      </c>
      <c r="I64" s="1">
        <v>0.3113437665336854</v>
      </c>
      <c r="J64" s="1">
        <v>-0.33623713148138196</v>
      </c>
      <c r="K64" s="1">
        <v>-0.15671080819751967</v>
      </c>
      <c r="L64" s="1">
        <v>8.1853473145624394E-3</v>
      </c>
      <c r="M64" s="1">
        <v>-0.21373717471610371</v>
      </c>
      <c r="N64" s="1">
        <v>-0.19142861820568771</v>
      </c>
      <c r="O64" s="1">
        <v>-0.13872787405282272</v>
      </c>
      <c r="P64" s="1">
        <v>-7.5823570863661968E-2</v>
      </c>
      <c r="Q64" s="1">
        <v>2.5921427485172045E-2</v>
      </c>
      <c r="R64" s="1">
        <v>0.11129232891601834</v>
      </c>
      <c r="S64" s="1">
        <v>-6.2898000305972437E-2</v>
      </c>
      <c r="T64" s="1">
        <v>0.33550490751548795</v>
      </c>
      <c r="U64" s="1">
        <v>-0.28516749966831295</v>
      </c>
      <c r="V64" s="1">
        <v>-1.3260868423059576E-3</v>
      </c>
      <c r="W64" s="1">
        <v>-0.23394413123921623</v>
      </c>
      <c r="X64" s="1">
        <v>-0.46247252001246747</v>
      </c>
      <c r="Y64" s="1">
        <v>-0.25414592807128761</v>
      </c>
      <c r="Z64" s="1">
        <v>-0.24316682781147872</v>
      </c>
      <c r="AA64" s="1">
        <v>-0.27329014104547505</v>
      </c>
      <c r="AB64" s="1">
        <v>-0.14965405764403542</v>
      </c>
      <c r="AC64" s="1">
        <v>0.11825809239144565</v>
      </c>
      <c r="AD64" s="1">
        <v>-0.12596036969422258</v>
      </c>
      <c r="AE64" s="1">
        <v>-0.2603854916300008</v>
      </c>
      <c r="AF64" s="1">
        <v>4.0631854295996354E-2</v>
      </c>
      <c r="AG64" s="1">
        <v>0.37359030207693367</v>
      </c>
      <c r="AH64" s="1">
        <v>-0.16524060893897477</v>
      </c>
      <c r="AI64" s="1">
        <v>-0.12172737073429955</v>
      </c>
      <c r="AJ64" s="1">
        <v>-0.4514039882695518</v>
      </c>
      <c r="AK64" s="1">
        <v>-0.14112469141614362</v>
      </c>
      <c r="AL64" s="1">
        <v>-7.5100708921109899E-2</v>
      </c>
      <c r="AM64" s="1">
        <v>-0.42322091627968783</v>
      </c>
      <c r="AN64" s="1">
        <v>-0.33837970155731528</v>
      </c>
      <c r="AO64" s="1">
        <v>0.42040148350125517</v>
      </c>
      <c r="AP64" s="1">
        <v>0.10848623615400312</v>
      </c>
      <c r="AQ64" s="1">
        <v>5.9868999963966447E-2</v>
      </c>
      <c r="AR64" s="1">
        <v>-0.27311613265329615</v>
      </c>
      <c r="AS64" s="1">
        <v>0.10969758233896619</v>
      </c>
      <c r="AT64" s="1">
        <v>0.4409949822730056</v>
      </c>
      <c r="AU64" s="1">
        <v>0.1595958205924119</v>
      </c>
      <c r="AV64" s="1">
        <v>-0.28653784939933163</v>
      </c>
      <c r="AW64" s="1">
        <v>0.39991679392161633</v>
      </c>
      <c r="AX64" s="1">
        <v>0.42393146214513461</v>
      </c>
      <c r="AY64" s="1">
        <v>0.58602343537990376</v>
      </c>
      <c r="AZ64" s="1">
        <v>0.61694806099869659</v>
      </c>
      <c r="BA64" s="1">
        <v>-3.5005347590029129E-2</v>
      </c>
      <c r="BB64" s="1">
        <v>0.27593216010316957</v>
      </c>
      <c r="BC64" s="1">
        <v>-7.1198397020605889E-2</v>
      </c>
      <c r="BD64" s="1">
        <v>0.23352404407219859</v>
      </c>
      <c r="BE64" s="1">
        <v>8.434764513135011E-2</v>
      </c>
      <c r="BF64" s="1">
        <v>8.1422319086989256E-2</v>
      </c>
      <c r="BG64" s="1">
        <v>0.44669449866523508</v>
      </c>
      <c r="BH64" s="1">
        <v>0.11840679553626798</v>
      </c>
      <c r="BI64" s="1">
        <v>5.8032367996392366E-2</v>
      </c>
      <c r="BJ64" s="1">
        <v>0.57114713541264417</v>
      </c>
      <c r="BK64" s="1">
        <v>-0.30075456778776222</v>
      </c>
      <c r="BL64" s="1">
        <v>1</v>
      </c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</row>
    <row r="65" spans="1:85" x14ac:dyDescent="0.55000000000000004">
      <c r="A65" s="1" t="s">
        <v>70</v>
      </c>
      <c r="B65" s="1">
        <v>0.12112835877733148</v>
      </c>
      <c r="C65" s="1">
        <v>-4.8038049692884242E-2</v>
      </c>
      <c r="D65" s="1">
        <v>9.4504635107324972E-2</v>
      </c>
      <c r="E65" s="1">
        <v>0.24987035493114293</v>
      </c>
      <c r="F65" s="1">
        <v>0.10105122956914429</v>
      </c>
      <c r="G65" s="1">
        <v>0.290576119939842</v>
      </c>
      <c r="H65" s="1">
        <v>0.16320361994034147</v>
      </c>
      <c r="I65" s="1">
        <v>0.37378710917823094</v>
      </c>
      <c r="J65" s="1">
        <v>6.4143414996233314E-2</v>
      </c>
      <c r="K65" s="1">
        <v>6.7890242999896822E-2</v>
      </c>
      <c r="L65" s="1">
        <v>0.30236044028758741</v>
      </c>
      <c r="M65" s="1">
        <v>9.6033458830288396E-2</v>
      </c>
      <c r="N65" s="1">
        <v>-2.3258068868302194E-2</v>
      </c>
      <c r="O65" s="1">
        <v>8.3369291717438496E-2</v>
      </c>
      <c r="P65" s="1">
        <v>0.296735371689614</v>
      </c>
      <c r="Q65" s="1">
        <v>0.21721897165602916</v>
      </c>
      <c r="R65" s="1">
        <v>0.33415859416742444</v>
      </c>
      <c r="S65" s="1">
        <v>-2.9980750157390717E-3</v>
      </c>
      <c r="T65" s="1">
        <v>0.3058447036300912</v>
      </c>
      <c r="U65" s="1">
        <v>4.9508694857342671E-3</v>
      </c>
      <c r="V65" s="1">
        <v>0.18739426663640776</v>
      </c>
      <c r="W65" s="1">
        <v>9.6201730253797526E-4</v>
      </c>
      <c r="X65" s="1">
        <v>-0.24928858446624572</v>
      </c>
      <c r="Y65" s="1">
        <v>9.2382861804935476E-2</v>
      </c>
      <c r="Z65" s="1">
        <v>7.2972304547945935E-3</v>
      </c>
      <c r="AA65" s="1">
        <v>-0.21949451405335405</v>
      </c>
      <c r="AB65" s="1">
        <v>-0.1035986267667893</v>
      </c>
      <c r="AC65" s="1">
        <v>0.46006143262577998</v>
      </c>
      <c r="AD65" s="1">
        <v>0.19050026039232459</v>
      </c>
      <c r="AE65" s="1">
        <v>3.587503144916445E-2</v>
      </c>
      <c r="AF65" s="1">
        <v>0.25988419636083537</v>
      </c>
      <c r="AG65" s="1">
        <v>6.1051714441598742E-3</v>
      </c>
      <c r="AH65" s="1">
        <v>0.49485561300274233</v>
      </c>
      <c r="AI65" s="1">
        <v>-4.6257094451066461E-2</v>
      </c>
      <c r="AJ65" s="1">
        <v>-0.1740883249204406</v>
      </c>
      <c r="AK65" s="1">
        <v>-1.9540502209260954E-2</v>
      </c>
      <c r="AL65" s="1">
        <v>0.20172864728535064</v>
      </c>
      <c r="AM65" s="1">
        <v>2.5339135789643762E-2</v>
      </c>
      <c r="AN65" s="1">
        <v>0.39917365484030071</v>
      </c>
      <c r="AO65" s="1">
        <v>0.56431865832649064</v>
      </c>
      <c r="AP65" s="1">
        <v>0.43345100580084717</v>
      </c>
      <c r="AQ65" s="1">
        <v>0.37231128945323572</v>
      </c>
      <c r="AR65" s="1">
        <v>0.34034087477910518</v>
      </c>
      <c r="AS65" s="1">
        <v>0.22635180335150279</v>
      </c>
      <c r="AT65" s="1">
        <v>0.31307908878188656</v>
      </c>
      <c r="AU65" s="1">
        <v>0.15590244934146183</v>
      </c>
      <c r="AV65" s="1">
        <v>2.4641259204180792E-2</v>
      </c>
      <c r="AW65" s="1">
        <v>-5.0301454731547089E-2</v>
      </c>
      <c r="AX65" s="1">
        <v>-7.9455244404937772E-2</v>
      </c>
      <c r="AY65" s="1">
        <v>-6.9756550917349697E-2</v>
      </c>
      <c r="AZ65" s="1">
        <v>2.7842693536015758E-2</v>
      </c>
      <c r="BA65" s="1">
        <v>0.23244440736194732</v>
      </c>
      <c r="BB65" s="1">
        <v>0.4836557643233737</v>
      </c>
      <c r="BC65" s="1">
        <v>0.28830752289481049</v>
      </c>
      <c r="BD65" s="1">
        <v>0.63292090836851878</v>
      </c>
      <c r="BE65" s="1">
        <v>0.47250715976421603</v>
      </c>
      <c r="BF65" s="1">
        <v>0.10820460449923169</v>
      </c>
      <c r="BG65" s="1">
        <v>9.0105410554028861E-2</v>
      </c>
      <c r="BH65" s="1">
        <v>-2.2093774784514197E-2</v>
      </c>
      <c r="BI65" s="1">
        <v>8.916284905765573E-2</v>
      </c>
      <c r="BJ65" s="1">
        <v>0.44158741688259256</v>
      </c>
      <c r="BK65" s="1">
        <v>-3.3230423925859683E-2</v>
      </c>
      <c r="BL65" s="1">
        <v>0.21475948894138414</v>
      </c>
      <c r="BM65" s="1">
        <v>1</v>
      </c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</row>
    <row r="66" spans="1:85" x14ac:dyDescent="0.55000000000000004">
      <c r="A66" s="1" t="s">
        <v>71</v>
      </c>
      <c r="B66" s="1">
        <v>0.2310239860240717</v>
      </c>
      <c r="C66" s="1">
        <v>-0.26325394102153971</v>
      </c>
      <c r="D66" s="1">
        <v>3.6847236018856692E-2</v>
      </c>
      <c r="E66" s="1">
        <v>0.35129214207610543</v>
      </c>
      <c r="F66" s="1">
        <v>0.25724278477209478</v>
      </c>
      <c r="G66" s="1">
        <v>0.11931012283207949</v>
      </c>
      <c r="H66" s="1">
        <v>0.26522683626440985</v>
      </c>
      <c r="I66" s="1">
        <v>0.29927930872692998</v>
      </c>
      <c r="J66" s="1">
        <v>3.4449893948566075E-2</v>
      </c>
      <c r="K66" s="1">
        <v>-6.9180385283222914E-2</v>
      </c>
      <c r="L66" s="1">
        <v>0.15668121368935137</v>
      </c>
      <c r="M66" s="1">
        <v>0.33282204091440509</v>
      </c>
      <c r="N66" s="1">
        <v>-2.2621780025078165E-3</v>
      </c>
      <c r="O66" s="1">
        <v>0.14272383084365212</v>
      </c>
      <c r="P66" s="1">
        <v>0.12497660289615584</v>
      </c>
      <c r="Q66" s="1">
        <v>0.27028763955893587</v>
      </c>
      <c r="R66" s="1">
        <v>0.35793769610708104</v>
      </c>
      <c r="S66" s="1">
        <v>0.11647462255399073</v>
      </c>
      <c r="T66" s="1">
        <v>0.2363512737559737</v>
      </c>
      <c r="U66" s="1">
        <v>-2.9205895496130157E-2</v>
      </c>
      <c r="V66" s="1">
        <v>-2.7746360822086511E-2</v>
      </c>
      <c r="W66" s="1">
        <v>0.13418440905239418</v>
      </c>
      <c r="X66" s="1">
        <v>-6.1219223009662087E-2</v>
      </c>
      <c r="Y66" s="1">
        <v>0.33168344842146352</v>
      </c>
      <c r="Z66" s="1">
        <v>0.15537044532069053</v>
      </c>
      <c r="AA66" s="1">
        <v>0.11129546176762674</v>
      </c>
      <c r="AB66" s="1">
        <v>-0.11016415747989537</v>
      </c>
      <c r="AC66" s="1">
        <v>0.55258654008980357</v>
      </c>
      <c r="AD66" s="1">
        <v>0.22761686484831775</v>
      </c>
      <c r="AE66" s="1">
        <v>8.1237727084179825E-2</v>
      </c>
      <c r="AF66" s="1">
        <v>0.56244921682402138</v>
      </c>
      <c r="AG66" s="1">
        <v>0.13527562056692247</v>
      </c>
      <c r="AH66" s="1">
        <v>0.59655941106434662</v>
      </c>
      <c r="AI66" s="1">
        <v>-0.23368939511218842</v>
      </c>
      <c r="AJ66" s="1">
        <v>-0.25852634322874107</v>
      </c>
      <c r="AK66" s="1">
        <v>8.504607351470557E-2</v>
      </c>
      <c r="AL66" s="1">
        <v>0.30129195007740273</v>
      </c>
      <c r="AM66" s="1">
        <v>-0.12731813747619453</v>
      </c>
      <c r="AN66" s="1">
        <v>0.29622633831881406</v>
      </c>
      <c r="AO66" s="1">
        <v>0.260281742558859</v>
      </c>
      <c r="AP66" s="1">
        <v>0.28329616554149106</v>
      </c>
      <c r="AQ66" s="1">
        <v>8.1727666814967029E-2</v>
      </c>
      <c r="AR66" s="1">
        <v>0.30451593538131877</v>
      </c>
      <c r="AS66" s="1">
        <v>0.25125400998216418</v>
      </c>
      <c r="AT66" s="1">
        <v>9.5535627266450929E-2</v>
      </c>
      <c r="AU66" s="1">
        <v>-5.0498252172446738E-2</v>
      </c>
      <c r="AV66" s="1">
        <v>-4.1592101976016232E-2</v>
      </c>
      <c r="AW66" s="1">
        <v>4.1231658044355544E-2</v>
      </c>
      <c r="AX66" s="1">
        <v>-0.15475291502184291</v>
      </c>
      <c r="AY66" s="1">
        <v>-2.7018207484313314E-2</v>
      </c>
      <c r="AZ66" s="1">
        <v>0.14237627431626501</v>
      </c>
      <c r="BA66" s="1">
        <v>0.52343455410768414</v>
      </c>
      <c r="BB66" s="1">
        <v>0.59973587391026673</v>
      </c>
      <c r="BC66" s="1">
        <v>0.21869341817470836</v>
      </c>
      <c r="BD66" s="1">
        <v>0.60126520754752366</v>
      </c>
      <c r="BE66" s="1">
        <v>0.47029127868351223</v>
      </c>
      <c r="BF66" s="1">
        <v>-0.1465170928559022</v>
      </c>
      <c r="BG66" s="1">
        <v>0.21293928290286943</v>
      </c>
      <c r="BH66" s="1">
        <v>8.4376585595645221E-3</v>
      </c>
      <c r="BI66" s="1">
        <v>-3.5537093739991664E-2</v>
      </c>
      <c r="BJ66" s="1">
        <v>0.25130514966760398</v>
      </c>
      <c r="BK66" s="1">
        <v>-2.0002743019725072E-2</v>
      </c>
      <c r="BL66" s="1">
        <v>-9.4226493889762147E-2</v>
      </c>
      <c r="BM66" s="1">
        <v>0.37290136853461586</v>
      </c>
      <c r="BN66" s="1">
        <v>1</v>
      </c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</row>
    <row r="67" spans="1:85" x14ac:dyDescent="0.55000000000000004">
      <c r="A67" s="1" t="s">
        <v>72</v>
      </c>
      <c r="B67" s="1">
        <v>4.2400713524178436E-2</v>
      </c>
      <c r="C67" s="1">
        <v>3.6967788042809931E-2</v>
      </c>
      <c r="D67" s="1">
        <v>4.9835674966961084E-2</v>
      </c>
      <c r="E67" s="1">
        <v>-7.3600081936011164E-3</v>
      </c>
      <c r="F67" s="1">
        <v>0.10745836877446632</v>
      </c>
      <c r="G67" s="1">
        <v>-4.1965258572017571E-3</v>
      </c>
      <c r="H67" s="1">
        <v>-3.7237803504008113E-2</v>
      </c>
      <c r="I67" s="1">
        <v>7.5646367020246574E-2</v>
      </c>
      <c r="J67" s="1">
        <v>2.9618199086822963E-2</v>
      </c>
      <c r="K67" s="1">
        <v>6.1604040326844668E-2</v>
      </c>
      <c r="L67" s="1">
        <v>0.10148507057573805</v>
      </c>
      <c r="M67" s="1">
        <v>0.10293583341666952</v>
      </c>
      <c r="N67" s="1">
        <v>9.8129670182336981E-2</v>
      </c>
      <c r="O67" s="1">
        <v>0.18412084788541111</v>
      </c>
      <c r="P67" s="1">
        <v>0.10483499775471715</v>
      </c>
      <c r="Q67" s="1">
        <v>9.9847430388649849E-2</v>
      </c>
      <c r="R67" s="1">
        <v>2.699638874949806E-2</v>
      </c>
      <c r="S67" s="1">
        <v>9.8108074738165407E-2</v>
      </c>
      <c r="T67" s="1">
        <v>5.2433236724126224E-3</v>
      </c>
      <c r="U67" s="1">
        <v>-2.8009995546657953E-3</v>
      </c>
      <c r="V67" s="1">
        <v>-2.2105628040364738E-2</v>
      </c>
      <c r="W67" s="1">
        <v>-4.8290365088414881E-2</v>
      </c>
      <c r="X67" s="1">
        <v>9.7718428055935794E-2</v>
      </c>
      <c r="Y67" s="1">
        <v>0.12983019787970149</v>
      </c>
      <c r="Z67" s="1">
        <v>9.041529179087078E-2</v>
      </c>
      <c r="AA67" s="1">
        <v>0.21649125684406131</v>
      </c>
      <c r="AB67" s="1">
        <v>4.7204899763675812E-2</v>
      </c>
      <c r="AC67" s="1">
        <v>4.973672350525507E-2</v>
      </c>
      <c r="AD67" s="1">
        <v>7.0361316139682925E-2</v>
      </c>
      <c r="AE67" s="1">
        <v>4.8624452540439546E-2</v>
      </c>
      <c r="AF67" s="1">
        <v>6.7264799174599932E-2</v>
      </c>
      <c r="AG67" s="1">
        <v>-0.12870523558045149</v>
      </c>
      <c r="AH67" s="1">
        <v>2.0524170632951798E-3</v>
      </c>
      <c r="AI67" s="1">
        <v>-3.4748330054679252E-3</v>
      </c>
      <c r="AJ67" s="1">
        <v>4.6985446215710651E-2</v>
      </c>
      <c r="AK67" s="1">
        <v>4.2363481303176673E-2</v>
      </c>
      <c r="AL67" s="1">
        <v>0.16786275270156928</v>
      </c>
      <c r="AM67" s="1">
        <v>3.3397601640435023E-2</v>
      </c>
      <c r="AN67" s="1">
        <v>6.2552071501185594E-2</v>
      </c>
      <c r="AO67" s="1">
        <v>-0.10943460940963914</v>
      </c>
      <c r="AP67" s="1">
        <v>0.10144880782863532</v>
      </c>
      <c r="AQ67" s="1">
        <v>5.0055602904875374E-2</v>
      </c>
      <c r="AR67" s="1">
        <v>2.2088805339121786E-2</v>
      </c>
      <c r="AS67" s="1">
        <v>0.20130534583711721</v>
      </c>
      <c r="AT67" s="1">
        <v>0.41897728758768499</v>
      </c>
      <c r="AU67" s="1">
        <v>9.3592834237281167E-2</v>
      </c>
      <c r="AV67" s="1">
        <v>2.4194960296181088E-2</v>
      </c>
      <c r="AW67" s="1">
        <v>0.55914875272608577</v>
      </c>
      <c r="AX67" s="1">
        <v>0.81907350586960603</v>
      </c>
      <c r="AY67" s="1">
        <v>0.63984955344722627</v>
      </c>
      <c r="AZ67" s="1">
        <v>4.6191814285417604E-2</v>
      </c>
      <c r="BA67" s="1">
        <v>3.9274557146488712E-2</v>
      </c>
      <c r="BB67" s="1">
        <v>6.4873664163845601E-2</v>
      </c>
      <c r="BC67" s="1">
        <v>9.7764975824345152E-2</v>
      </c>
      <c r="BD67" s="1">
        <v>0.12701557198534499</v>
      </c>
      <c r="BE67" s="1">
        <v>5.7246071872046132E-2</v>
      </c>
      <c r="BF67" s="1">
        <v>0.22293142079626532</v>
      </c>
      <c r="BG67" s="1">
        <v>-0.15722774924634936</v>
      </c>
      <c r="BH67" s="1">
        <v>-6.668679236126214E-2</v>
      </c>
      <c r="BI67" s="1">
        <v>0.30374478112509623</v>
      </c>
      <c r="BJ67" s="1">
        <v>0.30277631140435962</v>
      </c>
      <c r="BK67" s="1">
        <v>1.6155488077650292E-2</v>
      </c>
      <c r="BL67" s="1">
        <v>0.21100796011747977</v>
      </c>
      <c r="BM67" s="1">
        <v>2.7918540836703469E-2</v>
      </c>
      <c r="BN67" s="1">
        <v>-0.12169318370810239</v>
      </c>
      <c r="BO67" s="1">
        <v>1</v>
      </c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</row>
    <row r="68" spans="1:85" x14ac:dyDescent="0.55000000000000004">
      <c r="A68" s="1" t="s">
        <v>73</v>
      </c>
      <c r="B68" s="1">
        <v>0.15782227519293524</v>
      </c>
      <c r="C68" s="1">
        <v>6.5289764692989208E-2</v>
      </c>
      <c r="D68" s="1">
        <v>0.35972707224876355</v>
      </c>
      <c r="E68" s="1">
        <v>0.47298293935182106</v>
      </c>
      <c r="F68" s="1">
        <v>0.39683554063954574</v>
      </c>
      <c r="G68" s="1">
        <v>9.0502159879940453E-2</v>
      </c>
      <c r="H68" s="1">
        <v>0.24391516565271293</v>
      </c>
      <c r="I68" s="1">
        <v>0.38185326020028587</v>
      </c>
      <c r="J68" s="1">
        <v>0.12667594438507795</v>
      </c>
      <c r="K68" s="1">
        <v>0.2312484920975407</v>
      </c>
      <c r="L68" s="1">
        <v>0.52549661412853144</v>
      </c>
      <c r="M68" s="1">
        <v>0.29579114268318968</v>
      </c>
      <c r="N68" s="1">
        <v>0.38870631828179159</v>
      </c>
      <c r="O68" s="1">
        <v>0.44510036810436843</v>
      </c>
      <c r="P68" s="1">
        <v>0.34673782782847451</v>
      </c>
      <c r="Q68" s="1">
        <v>0.30354235026985443</v>
      </c>
      <c r="R68" s="1">
        <v>0.37191294196202518</v>
      </c>
      <c r="S68" s="1">
        <v>0.36210475493823424</v>
      </c>
      <c r="T68" s="1">
        <v>0.16316337104101783</v>
      </c>
      <c r="U68" s="1">
        <v>-5.6537879100551511E-2</v>
      </c>
      <c r="V68" s="1">
        <v>0.29479856923339881</v>
      </c>
      <c r="W68" s="1">
        <v>7.9240469584080056E-2</v>
      </c>
      <c r="X68" s="1">
        <v>0.22682393366732029</v>
      </c>
      <c r="Y68" s="1">
        <v>0.18883627505702336</v>
      </c>
      <c r="Z68" s="1">
        <v>0.36310955923061755</v>
      </c>
      <c r="AA68" s="1">
        <v>0.32492922708335231</v>
      </c>
      <c r="AB68" s="1">
        <v>0.19605411003629836</v>
      </c>
      <c r="AC68" s="1">
        <v>0.34361721667410866</v>
      </c>
      <c r="AD68" s="1">
        <v>0.39989381736655366</v>
      </c>
      <c r="AE68" s="1">
        <v>0.32374727276818932</v>
      </c>
      <c r="AF68" s="1">
        <v>0.26097242021284994</v>
      </c>
      <c r="AG68" s="1">
        <v>-0.12925293840129395</v>
      </c>
      <c r="AH68" s="1">
        <v>0.20457443943064174</v>
      </c>
      <c r="AI68" s="1">
        <v>-0.17048171233345943</v>
      </c>
      <c r="AJ68" s="1">
        <v>-0.1293191671060068</v>
      </c>
      <c r="AK68" s="1">
        <v>0.3330114095816743</v>
      </c>
      <c r="AL68" s="1">
        <v>0.26335224030928012</v>
      </c>
      <c r="AM68" s="1">
        <v>-9.7692240692889079E-3</v>
      </c>
      <c r="AN68" s="1">
        <v>0.20449214915710459</v>
      </c>
      <c r="AO68" s="1">
        <v>-2.8714025810055943E-2</v>
      </c>
      <c r="AP68" s="1">
        <v>0.15210538651713018</v>
      </c>
      <c r="AQ68" s="1">
        <v>1.6662608112400164E-2</v>
      </c>
      <c r="AR68" s="1">
        <v>0.1424043870169025</v>
      </c>
      <c r="AS68" s="1">
        <v>0.43073342380359569</v>
      </c>
      <c r="AT68" s="1">
        <v>0.25297101293369306</v>
      </c>
      <c r="AU68" s="1">
        <v>0.71855846214569308</v>
      </c>
      <c r="AV68" s="1">
        <v>2.0265020709840108E-2</v>
      </c>
      <c r="AW68" s="1">
        <v>-3.1013340122649766E-2</v>
      </c>
      <c r="AX68" s="1">
        <v>-0.10057529184026663</v>
      </c>
      <c r="AY68" s="1">
        <v>-7.7468450023328986E-2</v>
      </c>
      <c r="AZ68" s="1">
        <v>0.1924432898074617</v>
      </c>
      <c r="BA68" s="1">
        <v>0.26612843248385631</v>
      </c>
      <c r="BB68" s="1">
        <v>0.20131015578110234</v>
      </c>
      <c r="BC68" s="1">
        <v>0.1485960929717372</v>
      </c>
      <c r="BD68" s="1">
        <v>0.23107226519264126</v>
      </c>
      <c r="BE68" s="1">
        <v>0.34957002370196522</v>
      </c>
      <c r="BF68" s="1">
        <v>1.9586787737384426E-2</v>
      </c>
      <c r="BG68" s="1">
        <v>8.1470084380647512E-2</v>
      </c>
      <c r="BH68" s="1">
        <v>-0.10939830400458019</v>
      </c>
      <c r="BI68" s="1">
        <v>0.31992536623585821</v>
      </c>
      <c r="BJ68" s="1">
        <v>0.10801363584181241</v>
      </c>
      <c r="BK68" s="1">
        <v>0.15918358471926594</v>
      </c>
      <c r="BL68" s="1">
        <v>0.12983890950971688</v>
      </c>
      <c r="BM68" s="1">
        <v>-3.1943907283359933E-2</v>
      </c>
      <c r="BN68" s="1">
        <v>7.1952748437253231E-2</v>
      </c>
      <c r="BO68" s="1">
        <v>-5.8902630116332974E-3</v>
      </c>
      <c r="BP68" s="1">
        <v>1</v>
      </c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</row>
    <row r="69" spans="1:85" x14ac:dyDescent="0.55000000000000004">
      <c r="A69" s="1" t="s">
        <v>74</v>
      </c>
      <c r="B69" s="1">
        <v>0.25805516285539731</v>
      </c>
      <c r="C69" s="1">
        <v>0.14575278923977239</v>
      </c>
      <c r="D69" s="1">
        <v>0.25264110742799045</v>
      </c>
      <c r="E69" s="1">
        <v>0.59007745818604096</v>
      </c>
      <c r="F69" s="1">
        <v>0.3296046395203121</v>
      </c>
      <c r="G69" s="1">
        <v>0.35614672177717427</v>
      </c>
      <c r="H69" s="1">
        <v>0.43593639019874081</v>
      </c>
      <c r="I69" s="1">
        <v>0.27617239518403214</v>
      </c>
      <c r="J69" s="1">
        <v>0.29406519616480059</v>
      </c>
      <c r="K69" s="1">
        <v>0.32625058869289392</v>
      </c>
      <c r="L69" s="1">
        <v>0.6005534705142469</v>
      </c>
      <c r="M69" s="1">
        <v>0.24594644953091319</v>
      </c>
      <c r="N69" s="1">
        <v>0.25528893980709189</v>
      </c>
      <c r="O69" s="1">
        <v>0.38124671773791619</v>
      </c>
      <c r="P69" s="1">
        <v>0.49024616031846979</v>
      </c>
      <c r="Q69" s="1">
        <v>0.35743773033266479</v>
      </c>
      <c r="R69" s="1">
        <v>0.48707190683460638</v>
      </c>
      <c r="S69" s="1">
        <v>0.19902887099189154</v>
      </c>
      <c r="T69" s="1">
        <v>0.25132035535807717</v>
      </c>
      <c r="U69" s="1">
        <v>0.42759646209695062</v>
      </c>
      <c r="V69" s="1">
        <v>0.27154147056317768</v>
      </c>
      <c r="W69" s="1">
        <v>0.18489531535293557</v>
      </c>
      <c r="X69" s="1">
        <v>5.2277630501401232E-2</v>
      </c>
      <c r="Y69" s="1">
        <v>0.26860342460105119</v>
      </c>
      <c r="Z69" s="1">
        <v>0.34507366015566704</v>
      </c>
      <c r="AA69" s="1">
        <v>0.21375674456524396</v>
      </c>
      <c r="AB69" s="1">
        <v>5.7171073631493576E-2</v>
      </c>
      <c r="AC69" s="1">
        <v>0.56930959081001375</v>
      </c>
      <c r="AD69" s="1">
        <v>0.37108328933334567</v>
      </c>
      <c r="AE69" s="1">
        <v>7.2098539158288732E-2</v>
      </c>
      <c r="AF69" s="1">
        <v>0.27868856430878952</v>
      </c>
      <c r="AG69" s="1">
        <v>-1.7712957279441433E-2</v>
      </c>
      <c r="AH69" s="1">
        <v>0.34481377006546188</v>
      </c>
      <c r="AI69" s="1">
        <v>2.5996863424158391E-2</v>
      </c>
      <c r="AJ69" s="1">
        <v>1.9604236032242359E-2</v>
      </c>
      <c r="AK69" s="1">
        <v>0.48699779927701797</v>
      </c>
      <c r="AL69" s="1">
        <v>0.35705885773861851</v>
      </c>
      <c r="AM69" s="1">
        <v>0.13381513948515281</v>
      </c>
      <c r="AN69" s="1">
        <v>0.17588597782974405</v>
      </c>
      <c r="AO69" s="1">
        <v>0.29152233761674168</v>
      </c>
      <c r="AP69" s="1">
        <v>3.753615205019524E-2</v>
      </c>
      <c r="AQ69" s="1">
        <v>0.17870044886219749</v>
      </c>
      <c r="AR69" s="1">
        <v>0.27049202555961294</v>
      </c>
      <c r="AS69" s="1">
        <v>0.20683121599673038</v>
      </c>
      <c r="AT69" s="1">
        <v>-3.9255250989488358E-2</v>
      </c>
      <c r="AU69" s="1">
        <v>0.21715197584614712</v>
      </c>
      <c r="AV69" s="1">
        <v>9.6886698407075672E-2</v>
      </c>
      <c r="AW69" s="1">
        <v>-0.31350975818786603</v>
      </c>
      <c r="AX69" s="1">
        <v>-0.28369046852385571</v>
      </c>
      <c r="AY69" s="1">
        <v>-0.25471420700389119</v>
      </c>
      <c r="AZ69" s="1">
        <v>-8.3613990459345769E-2</v>
      </c>
      <c r="BA69" s="1">
        <v>0.38106020979458738</v>
      </c>
      <c r="BB69" s="1">
        <v>0.34454739960617509</v>
      </c>
      <c r="BC69" s="1">
        <v>0.29782649904477598</v>
      </c>
      <c r="BD69" s="1">
        <v>0.46219214322951296</v>
      </c>
      <c r="BE69" s="1">
        <v>0.27598241928953626</v>
      </c>
      <c r="BF69" s="1">
        <v>7.9917224558015421E-2</v>
      </c>
      <c r="BG69" s="1">
        <v>4.7039405149376955E-2</v>
      </c>
      <c r="BH69" s="1">
        <v>0.26093150235505352</v>
      </c>
      <c r="BI69" s="1">
        <v>0.639116883253255</v>
      </c>
      <c r="BJ69" s="1">
        <v>6.9393698498657175E-2</v>
      </c>
      <c r="BK69" s="1">
        <v>4.4919715837933513E-2</v>
      </c>
      <c r="BL69" s="1">
        <v>-7.6521624771563546E-2</v>
      </c>
      <c r="BM69" s="1">
        <v>0.3248640035889313</v>
      </c>
      <c r="BN69" s="1">
        <v>0.28029987188294758</v>
      </c>
      <c r="BO69" s="1">
        <v>-6.7035905632675433E-2</v>
      </c>
      <c r="BP69" s="1">
        <v>0.30975637509118326</v>
      </c>
      <c r="BQ69" s="1">
        <v>1</v>
      </c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</row>
    <row r="70" spans="1:85" x14ac:dyDescent="0.55000000000000004">
      <c r="A70" s="1" t="s">
        <v>75</v>
      </c>
      <c r="B70" s="1">
        <v>0.62018311384933367</v>
      </c>
      <c r="C70" s="1">
        <v>0.41851605969694383</v>
      </c>
      <c r="D70" s="1">
        <v>0.5262539514418042</v>
      </c>
      <c r="E70" s="1">
        <v>0.34289525598001208</v>
      </c>
      <c r="F70" s="1">
        <v>0.5391082611891479</v>
      </c>
      <c r="G70" s="1">
        <v>0.2028275350950734</v>
      </c>
      <c r="H70" s="1">
        <v>0.2828107135611706</v>
      </c>
      <c r="I70" s="1">
        <v>0.55310472298790625</v>
      </c>
      <c r="J70" s="1">
        <v>0.40353491928096474</v>
      </c>
      <c r="K70" s="1">
        <v>0.40819833506948061</v>
      </c>
      <c r="L70" s="1">
        <v>0.63184313860986263</v>
      </c>
      <c r="M70" s="1">
        <v>0.42280359734158335</v>
      </c>
      <c r="N70" s="1">
        <v>0.42975020104705869</v>
      </c>
      <c r="O70" s="1">
        <v>0.48333187745952882</v>
      </c>
      <c r="P70" s="1">
        <v>0.57020698292786731</v>
      </c>
      <c r="Q70" s="1">
        <v>0.37163897592303508</v>
      </c>
      <c r="R70" s="1">
        <v>0.30027359325093861</v>
      </c>
      <c r="S70" s="1">
        <v>0.13032507168044546</v>
      </c>
      <c r="T70" s="1">
        <v>0.11688049245751091</v>
      </c>
      <c r="U70" s="1">
        <v>0.2207058711338345</v>
      </c>
      <c r="V70" s="1">
        <v>0.45713192351922183</v>
      </c>
      <c r="W70" s="1">
        <v>0.32510263275175283</v>
      </c>
      <c r="X70" s="1">
        <v>0.32090179903602351</v>
      </c>
      <c r="Y70" s="1">
        <v>0.40584105494297651</v>
      </c>
      <c r="Z70" s="1">
        <v>0.48649185139550588</v>
      </c>
      <c r="AA70" s="1">
        <v>0.32115803472644983</v>
      </c>
      <c r="AB70" s="1">
        <v>7.9695907860386467E-2</v>
      </c>
      <c r="AC70" s="1">
        <v>0.4325047992167067</v>
      </c>
      <c r="AD70" s="1">
        <v>0.60335390556192592</v>
      </c>
      <c r="AE70" s="1">
        <v>0.28675955715962159</v>
      </c>
      <c r="AF70" s="1">
        <v>0.18254126712450966</v>
      </c>
      <c r="AG70" s="1">
        <v>-0.19508556626810677</v>
      </c>
      <c r="AH70" s="1">
        <v>0.25555598571468652</v>
      </c>
      <c r="AI70" s="1">
        <v>0.2312840871738607</v>
      </c>
      <c r="AJ70" s="1">
        <v>0.18012438787555676</v>
      </c>
      <c r="AK70" s="1">
        <v>0.4271563011451206</v>
      </c>
      <c r="AL70" s="1">
        <v>0.34700943569869852</v>
      </c>
      <c r="AM70" s="1">
        <v>0.39394828612839961</v>
      </c>
      <c r="AN70" s="1">
        <v>0.24634848134661588</v>
      </c>
      <c r="AO70" s="1">
        <v>0.29697928795166562</v>
      </c>
      <c r="AP70" s="1">
        <v>0.33920079113000429</v>
      </c>
      <c r="AQ70" s="1">
        <v>0.5142452108575829</v>
      </c>
      <c r="AR70" s="1">
        <v>0.43533672093724096</v>
      </c>
      <c r="AS70" s="1">
        <v>0.34167207741335198</v>
      </c>
      <c r="AT70" s="1">
        <v>1.4002080332601205E-2</v>
      </c>
      <c r="AU70" s="1">
        <v>0.34019266326953174</v>
      </c>
      <c r="AV70" s="1">
        <v>0.41771689383565497</v>
      </c>
      <c r="AW70" s="1">
        <v>-0.25661076971509167</v>
      </c>
      <c r="AX70" s="1">
        <v>-0.32362224318370814</v>
      </c>
      <c r="AY70" s="1">
        <v>-0.39581483698307751</v>
      </c>
      <c r="AZ70" s="1">
        <v>-0.26999504598956203</v>
      </c>
      <c r="BA70" s="1">
        <v>0.26050496213821561</v>
      </c>
      <c r="BB70" s="1">
        <v>0.37982541471039966</v>
      </c>
      <c r="BC70" s="1">
        <v>0.54632196684052226</v>
      </c>
      <c r="BD70" s="1">
        <v>0.48551262932322187</v>
      </c>
      <c r="BE70" s="1">
        <v>0.36198818753082029</v>
      </c>
      <c r="BF70" s="1">
        <v>0.31105308961597034</v>
      </c>
      <c r="BG70" s="1">
        <v>4.1117462745188182E-2</v>
      </c>
      <c r="BH70" s="1">
        <v>4.3660730533339742E-2</v>
      </c>
      <c r="BI70" s="1">
        <v>0.38567730551128582</v>
      </c>
      <c r="BJ70" s="1">
        <v>-4.9692690173964979E-2</v>
      </c>
      <c r="BK70" s="1">
        <v>0.31501695383043893</v>
      </c>
      <c r="BL70" s="1">
        <v>-0.12009011449097351</v>
      </c>
      <c r="BM70" s="1">
        <v>0.25543978392029043</v>
      </c>
      <c r="BN70" s="1">
        <v>8.5136704995785156E-2</v>
      </c>
      <c r="BO70" s="1">
        <v>7.3734139593651582E-3</v>
      </c>
      <c r="BP70" s="1">
        <v>0.21792169494046507</v>
      </c>
      <c r="BQ70" s="1">
        <v>0.44282430673654921</v>
      </c>
      <c r="BR70" s="1">
        <v>1</v>
      </c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</row>
    <row r="71" spans="1:85" x14ac:dyDescent="0.55000000000000004">
      <c r="A71" s="1" t="s">
        <v>76</v>
      </c>
      <c r="B71" s="1">
        <v>0.27362028655886794</v>
      </c>
      <c r="C71" s="1">
        <v>-6.4920011506754832E-2</v>
      </c>
      <c r="D71" s="1">
        <v>0.22652784512553004</v>
      </c>
      <c r="E71" s="1">
        <v>0.28081740671903882</v>
      </c>
      <c r="F71" s="1">
        <v>0.2685971601834431</v>
      </c>
      <c r="G71" s="1">
        <v>2.169621062976982E-2</v>
      </c>
      <c r="H71" s="1">
        <v>0.24432034400956215</v>
      </c>
      <c r="I71" s="1">
        <v>0.25170755845927206</v>
      </c>
      <c r="J71" s="1">
        <v>5.7960756711147574E-2</v>
      </c>
      <c r="K71" s="1">
        <v>5.2083891286270556E-2</v>
      </c>
      <c r="L71" s="1">
        <v>0.2582773279181152</v>
      </c>
      <c r="M71" s="1">
        <v>0.14798750486099446</v>
      </c>
      <c r="N71" s="1">
        <v>0.11869503492004416</v>
      </c>
      <c r="O71" s="1">
        <v>6.0210721221724238E-2</v>
      </c>
      <c r="P71" s="1">
        <v>0.20562143306525518</v>
      </c>
      <c r="Q71" s="1">
        <v>0.27379807226571795</v>
      </c>
      <c r="R71" s="1">
        <v>0.23425950258671085</v>
      </c>
      <c r="S71" s="1">
        <v>0.19765369940608923</v>
      </c>
      <c r="T71" s="1">
        <v>0.14094926641097261</v>
      </c>
      <c r="U71" s="1">
        <v>0.24384924384051615</v>
      </c>
      <c r="V71" s="1">
        <v>-4.5678915815508869E-2</v>
      </c>
      <c r="W71" s="1">
        <v>0.41058755019218546</v>
      </c>
      <c r="X71" s="1">
        <v>0.13772157329159149</v>
      </c>
      <c r="Y71" s="1">
        <v>0.19780417765880248</v>
      </c>
      <c r="Z71" s="1">
        <v>0.12585693265860429</v>
      </c>
      <c r="AA71" s="1">
        <v>0.16588359381611953</v>
      </c>
      <c r="AB71" s="1">
        <v>5.8743475390907546E-2</v>
      </c>
      <c r="AC71" s="1">
        <v>0.2598873524080681</v>
      </c>
      <c r="AD71" s="1">
        <v>0.28290956507300991</v>
      </c>
      <c r="AE71" s="1">
        <v>-1.2281344291710745E-2</v>
      </c>
      <c r="AF71" s="1">
        <v>0.25751467882799856</v>
      </c>
      <c r="AG71" s="1">
        <v>-7.0227534953509529E-2</v>
      </c>
      <c r="AH71" s="1">
        <v>0.25862020574103811</v>
      </c>
      <c r="AI71" s="1">
        <v>4.3766165575631309E-2</v>
      </c>
      <c r="AJ71" s="1">
        <v>-0.112597744339482</v>
      </c>
      <c r="AK71" s="1">
        <v>0.34769603058107695</v>
      </c>
      <c r="AL71" s="1">
        <v>0.2590418218500381</v>
      </c>
      <c r="AM71" s="1">
        <v>6.479544968723816E-2</v>
      </c>
      <c r="AN71" s="1">
        <v>7.8936704280863565E-2</v>
      </c>
      <c r="AO71" s="1">
        <v>0.22689288381556683</v>
      </c>
      <c r="AP71" s="1">
        <v>0.2588878684660188</v>
      </c>
      <c r="AQ71" s="1">
        <v>0.31059545980583658</v>
      </c>
      <c r="AR71" s="1">
        <v>0.26770639117075418</v>
      </c>
      <c r="AS71" s="1">
        <v>0.34877190394823199</v>
      </c>
      <c r="AT71" s="1">
        <v>0.1663706845416516</v>
      </c>
      <c r="AU71" s="1">
        <v>-4.9464020179154043E-2</v>
      </c>
      <c r="AV71" s="1">
        <v>-6.0269784198251665E-2</v>
      </c>
      <c r="AW71" s="1">
        <v>-4.6661551485920681E-2</v>
      </c>
      <c r="AX71" s="1">
        <v>-6.3439685572524024E-2</v>
      </c>
      <c r="AY71" s="1">
        <v>2.9532468157355465E-2</v>
      </c>
      <c r="AZ71" s="1">
        <v>0.13655577209510542</v>
      </c>
      <c r="BA71" s="1">
        <v>0.11643382263316183</v>
      </c>
      <c r="BB71" s="1">
        <v>0.24214870769377334</v>
      </c>
      <c r="BC71" s="1">
        <v>0.1497492942472162</v>
      </c>
      <c r="BD71" s="1">
        <v>0.30512295978707765</v>
      </c>
      <c r="BE71" s="1">
        <v>0.30345401804673805</v>
      </c>
      <c r="BF71" s="1">
        <v>-0.10614949882257033</v>
      </c>
      <c r="BG71" s="1">
        <v>-3.0770761750276584E-3</v>
      </c>
      <c r="BH71" s="1">
        <v>0.25504998408555385</v>
      </c>
      <c r="BI71" s="1">
        <v>0.11000169803436859</v>
      </c>
      <c r="BJ71" s="1">
        <v>-2.3526418558389838E-2</v>
      </c>
      <c r="BK71" s="1">
        <v>0.2419761967235762</v>
      </c>
      <c r="BL71" s="1">
        <v>-1.665506423678039E-3</v>
      </c>
      <c r="BM71" s="1">
        <v>0.10134369814421561</v>
      </c>
      <c r="BN71" s="1">
        <v>0.3264634375071227</v>
      </c>
      <c r="BO71" s="1">
        <v>9.3680303176817775E-2</v>
      </c>
      <c r="BP71" s="1">
        <v>2.4296282104430925E-2</v>
      </c>
      <c r="BQ71" s="1">
        <v>0.22695808658083566</v>
      </c>
      <c r="BR71" s="1">
        <v>0.18640995662069143</v>
      </c>
      <c r="BS71" s="1">
        <v>1</v>
      </c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</row>
    <row r="72" spans="1:85" x14ac:dyDescent="0.55000000000000004">
      <c r="A72" s="1" t="s">
        <v>77</v>
      </c>
      <c r="B72" s="1">
        <v>0.12489063543509948</v>
      </c>
      <c r="C72" s="1">
        <v>2.3558904627348179E-2</v>
      </c>
      <c r="D72" s="1">
        <v>-4.2246330052392117E-2</v>
      </c>
      <c r="E72" s="1">
        <v>-1.5534113283243993E-2</v>
      </c>
      <c r="F72" s="1">
        <v>0.13578548073733468</v>
      </c>
      <c r="G72" s="1">
        <v>-0.20005973272324015</v>
      </c>
      <c r="H72" s="1">
        <v>-0.11018445025888807</v>
      </c>
      <c r="I72" s="1">
        <v>6.6927718224438534E-2</v>
      </c>
      <c r="J72" s="1">
        <v>0.10365846544683269</v>
      </c>
      <c r="K72" s="1">
        <v>5.5320950253680751E-2</v>
      </c>
      <c r="L72" s="1">
        <v>-3.3802944126271564E-2</v>
      </c>
      <c r="M72" s="1">
        <v>0.20993702310966861</v>
      </c>
      <c r="N72" s="1">
        <v>0.1715040397763562</v>
      </c>
      <c r="O72" s="1">
        <v>0.13989325572597888</v>
      </c>
      <c r="P72" s="1">
        <v>0.16637274252941184</v>
      </c>
      <c r="Q72" s="1">
        <v>0.25288482629330544</v>
      </c>
      <c r="R72" s="1">
        <v>-1.0941351767928473E-2</v>
      </c>
      <c r="S72" s="1">
        <v>0.34926947163307265</v>
      </c>
      <c r="T72" s="1">
        <v>-1.8562641970222941E-2</v>
      </c>
      <c r="U72" s="1">
        <v>-0.12896587499476053</v>
      </c>
      <c r="V72" s="1">
        <v>-0.11601735037507262</v>
      </c>
      <c r="W72" s="1">
        <v>-6.951102957172782E-2</v>
      </c>
      <c r="X72" s="1">
        <v>7.2298008031270303E-2</v>
      </c>
      <c r="Y72" s="1">
        <v>0.14946992792122024</v>
      </c>
      <c r="Z72" s="1">
        <v>0.1340488445616341</v>
      </c>
      <c r="AA72" s="1">
        <v>0.17356784806545308</v>
      </c>
      <c r="AB72" s="1">
        <v>-0.13548041302347702</v>
      </c>
      <c r="AC72" s="1">
        <v>0.24799474930426088</v>
      </c>
      <c r="AD72" s="1">
        <v>0.15207562149430839</v>
      </c>
      <c r="AE72" s="1">
        <v>0.1781027521913936</v>
      </c>
      <c r="AF72" s="1">
        <v>0.14824055843172237</v>
      </c>
      <c r="AG72" s="1">
        <v>-1.0549819346853855E-2</v>
      </c>
      <c r="AH72" s="1">
        <v>0.18398265031606403</v>
      </c>
      <c r="AI72" s="1">
        <v>-0.25253815817213215</v>
      </c>
      <c r="AJ72" s="1">
        <v>-8.0428646411464258E-2</v>
      </c>
      <c r="AK72" s="1">
        <v>4.1803668631957204E-2</v>
      </c>
      <c r="AL72" s="1">
        <v>0.34403668802725068</v>
      </c>
      <c r="AM72" s="1">
        <v>3.0328909626873395E-2</v>
      </c>
      <c r="AN72" s="1">
        <v>0.1089294600633053</v>
      </c>
      <c r="AO72" s="1">
        <v>5.2522691781265764E-2</v>
      </c>
      <c r="AP72" s="1">
        <v>0.20092641652763157</v>
      </c>
      <c r="AQ72" s="1">
        <v>0.23151831760447047</v>
      </c>
      <c r="AR72" s="1">
        <v>0.12164742569219986</v>
      </c>
      <c r="AS72" s="1">
        <v>0.18586703997297527</v>
      </c>
      <c r="AT72" s="1">
        <v>0.31078140880655675</v>
      </c>
      <c r="AU72" s="1">
        <v>0.25469649466475469</v>
      </c>
      <c r="AV72" s="1">
        <v>-2.4648721322055492E-2</v>
      </c>
      <c r="AW72" s="1">
        <v>0.25190245977557668</v>
      </c>
      <c r="AX72" s="1">
        <v>0.29022898418929594</v>
      </c>
      <c r="AY72" s="1">
        <v>0.26541035026304854</v>
      </c>
      <c r="AZ72" s="1">
        <v>0.19655002917299969</v>
      </c>
      <c r="BA72" s="1">
        <v>0.18289976895363994</v>
      </c>
      <c r="BB72" s="1">
        <v>1.4491633902903468E-2</v>
      </c>
      <c r="BC72" s="1">
        <v>8.1501350434127803E-2</v>
      </c>
      <c r="BD72" s="1">
        <v>6.8314277394921782E-2</v>
      </c>
      <c r="BE72" s="1">
        <v>0.1915317338478279</v>
      </c>
      <c r="BF72" s="1">
        <v>5.2488117719569009E-2</v>
      </c>
      <c r="BG72" s="1">
        <v>-0.22915095345586373</v>
      </c>
      <c r="BH72" s="1">
        <v>-0.22112185099955819</v>
      </c>
      <c r="BI72" s="1">
        <v>6.2878015676429547E-2</v>
      </c>
      <c r="BJ72" s="1">
        <v>0.42494681309273219</v>
      </c>
      <c r="BK72" s="1">
        <v>-6.4922078764877766E-2</v>
      </c>
      <c r="BL72" s="1">
        <v>9.6067213731285392E-2</v>
      </c>
      <c r="BM72" s="1">
        <v>-8.190742094112588E-2</v>
      </c>
      <c r="BN72" s="1">
        <v>7.4173712350962012E-2</v>
      </c>
      <c r="BO72" s="1">
        <v>0.23331560033113771</v>
      </c>
      <c r="BP72" s="1">
        <v>0.24003599920519708</v>
      </c>
      <c r="BQ72" s="1">
        <v>8.9979342314564544E-4</v>
      </c>
      <c r="BR72" s="1">
        <v>-2.8302860829020264E-3</v>
      </c>
      <c r="BS72" s="1">
        <v>4.2872732796669664E-2</v>
      </c>
      <c r="BT72" s="1">
        <v>1</v>
      </c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</row>
    <row r="73" spans="1:85" x14ac:dyDescent="0.55000000000000004">
      <c r="A73" s="1" t="s">
        <v>78</v>
      </c>
      <c r="B73" s="1">
        <v>0.33628494303475087</v>
      </c>
      <c r="C73" s="1">
        <v>0.2415604731377218</v>
      </c>
      <c r="D73" s="1">
        <v>0.12989245769938307</v>
      </c>
      <c r="E73" s="1">
        <v>-9.2745162509392229E-2</v>
      </c>
      <c r="F73" s="1">
        <v>0.22266136392900476</v>
      </c>
      <c r="G73" s="1">
        <v>0.26611463429734222</v>
      </c>
      <c r="H73" s="1">
        <v>-0.13442161058846902</v>
      </c>
      <c r="I73" s="1">
        <v>0.29429254658709453</v>
      </c>
      <c r="J73" s="1">
        <v>-1.2803032383929471E-3</v>
      </c>
      <c r="K73" s="1">
        <v>7.3924555419777868E-2</v>
      </c>
      <c r="L73" s="1">
        <v>-1.7832904001012565E-2</v>
      </c>
      <c r="M73" s="1">
        <v>0.18766765920248218</v>
      </c>
      <c r="N73" s="1">
        <v>0.13668435313892716</v>
      </c>
      <c r="O73" s="1">
        <v>4.6011891557889836E-3</v>
      </c>
      <c r="P73" s="1">
        <v>0.18133651612059601</v>
      </c>
      <c r="Q73" s="1">
        <v>5.4205646957686628E-2</v>
      </c>
      <c r="R73" s="1">
        <v>-9.8856232440509922E-2</v>
      </c>
      <c r="S73" s="1">
        <v>0.10474851419904872</v>
      </c>
      <c r="T73" s="1">
        <v>-0.16473976653641909</v>
      </c>
      <c r="U73" s="1">
        <v>-0.13745346104949818</v>
      </c>
      <c r="V73" s="1">
        <v>-9.66382456104381E-2</v>
      </c>
      <c r="W73" s="1">
        <v>3.9004165089943463E-2</v>
      </c>
      <c r="X73" s="1">
        <v>8.7275697712963174E-2</v>
      </c>
      <c r="Y73" s="1">
        <v>9.1070019925419618E-2</v>
      </c>
      <c r="Z73" s="1">
        <v>0.17283631257433815</v>
      </c>
      <c r="AA73" s="1">
        <v>0.1261725227662969</v>
      </c>
      <c r="AB73" s="1">
        <v>6.8224448576513053E-2</v>
      </c>
      <c r="AC73" s="1">
        <v>0.1780733578545215</v>
      </c>
      <c r="AD73" s="1">
        <v>0.17877570484991814</v>
      </c>
      <c r="AE73" s="1">
        <v>8.3934746695051993E-2</v>
      </c>
      <c r="AF73" s="1">
        <v>6.3425729759959387E-2</v>
      </c>
      <c r="AG73" s="1">
        <v>-8.8193890131786135E-2</v>
      </c>
      <c r="AH73" s="1">
        <v>0.20543532120655447</v>
      </c>
      <c r="AI73" s="1">
        <v>0.25031471034897745</v>
      </c>
      <c r="AJ73" s="1">
        <v>5.6760229179348656E-2</v>
      </c>
      <c r="AK73" s="1">
        <v>5.5707896320996278E-2</v>
      </c>
      <c r="AL73" s="1">
        <v>0.36418751540698091</v>
      </c>
      <c r="AM73" s="1">
        <v>0.26185243334513592</v>
      </c>
      <c r="AN73" s="1">
        <v>0.21249928295998349</v>
      </c>
      <c r="AO73" s="1">
        <v>0.19530485549208432</v>
      </c>
      <c r="AP73" s="1">
        <v>0.22265915009268819</v>
      </c>
      <c r="AQ73" s="1">
        <v>0.1424174473613514</v>
      </c>
      <c r="AR73" s="1">
        <v>0.16594075284923029</v>
      </c>
      <c r="AS73" s="1">
        <v>0.20454359282802065</v>
      </c>
      <c r="AT73" s="1">
        <v>3.1364336721386971E-2</v>
      </c>
      <c r="AU73" s="1">
        <v>0.18781397643401626</v>
      </c>
      <c r="AV73" s="1">
        <v>0.18015074588158425</v>
      </c>
      <c r="AW73" s="1">
        <v>-0.16226995398210112</v>
      </c>
      <c r="AX73" s="1">
        <v>-0.16557114855849991</v>
      </c>
      <c r="AY73" s="1">
        <v>-0.19496915447307139</v>
      </c>
      <c r="AZ73" s="1">
        <v>2.7746470290643584E-2</v>
      </c>
      <c r="BA73" s="1">
        <v>-8.0288369962196127E-2</v>
      </c>
      <c r="BB73" s="1">
        <v>8.7723773578633479E-2</v>
      </c>
      <c r="BC73" s="1">
        <v>0.2026391395732402</v>
      </c>
      <c r="BD73" s="1">
        <v>1.9026395193303472E-2</v>
      </c>
      <c r="BE73" s="1">
        <v>0.20112608692538356</v>
      </c>
      <c r="BF73" s="1">
        <v>0.13020767365847394</v>
      </c>
      <c r="BG73" s="1">
        <v>-4.0447668287184657E-2</v>
      </c>
      <c r="BH73" s="1">
        <v>-6.7443600560205499E-2</v>
      </c>
      <c r="BI73" s="1">
        <v>6.6877165645438021E-3</v>
      </c>
      <c r="BJ73" s="1">
        <v>-3.9997768944875133E-2</v>
      </c>
      <c r="BK73" s="1">
        <v>0.14851913189686677</v>
      </c>
      <c r="BL73" s="1">
        <v>0.17555716230856441</v>
      </c>
      <c r="BM73" s="1">
        <v>0.16561567361455676</v>
      </c>
      <c r="BN73" s="1">
        <v>-0.13626381585200831</v>
      </c>
      <c r="BO73" s="1">
        <v>-0.10141689455444358</v>
      </c>
      <c r="BP73" s="1">
        <v>-8.4151853105642715E-2</v>
      </c>
      <c r="BQ73" s="1">
        <v>-0.136760585543443</v>
      </c>
      <c r="BR73" s="1">
        <v>0.19192994056227608</v>
      </c>
      <c r="BS73" s="1">
        <v>-4.2327790779485772E-2</v>
      </c>
      <c r="BT73" s="1">
        <v>0.11714326553584228</v>
      </c>
      <c r="BU73" s="1">
        <v>1</v>
      </c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</row>
    <row r="74" spans="1:85" x14ac:dyDescent="0.55000000000000004">
      <c r="A74" s="1" t="s">
        <v>79</v>
      </c>
      <c r="B74" s="1">
        <v>0.50438524965518072</v>
      </c>
      <c r="C74" s="1">
        <v>0.4004988656445756</v>
      </c>
      <c r="D74" s="1">
        <v>0.63906321633050478</v>
      </c>
      <c r="E74" s="1">
        <v>0.46609035334352217</v>
      </c>
      <c r="F74" s="1">
        <v>0.59275638694863975</v>
      </c>
      <c r="G74" s="1">
        <v>0.57557930302006188</v>
      </c>
      <c r="H74" s="1">
        <v>0.56300930465312393</v>
      </c>
      <c r="I74" s="1">
        <v>0.58471135592776979</v>
      </c>
      <c r="J74" s="1">
        <v>0.32567056238720582</v>
      </c>
      <c r="K74" s="1">
        <v>0.45957143972854214</v>
      </c>
      <c r="L74" s="1">
        <v>0.57845006850271208</v>
      </c>
      <c r="M74" s="1">
        <v>0.3612106979166223</v>
      </c>
      <c r="N74" s="1">
        <v>0.45694511109183211</v>
      </c>
      <c r="O74" s="1">
        <v>0.49056523721926976</v>
      </c>
      <c r="P74" s="1">
        <v>0.53966691853202109</v>
      </c>
      <c r="Q74" s="1">
        <v>0.40163915019921598</v>
      </c>
      <c r="R74" s="1">
        <v>0.21398544403016892</v>
      </c>
      <c r="S74" s="1">
        <v>0.15674940076419261</v>
      </c>
      <c r="T74" s="1">
        <v>0.14087933117385443</v>
      </c>
      <c r="U74" s="1">
        <v>5.5422969677848457E-3</v>
      </c>
      <c r="V74" s="1">
        <v>0.38073242633315962</v>
      </c>
      <c r="W74" s="1">
        <v>0.24382711437540486</v>
      </c>
      <c r="X74" s="1">
        <v>0.19693251453676422</v>
      </c>
      <c r="Y74" s="1">
        <v>0.33716064882258434</v>
      </c>
      <c r="Z74" s="1">
        <v>0.36439102065607043</v>
      </c>
      <c r="AA74" s="1">
        <v>0.37258980457540269</v>
      </c>
      <c r="AB74" s="1">
        <v>0.24441876003737539</v>
      </c>
      <c r="AC74" s="1">
        <v>0.28794612267097081</v>
      </c>
      <c r="AD74" s="1">
        <v>0.43567332036963857</v>
      </c>
      <c r="AE74" s="1">
        <v>0.1918013823567882</v>
      </c>
      <c r="AF74" s="1">
        <v>0.12699110934474789</v>
      </c>
      <c r="AG74" s="1">
        <v>3.4179896642632705E-2</v>
      </c>
      <c r="AH74" s="1">
        <v>0.24391830784536397</v>
      </c>
      <c r="AI74" s="1">
        <v>0.25808504958739753</v>
      </c>
      <c r="AJ74" s="1">
        <v>2.0773702735581361E-2</v>
      </c>
      <c r="AK74" s="1">
        <v>0.31646633264923463</v>
      </c>
      <c r="AL74" s="1">
        <v>0.36916995295855398</v>
      </c>
      <c r="AM74" s="1">
        <v>0.24269242697418436</v>
      </c>
      <c r="AN74" s="1">
        <v>0.17721571409191703</v>
      </c>
      <c r="AO74" s="1">
        <v>0.42138142948912116</v>
      </c>
      <c r="AP74" s="1">
        <v>0.20872884400871253</v>
      </c>
      <c r="AQ74" s="1">
        <v>0.36698841730650911</v>
      </c>
      <c r="AR74" s="1">
        <v>0.34716432476195147</v>
      </c>
      <c r="AS74" s="1">
        <v>0.39366448346221744</v>
      </c>
      <c r="AT74" s="1">
        <v>0.20300053186666897</v>
      </c>
      <c r="AU74" s="1">
        <v>0.29459711071792349</v>
      </c>
      <c r="AV74" s="1">
        <v>0.42083156789882625</v>
      </c>
      <c r="AW74" s="1">
        <v>-0.20543877762271065</v>
      </c>
      <c r="AX74" s="1">
        <v>-0.2945865966322605</v>
      </c>
      <c r="AY74" s="1">
        <v>-0.25585168525530272</v>
      </c>
      <c r="AZ74" s="1">
        <v>5.7268905854546102E-2</v>
      </c>
      <c r="BA74" s="1">
        <v>0.21427242164142815</v>
      </c>
      <c r="BB74" s="1">
        <v>0.25638148072279182</v>
      </c>
      <c r="BC74" s="1">
        <v>0.3919741033978088</v>
      </c>
      <c r="BD74" s="1">
        <v>0.42098256419928665</v>
      </c>
      <c r="BE74" s="1">
        <v>0.29904052878461423</v>
      </c>
      <c r="BF74" s="1">
        <v>0.33432469440545809</v>
      </c>
      <c r="BG74" s="1">
        <v>7.9365110783729986E-2</v>
      </c>
      <c r="BH74" s="1">
        <v>5.8719717461072386E-2</v>
      </c>
      <c r="BI74" s="1">
        <v>0.19504074254512443</v>
      </c>
      <c r="BJ74" s="1">
        <v>-4.6078874835165221E-2</v>
      </c>
      <c r="BK74" s="1">
        <v>0.26000718832972547</v>
      </c>
      <c r="BL74" s="1">
        <v>0.11687283891042691</v>
      </c>
      <c r="BM74" s="1">
        <v>0.34003876603490674</v>
      </c>
      <c r="BN74" s="1">
        <v>0.11700461600501405</v>
      </c>
      <c r="BO74" s="1">
        <v>-2.9441284013691964E-3</v>
      </c>
      <c r="BP74" s="1">
        <v>0.13586100654642383</v>
      </c>
      <c r="BQ74" s="1">
        <v>0.27158320049614815</v>
      </c>
      <c r="BR74" s="1">
        <v>0.56287559377532981</v>
      </c>
      <c r="BS74" s="1">
        <v>0.23561140127763841</v>
      </c>
      <c r="BT74" s="1">
        <v>-7.3731368761273272E-2</v>
      </c>
      <c r="BU74" s="1">
        <v>0.22752892899956231</v>
      </c>
      <c r="BV74" s="1">
        <v>1</v>
      </c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</row>
    <row r="75" spans="1:85" x14ac:dyDescent="0.55000000000000004">
      <c r="A75" s="1" t="s">
        <v>80</v>
      </c>
      <c r="B75" s="1">
        <v>1.1344002623669398E-2</v>
      </c>
      <c r="C75" s="1">
        <v>-2.8511646637073243E-2</v>
      </c>
      <c r="D75" s="1">
        <v>-7.803807911377067E-2</v>
      </c>
      <c r="E75" s="1">
        <v>1.9844683336047546E-3</v>
      </c>
      <c r="F75" s="1">
        <v>-1.1083226289891208E-2</v>
      </c>
      <c r="G75" s="1">
        <v>0.1348745604321982</v>
      </c>
      <c r="H75" s="1">
        <v>0.19617245163491334</v>
      </c>
      <c r="I75" s="1">
        <v>-7.1735888611479282E-2</v>
      </c>
      <c r="J75" s="1">
        <v>6.4768302675606293E-3</v>
      </c>
      <c r="K75" s="1">
        <v>0.21599590990989823</v>
      </c>
      <c r="L75" s="1">
        <v>9.7158275223996768E-2</v>
      </c>
      <c r="M75" s="1">
        <v>4.2631064198930597E-2</v>
      </c>
      <c r="N75" s="1">
        <v>0.14941572387189089</v>
      </c>
      <c r="O75" s="1">
        <v>-3.7932754514074601E-2</v>
      </c>
      <c r="P75" s="1">
        <v>0.16955247487190481</v>
      </c>
      <c r="Q75" s="1">
        <v>9.6464346427612341E-2</v>
      </c>
      <c r="R75" s="1">
        <v>0.12260019493972434</v>
      </c>
      <c r="S75" s="1">
        <v>-6.23654041700391E-2</v>
      </c>
      <c r="T75" s="1">
        <v>-2.082774491196431E-4</v>
      </c>
      <c r="U75" s="1">
        <v>0.20753474337357061</v>
      </c>
      <c r="V75" s="1">
        <v>0.11336647614545942</v>
      </c>
      <c r="W75" s="1">
        <v>0.2578541189025933</v>
      </c>
      <c r="X75" s="1">
        <v>4.003004438399009E-2</v>
      </c>
      <c r="Y75" s="1">
        <v>-9.8792167858805235E-2</v>
      </c>
      <c r="Z75" s="1">
        <v>-1.7487911526675719E-2</v>
      </c>
      <c r="AA75" s="1">
        <v>2.2062444033766834E-2</v>
      </c>
      <c r="AB75" s="1">
        <v>4.2238115030405143E-2</v>
      </c>
      <c r="AC75" s="1">
        <v>-9.1416523684987594E-2</v>
      </c>
      <c r="AD75" s="1">
        <v>-1.1158562550586667E-2</v>
      </c>
      <c r="AE75" s="1">
        <v>-3.7308482091048846E-2</v>
      </c>
      <c r="AF75" s="1">
        <v>-5.2703980054339822E-2</v>
      </c>
      <c r="AG75" s="1">
        <v>-6.3285630352197643E-3</v>
      </c>
      <c r="AH75" s="1">
        <v>-9.503170503030571E-2</v>
      </c>
      <c r="AI75" s="1">
        <v>0.11235712644584506</v>
      </c>
      <c r="AJ75" s="1">
        <v>-5.6523040580493761E-2</v>
      </c>
      <c r="AK75" s="1">
        <v>9.3700552261908904E-2</v>
      </c>
      <c r="AL75" s="1">
        <v>1.2969615756440371E-2</v>
      </c>
      <c r="AM75" s="1">
        <v>-6.8810607288744233E-2</v>
      </c>
      <c r="AN75" s="1">
        <v>3.148532656852749E-2</v>
      </c>
      <c r="AO75" s="1">
        <v>-0.14485895300126334</v>
      </c>
      <c r="AP75" s="1">
        <v>-0.16374250575695456</v>
      </c>
      <c r="AQ75" s="1">
        <v>-0.11245137855494114</v>
      </c>
      <c r="AR75" s="1">
        <v>-9.8458666103450596E-2</v>
      </c>
      <c r="AS75" s="1">
        <v>-0.15014502978162356</v>
      </c>
      <c r="AT75" s="1">
        <v>-0.14455855538996837</v>
      </c>
      <c r="AU75" s="1">
        <v>-0.11387374576001238</v>
      </c>
      <c r="AV75" s="1">
        <v>4.3434703701720596E-2</v>
      </c>
      <c r="AW75" s="1">
        <v>-7.9003276291354771E-2</v>
      </c>
      <c r="AX75" s="1">
        <v>-6.5930250227535445E-2</v>
      </c>
      <c r="AY75" s="1">
        <v>-6.1458862897332767E-2</v>
      </c>
      <c r="AZ75" s="1">
        <v>6.8198680487451216E-2</v>
      </c>
      <c r="BA75" s="1">
        <v>-5.7250212704142787E-2</v>
      </c>
      <c r="BB75" s="1">
        <v>-5.8625462731625305E-2</v>
      </c>
      <c r="BC75" s="1">
        <v>9.3306295054462141E-2</v>
      </c>
      <c r="BD75" s="1">
        <v>-3.2540403049975984E-2</v>
      </c>
      <c r="BE75" s="1">
        <v>-2.096241808800638E-2</v>
      </c>
      <c r="BF75" s="1">
        <v>-3.5644809931514726E-2</v>
      </c>
      <c r="BG75" s="1">
        <v>8.3643900142202118E-2</v>
      </c>
      <c r="BH75" s="1">
        <v>-8.4117595412013718E-2</v>
      </c>
      <c r="BI75" s="1">
        <v>-9.0536150685535277E-2</v>
      </c>
      <c r="BJ75" s="1">
        <v>-0.23160830678817135</v>
      </c>
      <c r="BK75" s="1">
        <v>0.13164687457727292</v>
      </c>
      <c r="BL75" s="1">
        <v>-0.14356638215021941</v>
      </c>
      <c r="BM75" s="1">
        <v>-1.9306330056193612E-2</v>
      </c>
      <c r="BN75" s="1">
        <v>0.16630549715315271</v>
      </c>
      <c r="BO75" s="1">
        <v>4.6062465653379098E-3</v>
      </c>
      <c r="BP75" s="1">
        <v>-9.8765556293425497E-2</v>
      </c>
      <c r="BQ75" s="1">
        <v>-1.7372492814064954E-2</v>
      </c>
      <c r="BR75" s="1">
        <v>-5.0890846047812549E-2</v>
      </c>
      <c r="BS75" s="1">
        <v>2.0228219885711749E-2</v>
      </c>
      <c r="BT75" s="1">
        <v>-0.2402240393194883</v>
      </c>
      <c r="BU75" s="1">
        <v>-0.23370082976837869</v>
      </c>
      <c r="BV75" s="1">
        <v>0.10318974585448962</v>
      </c>
      <c r="BW75" s="1">
        <v>1</v>
      </c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 spans="1:85" x14ac:dyDescent="0.55000000000000004">
      <c r="A76" s="1" t="s">
        <v>81</v>
      </c>
      <c r="B76" s="1">
        <v>9.7612361219218097E-2</v>
      </c>
      <c r="C76" s="1">
        <v>-9.9292908092015963E-2</v>
      </c>
      <c r="D76" s="1">
        <v>0.10820392210219044</v>
      </c>
      <c r="E76" s="1">
        <v>0.39844547967404287</v>
      </c>
      <c r="F76" s="1">
        <v>0.17160481473473607</v>
      </c>
      <c r="G76" s="1">
        <v>0.40692658126848535</v>
      </c>
      <c r="H76" s="1">
        <v>0.34469753886196974</v>
      </c>
      <c r="I76" s="1">
        <v>0.44474931662667816</v>
      </c>
      <c r="J76" s="1">
        <v>2.3423602465413595E-2</v>
      </c>
      <c r="K76" s="1">
        <v>0.1815264116934007</v>
      </c>
      <c r="L76" s="1">
        <v>0.43232327696632311</v>
      </c>
      <c r="M76" s="1">
        <v>0.13591432673433523</v>
      </c>
      <c r="N76" s="1">
        <v>4.4168849013051133E-2</v>
      </c>
      <c r="O76" s="1">
        <v>0.10711447542971234</v>
      </c>
      <c r="P76" s="1">
        <v>0.28478481901697927</v>
      </c>
      <c r="Q76" s="1">
        <v>9.7309051382370337E-2</v>
      </c>
      <c r="R76" s="1">
        <v>0.35161227648148979</v>
      </c>
      <c r="S76" s="1">
        <v>0.10371866796507666</v>
      </c>
      <c r="T76" s="1">
        <v>0.42584150477146154</v>
      </c>
      <c r="U76" s="1">
        <v>0.12320950289998782</v>
      </c>
      <c r="V76" s="1">
        <v>0.37725482872666893</v>
      </c>
      <c r="W76" s="1">
        <v>0.1169110619181143</v>
      </c>
      <c r="X76" s="1">
        <v>-0.22744909963031815</v>
      </c>
      <c r="Y76" s="1">
        <v>-1.3824075294387879E-2</v>
      </c>
      <c r="Z76" s="1">
        <v>0.13221974868745537</v>
      </c>
      <c r="AA76" s="1">
        <v>-4.2483546875888088E-2</v>
      </c>
      <c r="AB76" s="1">
        <v>-9.7006080731680003E-2</v>
      </c>
      <c r="AC76" s="1">
        <v>0.35328039657672505</v>
      </c>
      <c r="AD76" s="1">
        <v>0.21187141376525745</v>
      </c>
      <c r="AE76" s="1">
        <v>-1.3598561544715781E-2</v>
      </c>
      <c r="AF76" s="1">
        <v>0.32103312172557003</v>
      </c>
      <c r="AG76" s="1">
        <v>0.10498955573422868</v>
      </c>
      <c r="AH76" s="1">
        <v>0.13175360717365936</v>
      </c>
      <c r="AI76" s="1">
        <v>7.4429565653770921E-3</v>
      </c>
      <c r="AJ76" s="1">
        <v>-0.29900061412450996</v>
      </c>
      <c r="AK76" s="1">
        <v>0.10335053334161833</v>
      </c>
      <c r="AL76" s="1">
        <v>0.11395150459622999</v>
      </c>
      <c r="AM76" s="1">
        <v>-0.23171993659998774</v>
      </c>
      <c r="AN76" s="1">
        <v>4.7683485985295586E-2</v>
      </c>
      <c r="AO76" s="1">
        <v>0.34445860147985685</v>
      </c>
      <c r="AP76" s="1">
        <v>0.10693852201452533</v>
      </c>
      <c r="AQ76" s="1">
        <v>0.10854526601098123</v>
      </c>
      <c r="AR76" s="1">
        <v>0.16043179809137781</v>
      </c>
      <c r="AS76" s="1">
        <v>0.27290350581115297</v>
      </c>
      <c r="AT76" s="1">
        <v>0.20253587333195167</v>
      </c>
      <c r="AU76" s="1">
        <v>0.18755832485095791</v>
      </c>
      <c r="AV76" s="1">
        <v>-9.5110203399142394E-3</v>
      </c>
      <c r="AW76" s="1">
        <v>-3.8340196917643252E-3</v>
      </c>
      <c r="AX76" s="1">
        <v>-0.1265362626617586</v>
      </c>
      <c r="AY76" s="1">
        <v>-3.421248350714935E-3</v>
      </c>
      <c r="AZ76" s="1">
        <v>0.32254758002514816</v>
      </c>
      <c r="BA76" s="1">
        <v>0.27870683096130661</v>
      </c>
      <c r="BB76" s="1">
        <v>0.50628173109117658</v>
      </c>
      <c r="BC76" s="1">
        <v>0.18274940291540198</v>
      </c>
      <c r="BD76" s="1">
        <v>0.42195200261683685</v>
      </c>
      <c r="BE76" s="1">
        <v>0.28084639503722553</v>
      </c>
      <c r="BF76" s="1">
        <v>2.0137503267696742E-3</v>
      </c>
      <c r="BG76" s="1">
        <v>0.40478395632291936</v>
      </c>
      <c r="BH76" s="1">
        <v>0.1554826471052842</v>
      </c>
      <c r="BI76" s="1">
        <v>0.119898109643524</v>
      </c>
      <c r="BJ76" s="1">
        <v>0.22935147388556065</v>
      </c>
      <c r="BK76" s="1">
        <v>3.2291619571803654E-2</v>
      </c>
      <c r="BL76" s="1">
        <v>0.25480527337285891</v>
      </c>
      <c r="BM76" s="1">
        <v>0.46643851121082525</v>
      </c>
      <c r="BN76" s="1">
        <v>0.35811423606216347</v>
      </c>
      <c r="BO76" s="1">
        <v>-6.4753262241647527E-2</v>
      </c>
      <c r="BP76" s="1">
        <v>0.17453137001542579</v>
      </c>
      <c r="BQ76" s="1">
        <v>0.35620676262583206</v>
      </c>
      <c r="BR76" s="1">
        <v>0.23962932076318202</v>
      </c>
      <c r="BS76" s="1">
        <v>1.3122720114004238E-2</v>
      </c>
      <c r="BT76" s="1">
        <v>-0.29773196079080599</v>
      </c>
      <c r="BU76" s="1">
        <v>-9.7677400917693183E-2</v>
      </c>
      <c r="BV76" s="1">
        <v>0.23490761870520463</v>
      </c>
      <c r="BW76" s="1">
        <v>0.47842781584266258</v>
      </c>
      <c r="BX76" s="1">
        <v>1</v>
      </c>
      <c r="BY76" s="1"/>
      <c r="BZ76" s="1"/>
      <c r="CA76" s="1"/>
      <c r="CB76" s="1"/>
      <c r="CC76" s="1"/>
      <c r="CD76" s="1"/>
      <c r="CE76" s="1"/>
      <c r="CF76" s="1"/>
      <c r="CG76" s="1"/>
    </row>
    <row r="77" spans="1:85" x14ac:dyDescent="0.55000000000000004">
      <c r="A77" s="1" t="s">
        <v>82</v>
      </c>
      <c r="B77" s="1">
        <v>0.50893064634329965</v>
      </c>
      <c r="C77" s="1">
        <v>0.41059338445031779</v>
      </c>
      <c r="D77" s="1">
        <v>0.57171224537751963</v>
      </c>
      <c r="E77" s="1">
        <v>0.49757319464445471</v>
      </c>
      <c r="F77" s="1">
        <v>0.62104736200861477</v>
      </c>
      <c r="G77" s="1">
        <v>0.21110291924594304</v>
      </c>
      <c r="H77" s="1">
        <v>0.3424036746229151</v>
      </c>
      <c r="I77" s="1">
        <v>0.53313522128261948</v>
      </c>
      <c r="J77" s="1">
        <v>0.27473494018756622</v>
      </c>
      <c r="K77" s="1">
        <v>0.44989479702666008</v>
      </c>
      <c r="L77" s="1">
        <v>0.67950302965734011</v>
      </c>
      <c r="M77" s="1">
        <v>0.53637910008569678</v>
      </c>
      <c r="N77" s="1">
        <v>0.50497811186052355</v>
      </c>
      <c r="O77" s="1">
        <v>0.48261859273876778</v>
      </c>
      <c r="P77" s="1">
        <v>0.54553526854703616</v>
      </c>
      <c r="Q77" s="1">
        <v>0.3993701390277079</v>
      </c>
      <c r="R77" s="1">
        <v>0.5234702646950149</v>
      </c>
      <c r="S77" s="1">
        <v>0.22322995475040577</v>
      </c>
      <c r="T77" s="1">
        <v>9.4893792975297792E-2</v>
      </c>
      <c r="U77" s="1">
        <v>0.20121195519561116</v>
      </c>
      <c r="V77" s="1">
        <v>0.29917597990274097</v>
      </c>
      <c r="W77" s="1">
        <v>0.43166806157888005</v>
      </c>
      <c r="X77" s="1">
        <v>0.43385287169333664</v>
      </c>
      <c r="Y77" s="1">
        <v>0.45983615089547342</v>
      </c>
      <c r="Z77" s="1">
        <v>0.47387460847608209</v>
      </c>
      <c r="AA77" s="1">
        <v>0.51193801703743647</v>
      </c>
      <c r="AB77" s="1">
        <v>0.23804707790764609</v>
      </c>
      <c r="AC77" s="1">
        <v>0.54041221448839338</v>
      </c>
      <c r="AD77" s="1">
        <v>0.67843259814342016</v>
      </c>
      <c r="AE77" s="1">
        <v>0.46080598172712167</v>
      </c>
      <c r="AF77" s="1">
        <v>0.3305419717770261</v>
      </c>
      <c r="AG77" s="1">
        <v>-0.30109173834241981</v>
      </c>
      <c r="AH77" s="1">
        <v>0.36914613968300375</v>
      </c>
      <c r="AI77" s="1">
        <v>0.12665793529860506</v>
      </c>
      <c r="AJ77" s="1">
        <v>0.14816550149693059</v>
      </c>
      <c r="AK77" s="1">
        <v>0.62091000791097994</v>
      </c>
      <c r="AL77" s="1">
        <v>0.45459927521847293</v>
      </c>
      <c r="AM77" s="1">
        <v>0.35157278670072534</v>
      </c>
      <c r="AN77" s="1">
        <v>0.3538343457294103</v>
      </c>
      <c r="AO77" s="1">
        <v>6.4997192059121592E-2</v>
      </c>
      <c r="AP77" s="1">
        <v>0.35402698725798687</v>
      </c>
      <c r="AQ77" s="1">
        <v>0.42361605698258747</v>
      </c>
      <c r="AR77" s="1">
        <v>0.48899618654598975</v>
      </c>
      <c r="AS77" s="1">
        <v>0.37897689828042969</v>
      </c>
      <c r="AT77" s="1">
        <v>7.6609919209420188E-2</v>
      </c>
      <c r="AU77" s="1">
        <v>0.30366083809579564</v>
      </c>
      <c r="AV77" s="1">
        <v>0.27620625075556254</v>
      </c>
      <c r="AW77" s="1">
        <v>-0.28736910433976276</v>
      </c>
      <c r="AX77" s="1">
        <v>-0.29111444339344439</v>
      </c>
      <c r="AY77" s="1">
        <v>-0.38968917813763781</v>
      </c>
      <c r="AZ77" s="1">
        <v>-0.35951108614431265</v>
      </c>
      <c r="BA77" s="1">
        <v>0.46241250754839447</v>
      </c>
      <c r="BB77" s="1">
        <v>0.45303267545522369</v>
      </c>
      <c r="BC77" s="1">
        <v>0.56184788573873257</v>
      </c>
      <c r="BD77" s="1">
        <v>0.52549922213348688</v>
      </c>
      <c r="BE77" s="1">
        <v>0.54105170584924056</v>
      </c>
      <c r="BF77" s="1">
        <v>0.29888138297185185</v>
      </c>
      <c r="BG77" s="1">
        <v>7.5364576856036345E-3</v>
      </c>
      <c r="BH77" s="1">
        <v>-1.6371921643524485E-2</v>
      </c>
      <c r="BI77" s="1">
        <v>0.50889005992381586</v>
      </c>
      <c r="BJ77" s="1">
        <v>-7.5484192997483976E-2</v>
      </c>
      <c r="BK77" s="1">
        <v>0.27898086765573471</v>
      </c>
      <c r="BL77" s="1">
        <v>-0.17030659176781554</v>
      </c>
      <c r="BM77" s="1">
        <v>0.2095211137938798</v>
      </c>
      <c r="BN77" s="1">
        <v>0.19726911655712528</v>
      </c>
      <c r="BO77" s="1">
        <v>6.8724529273271426E-2</v>
      </c>
      <c r="BP77" s="1">
        <v>0.38482693811034058</v>
      </c>
      <c r="BQ77" s="1">
        <v>0.52254644228102243</v>
      </c>
      <c r="BR77" s="1">
        <v>0.76960100312849145</v>
      </c>
      <c r="BS77" s="1">
        <v>0.24506631388628544</v>
      </c>
      <c r="BT77" s="1">
        <v>7.1150168655829779E-2</v>
      </c>
      <c r="BU77" s="1">
        <v>1.5826389913101487E-2</v>
      </c>
      <c r="BV77" s="1">
        <v>0.44241397985911263</v>
      </c>
      <c r="BW77" s="1">
        <v>-8.7316281068473035E-3</v>
      </c>
      <c r="BX77" s="1">
        <v>0.23873515091069097</v>
      </c>
      <c r="BY77" s="1">
        <v>1</v>
      </c>
      <c r="BZ77" s="1"/>
      <c r="CA77" s="1"/>
      <c r="CB77" s="1"/>
      <c r="CC77" s="1"/>
      <c r="CD77" s="1"/>
      <c r="CE77" s="1"/>
      <c r="CF77" s="1"/>
      <c r="CG77" s="1"/>
    </row>
    <row r="78" spans="1:85" x14ac:dyDescent="0.55000000000000004">
      <c r="A78" s="1" t="s">
        <v>83</v>
      </c>
      <c r="B78" s="1">
        <v>0.49528096426846324</v>
      </c>
      <c r="C78" s="1">
        <v>3.3483192792085108E-2</v>
      </c>
      <c r="D78" s="1">
        <v>0.27739318803974972</v>
      </c>
      <c r="E78" s="1">
        <v>0.51009286712690627</v>
      </c>
      <c r="F78" s="1">
        <v>0.36916100902486199</v>
      </c>
      <c r="G78" s="1">
        <v>0.21334035909164134</v>
      </c>
      <c r="H78" s="1">
        <v>0.39346921366193216</v>
      </c>
      <c r="I78" s="1">
        <v>0.35621974488370944</v>
      </c>
      <c r="J78" s="1">
        <v>0.54375110013924843</v>
      </c>
      <c r="K78" s="1">
        <v>0.35454960135942903</v>
      </c>
      <c r="L78" s="1">
        <v>0.56482015228168181</v>
      </c>
      <c r="M78" s="1">
        <v>0.35104897491920461</v>
      </c>
      <c r="N78" s="1">
        <v>0.11889827861771075</v>
      </c>
      <c r="O78" s="1">
        <v>0.24425557980538787</v>
      </c>
      <c r="P78" s="1">
        <v>0.42426380139972308</v>
      </c>
      <c r="Q78" s="1">
        <v>0.38128110809161692</v>
      </c>
      <c r="R78" s="1">
        <v>0.46293307578290599</v>
      </c>
      <c r="S78" s="1">
        <v>0.22018500245774442</v>
      </c>
      <c r="T78" s="1">
        <v>1.9467298424830633E-2</v>
      </c>
      <c r="U78" s="1">
        <v>8.9625120672888275E-2</v>
      </c>
      <c r="V78" s="1">
        <v>0.15320673998358422</v>
      </c>
      <c r="W78" s="1">
        <v>0.14016602641393108</v>
      </c>
      <c r="X78" s="1">
        <v>3.8675025403679265E-2</v>
      </c>
      <c r="Y78" s="1">
        <v>0.41249267706754755</v>
      </c>
      <c r="Z78" s="1">
        <v>0.29159499025960528</v>
      </c>
      <c r="AA78" s="1">
        <v>0.14198807361262555</v>
      </c>
      <c r="AB78" s="1">
        <v>1.3960325237686691E-2</v>
      </c>
      <c r="AC78" s="1">
        <v>0.49940243046085792</v>
      </c>
      <c r="AD78" s="1">
        <v>0.58841680334890367</v>
      </c>
      <c r="AE78" s="1">
        <v>0.1608847907537985</v>
      </c>
      <c r="AF78" s="1">
        <v>0.28294164588988352</v>
      </c>
      <c r="AG78" s="1">
        <v>-0.14762240163692028</v>
      </c>
      <c r="AH78" s="1">
        <v>0.22039864308692064</v>
      </c>
      <c r="AI78" s="1">
        <v>0.10754602351103118</v>
      </c>
      <c r="AJ78" s="1">
        <v>6.7706170810173064E-2</v>
      </c>
      <c r="AK78" s="1">
        <v>0.38420623045008712</v>
      </c>
      <c r="AL78" s="1">
        <v>0.36486870156081636</v>
      </c>
      <c r="AM78" s="1">
        <v>5.5952964615809488E-2</v>
      </c>
      <c r="AN78" s="1">
        <v>0.11556299851983309</v>
      </c>
      <c r="AO78" s="1">
        <v>0.25529111287644818</v>
      </c>
      <c r="AP78" s="1">
        <v>0.19431401413961547</v>
      </c>
      <c r="AQ78" s="1">
        <v>0.17960286668461006</v>
      </c>
      <c r="AR78" s="1">
        <v>0.1569812887013661</v>
      </c>
      <c r="AS78" s="1">
        <v>0.40785892458900197</v>
      </c>
      <c r="AT78" s="1">
        <v>9.9619257145226209E-2</v>
      </c>
      <c r="AU78" s="1">
        <v>9.2553542844886871E-2</v>
      </c>
      <c r="AV78" s="1">
        <v>2.3135739986721204E-2</v>
      </c>
      <c r="AW78" s="1">
        <v>-0.1884634927518459</v>
      </c>
      <c r="AX78" s="1">
        <v>-0.27215243159620617</v>
      </c>
      <c r="AY78" s="1">
        <v>-0.20594690909669974</v>
      </c>
      <c r="AZ78" s="1">
        <v>-8.4588995490222606E-3</v>
      </c>
      <c r="BA78" s="1">
        <v>0.24599330852676607</v>
      </c>
      <c r="BB78" s="1">
        <v>0.29357728368647135</v>
      </c>
      <c r="BC78" s="1">
        <v>0.25958265284098309</v>
      </c>
      <c r="BD78" s="1">
        <v>0.4060819696518162</v>
      </c>
      <c r="BE78" s="1">
        <v>0.15223106233661279</v>
      </c>
      <c r="BF78" s="1">
        <v>-1.454770444547631E-2</v>
      </c>
      <c r="BG78" s="1">
        <v>4.9514289870763875E-3</v>
      </c>
      <c r="BH78" s="1">
        <v>0.12488289809404431</v>
      </c>
      <c r="BI78" s="1">
        <v>0.38867280200894683</v>
      </c>
      <c r="BJ78" s="1">
        <v>0.13496390304569561</v>
      </c>
      <c r="BK78" s="1">
        <v>0.20249618942375641</v>
      </c>
      <c r="BL78" s="1">
        <v>-1.3478359716176124E-2</v>
      </c>
      <c r="BM78" s="1">
        <v>0.14364434654895997</v>
      </c>
      <c r="BN78" s="1">
        <v>0.18577070702204704</v>
      </c>
      <c r="BO78" s="1">
        <v>-5.0193713367213677E-2</v>
      </c>
      <c r="BP78" s="1">
        <v>0.11029056778298828</v>
      </c>
      <c r="BQ78" s="1">
        <v>0.41549042147971854</v>
      </c>
      <c r="BR78" s="1">
        <v>0.53831484055112844</v>
      </c>
      <c r="BS78" s="1">
        <v>0.29447046572959396</v>
      </c>
      <c r="BT78" s="1">
        <v>-2.7210867599362993E-2</v>
      </c>
      <c r="BU78" s="1">
        <v>0.13064647974369786</v>
      </c>
      <c r="BV78" s="1">
        <v>0.26382164625656135</v>
      </c>
      <c r="BW78" s="1">
        <v>-2.5715734832693782E-2</v>
      </c>
      <c r="BX78" s="1">
        <v>0.24449627867043716</v>
      </c>
      <c r="BY78" s="1">
        <v>0.41014914533014907</v>
      </c>
      <c r="BZ78" s="1">
        <v>1</v>
      </c>
      <c r="CA78" s="1"/>
      <c r="CB78" s="1"/>
      <c r="CC78" s="1"/>
      <c r="CD78" s="1"/>
      <c r="CE78" s="1"/>
      <c r="CF78" s="1"/>
      <c r="CG78" s="1"/>
    </row>
    <row r="79" spans="1:85" x14ac:dyDescent="0.55000000000000004">
      <c r="A79" s="1" t="s">
        <v>84</v>
      </c>
      <c r="B79" s="1">
        <v>0.19533871640570163</v>
      </c>
      <c r="C79" s="1">
        <v>-5.117324997103808E-2</v>
      </c>
      <c r="D79" s="1">
        <v>1.2258773763031494E-2</v>
      </c>
      <c r="E79" s="1">
        <v>0.12605576751171829</v>
      </c>
      <c r="F79" s="1">
        <v>0.15902514086983996</v>
      </c>
      <c r="G79" s="1">
        <v>0.30224550413444035</v>
      </c>
      <c r="H79" s="1">
        <v>0.18009828063610234</v>
      </c>
      <c r="I79" s="1">
        <v>2.9416058422938946E-2</v>
      </c>
      <c r="J79" s="1">
        <v>0.29787537757333182</v>
      </c>
      <c r="K79" s="1">
        <v>0.35905876735207143</v>
      </c>
      <c r="L79" s="1">
        <v>0.14369109812698147</v>
      </c>
      <c r="M79" s="1">
        <v>-3.528058981989441E-2</v>
      </c>
      <c r="N79" s="1">
        <v>0.21065936220407031</v>
      </c>
      <c r="O79" s="1">
        <v>-2.1096323812507683E-2</v>
      </c>
      <c r="P79" s="1">
        <v>0.23525936708618589</v>
      </c>
      <c r="Q79" s="1">
        <v>0.25995246150739304</v>
      </c>
      <c r="R79" s="1">
        <v>0.27854337628041875</v>
      </c>
      <c r="S79" s="1">
        <v>1.9864738042723695E-3</v>
      </c>
      <c r="T79" s="1">
        <v>5.2028631744981506E-2</v>
      </c>
      <c r="U79" s="1">
        <v>0.31536824492695403</v>
      </c>
      <c r="V79" s="1">
        <v>0.25381543222540881</v>
      </c>
      <c r="W79" s="1">
        <v>0.20017000577093944</v>
      </c>
      <c r="X79" s="1">
        <v>8.8232540070398865E-2</v>
      </c>
      <c r="Y79" s="1">
        <v>1.8637244594745968E-2</v>
      </c>
      <c r="Z79" s="1">
        <v>0.10117991804562558</v>
      </c>
      <c r="AA79" s="1">
        <v>0.13225104214496469</v>
      </c>
      <c r="AB79" s="1">
        <v>-2.9084247433984033E-4</v>
      </c>
      <c r="AC79" s="1">
        <v>0.10055618260766028</v>
      </c>
      <c r="AD79" s="1">
        <v>0.1189421619681736</v>
      </c>
      <c r="AE79" s="1">
        <v>0.16034935182241394</v>
      </c>
      <c r="AF79" s="1">
        <v>5.4308620845728926E-2</v>
      </c>
      <c r="AG79" s="1">
        <v>-5.3099568247116098E-2</v>
      </c>
      <c r="AH79" s="1">
        <v>7.0940166322412776E-2</v>
      </c>
      <c r="AI79" s="1">
        <v>4.5106150942228175E-2</v>
      </c>
      <c r="AJ79" s="1">
        <v>-1.8862698756798725E-3</v>
      </c>
      <c r="AK79" s="1">
        <v>0.30418385857640984</v>
      </c>
      <c r="AL79" s="1">
        <v>0.17665106454006818</v>
      </c>
      <c r="AM79" s="1">
        <v>0.22285499948173956</v>
      </c>
      <c r="AN79" s="1">
        <v>0.23973052445599274</v>
      </c>
      <c r="AO79" s="1">
        <v>-6.4767994801704268E-2</v>
      </c>
      <c r="AP79" s="1">
        <v>3.6182735500836623E-2</v>
      </c>
      <c r="AQ79" s="1">
        <v>0.12834167287184273</v>
      </c>
      <c r="AR79" s="1">
        <v>-5.3969007106600533E-2</v>
      </c>
      <c r="AS79" s="1">
        <v>-7.073331154432488E-3</v>
      </c>
      <c r="AT79" s="1">
        <v>-5.2963455370830179E-2</v>
      </c>
      <c r="AU79" s="1">
        <v>-5.6183883772206568E-3</v>
      </c>
      <c r="AV79" s="1">
        <v>0.12175752250294833</v>
      </c>
      <c r="AW79" s="1">
        <v>-0.13292297545888163</v>
      </c>
      <c r="AX79" s="1">
        <v>-8.5317891652526956E-2</v>
      </c>
      <c r="AY79" s="1">
        <v>-9.2863212867706185E-2</v>
      </c>
      <c r="AZ79" s="1">
        <v>-8.3901598745199906E-3</v>
      </c>
      <c r="BA79" s="1">
        <v>0.12931316081909494</v>
      </c>
      <c r="BB79" s="1">
        <v>6.2354770052094964E-2</v>
      </c>
      <c r="BC79" s="1">
        <v>-2.6413315179044449E-2</v>
      </c>
      <c r="BD79" s="1">
        <v>0.10883040784044329</v>
      </c>
      <c r="BE79" s="1">
        <v>6.1772746951326334E-2</v>
      </c>
      <c r="BF79" s="1">
        <v>-0.13350820619221654</v>
      </c>
      <c r="BG79" s="1">
        <v>-1.7695248655315188E-2</v>
      </c>
      <c r="BH79" s="1">
        <v>5.9934407579976368E-2</v>
      </c>
      <c r="BI79" s="1">
        <v>-0.22038049175322486</v>
      </c>
      <c r="BJ79" s="1">
        <v>-0.10130244929344312</v>
      </c>
      <c r="BK79" s="1">
        <v>0.58193193685565903</v>
      </c>
      <c r="BL79" s="1">
        <v>-0.10467510663738251</v>
      </c>
      <c r="BM79" s="1">
        <v>0.10479838946227713</v>
      </c>
      <c r="BN79" s="1">
        <v>0.11525240333206431</v>
      </c>
      <c r="BO79" s="1">
        <v>4.3929928904636768E-2</v>
      </c>
      <c r="BP79" s="1">
        <v>7.1267685882845837E-3</v>
      </c>
      <c r="BQ79" s="1">
        <v>4.01879557672499E-2</v>
      </c>
      <c r="BR79" s="1">
        <v>9.6859913725813596E-2</v>
      </c>
      <c r="BS79" s="1">
        <v>0.12013493583417613</v>
      </c>
      <c r="BT79" s="1">
        <v>-8.6599646487860643E-2</v>
      </c>
      <c r="BU79" s="1">
        <v>-0.11671291408509941</v>
      </c>
      <c r="BV79" s="1">
        <v>2.8573023991827016E-2</v>
      </c>
      <c r="BW79" s="1">
        <v>0.41046665423625384</v>
      </c>
      <c r="BX79" s="1">
        <v>0.38431851606511719</v>
      </c>
      <c r="BY79" s="1">
        <v>0.15459115849814123</v>
      </c>
      <c r="BZ79" s="1">
        <v>0.12113077054629609</v>
      </c>
      <c r="CA79" s="1">
        <v>1</v>
      </c>
      <c r="CB79" s="1"/>
      <c r="CC79" s="1"/>
      <c r="CD79" s="1"/>
      <c r="CE79" s="1"/>
      <c r="CF79" s="1"/>
      <c r="CG79" s="1"/>
    </row>
    <row r="80" spans="1:85" x14ac:dyDescent="0.55000000000000004">
      <c r="A80" s="1" t="s">
        <v>85</v>
      </c>
      <c r="B80" s="1">
        <v>0.49576587781985432</v>
      </c>
      <c r="C80" s="1">
        <v>0.14402128941330691</v>
      </c>
      <c r="D80" s="1">
        <v>0.44869488301624949</v>
      </c>
      <c r="E80" s="1">
        <v>0.64651912154928082</v>
      </c>
      <c r="F80" s="1">
        <v>0.59947925139104319</v>
      </c>
      <c r="G80" s="1">
        <v>0.34179886469298809</v>
      </c>
      <c r="H80" s="1">
        <v>0.43067746632734544</v>
      </c>
      <c r="I80" s="1">
        <v>0.52725669770632799</v>
      </c>
      <c r="J80" s="1">
        <v>0.31994772816490941</v>
      </c>
      <c r="K80" s="1">
        <v>0.35667164776808796</v>
      </c>
      <c r="L80" s="1">
        <v>0.61008804819692397</v>
      </c>
      <c r="M80" s="1">
        <v>0.40786796751004856</v>
      </c>
      <c r="N80" s="1">
        <v>0.41734401447553598</v>
      </c>
      <c r="O80" s="1">
        <v>0.51748147367955954</v>
      </c>
      <c r="P80" s="1">
        <v>0.58395643173636902</v>
      </c>
      <c r="Q80" s="1">
        <v>0.56302092245529134</v>
      </c>
      <c r="R80" s="1">
        <v>0.50605415931336895</v>
      </c>
      <c r="S80" s="1">
        <v>0.35064327081908675</v>
      </c>
      <c r="T80" s="1">
        <v>0.39444299231687774</v>
      </c>
      <c r="U80" s="1">
        <v>-3.2627722624800598E-2</v>
      </c>
      <c r="V80" s="1">
        <v>0.21117748675837666</v>
      </c>
      <c r="W80" s="1">
        <v>0.19802301203692441</v>
      </c>
      <c r="X80" s="1">
        <v>0.17755070523326066</v>
      </c>
      <c r="Y80" s="1">
        <v>0.38329180197101326</v>
      </c>
      <c r="Z80" s="1">
        <v>0.4684603297402592</v>
      </c>
      <c r="AA80" s="1">
        <v>0.34239415702011039</v>
      </c>
      <c r="AB80" s="1">
        <v>7.2660919401177568E-2</v>
      </c>
      <c r="AC80" s="1">
        <v>0.70392100609503283</v>
      </c>
      <c r="AD80" s="1">
        <v>0.48266688719542666</v>
      </c>
      <c r="AE80" s="1">
        <v>0.22421964845076814</v>
      </c>
      <c r="AF80" s="1">
        <v>0.57539013742893785</v>
      </c>
      <c r="AG80" s="1">
        <v>-3.859560542076771E-2</v>
      </c>
      <c r="AH80" s="1">
        <v>0.64107742144379309</v>
      </c>
      <c r="AI80" s="1">
        <v>6.4089732885031113E-3</v>
      </c>
      <c r="AJ80" s="1">
        <v>-9.6870235868251484E-2</v>
      </c>
      <c r="AK80" s="1">
        <v>0.41393988761233286</v>
      </c>
      <c r="AL80" s="1">
        <v>0.59026470361474115</v>
      </c>
      <c r="AM80" s="1">
        <v>0.18554381232693665</v>
      </c>
      <c r="AN80" s="1">
        <v>0.40896913876136554</v>
      </c>
      <c r="AO80" s="1">
        <v>0.41514927314803096</v>
      </c>
      <c r="AP80" s="1">
        <v>0.37301046984972419</v>
      </c>
      <c r="AQ80" s="1">
        <v>0.37814813754058973</v>
      </c>
      <c r="AR80" s="1">
        <v>0.4328657463667428</v>
      </c>
      <c r="AS80" s="1">
        <v>0.55748440412068456</v>
      </c>
      <c r="AT80" s="1">
        <v>0.37951046436961061</v>
      </c>
      <c r="AU80" s="1">
        <v>0.36492935472735777</v>
      </c>
      <c r="AV80" s="1">
        <v>0.15213359575432478</v>
      </c>
      <c r="AW80" s="1">
        <v>-3.8416046031287308E-2</v>
      </c>
      <c r="AX80" s="1">
        <v>-9.8918497035545339E-2</v>
      </c>
      <c r="AY80" s="1">
        <v>-5.2772089556251449E-2</v>
      </c>
      <c r="AZ80" s="1">
        <v>0.15885178448124157</v>
      </c>
      <c r="BA80" s="1">
        <v>0.47340855321731057</v>
      </c>
      <c r="BB80" s="1">
        <v>0.48493648826800784</v>
      </c>
      <c r="BC80" s="1">
        <v>0.4162745382640749</v>
      </c>
      <c r="BD80" s="1">
        <v>0.7046077266986871</v>
      </c>
      <c r="BE80" s="1">
        <v>0.58511505644540474</v>
      </c>
      <c r="BF80" s="1">
        <v>8.0012349271910976E-2</v>
      </c>
      <c r="BG80" s="1">
        <v>2.8726238080643299E-2</v>
      </c>
      <c r="BH80" s="1">
        <v>5.6468673143654669E-2</v>
      </c>
      <c r="BI80" s="1">
        <v>0.37856172124586845</v>
      </c>
      <c r="BJ80" s="1">
        <v>0.24493279770276474</v>
      </c>
      <c r="BK80" s="1">
        <v>0.20879387667928262</v>
      </c>
      <c r="BL80" s="1">
        <v>0.13281892217278471</v>
      </c>
      <c r="BM80" s="1">
        <v>0.50854605482503834</v>
      </c>
      <c r="BN80" s="1">
        <v>0.51332301009085235</v>
      </c>
      <c r="BO80" s="1">
        <v>0.16501600185275464</v>
      </c>
      <c r="BP80" s="1">
        <v>0.33787786553324411</v>
      </c>
      <c r="BQ80" s="1">
        <v>0.48246232575759623</v>
      </c>
      <c r="BR80" s="1">
        <v>0.35793589474746768</v>
      </c>
      <c r="BS80" s="1">
        <v>0.51205776107375156</v>
      </c>
      <c r="BT80" s="1">
        <v>0.24172955532701731</v>
      </c>
      <c r="BU80" s="1">
        <v>0.21145771766608745</v>
      </c>
      <c r="BV80" s="1">
        <v>0.5358683596458258</v>
      </c>
      <c r="BW80" s="1">
        <v>-0.10188775170111843</v>
      </c>
      <c r="BX80" s="1">
        <v>0.22847440846484052</v>
      </c>
      <c r="BY80" s="1">
        <v>0.38779024267854756</v>
      </c>
      <c r="BZ80" s="1">
        <v>0.31081859826073943</v>
      </c>
      <c r="CA80" s="1">
        <v>7.5006102343736225E-2</v>
      </c>
      <c r="CB80" s="1">
        <v>1</v>
      </c>
      <c r="CC80" s="1"/>
      <c r="CD80" s="1"/>
      <c r="CE80" s="1"/>
      <c r="CF80" s="1"/>
      <c r="CG80" s="1"/>
    </row>
    <row r="81" spans="1:85" x14ac:dyDescent="0.55000000000000004">
      <c r="A81" s="1" t="s">
        <v>86</v>
      </c>
      <c r="B81" s="1">
        <v>0.43038487411207033</v>
      </c>
      <c r="C81" s="1">
        <v>0.48057647807596654</v>
      </c>
      <c r="D81" s="1">
        <v>0.66460163317978738</v>
      </c>
      <c r="E81" s="1">
        <v>0.27429676459624858</v>
      </c>
      <c r="F81" s="1">
        <v>0.56434565424679239</v>
      </c>
      <c r="G81" s="1">
        <v>0.20809905892133368</v>
      </c>
      <c r="H81" s="1">
        <v>0.15428665510068165</v>
      </c>
      <c r="I81" s="1">
        <v>0.3954313542326186</v>
      </c>
      <c r="J81" s="1">
        <v>1.4048839740176145E-2</v>
      </c>
      <c r="K81" s="1">
        <v>0.48062505006765455</v>
      </c>
      <c r="L81" s="1">
        <v>0.46324316823204875</v>
      </c>
      <c r="M81" s="1">
        <v>0.12555131463306077</v>
      </c>
      <c r="N81" s="1">
        <v>0.335557415871511</v>
      </c>
      <c r="O81" s="1">
        <v>0.36540352112548607</v>
      </c>
      <c r="P81" s="1">
        <v>0.40382339282632201</v>
      </c>
      <c r="Q81" s="1">
        <v>0.13785833978180484</v>
      </c>
      <c r="R81" s="1">
        <v>0.23456834280882691</v>
      </c>
      <c r="S81" s="1">
        <v>0.14130541371372199</v>
      </c>
      <c r="T81" s="1">
        <v>-1.4452971655740896E-2</v>
      </c>
      <c r="U81" s="1">
        <v>-6.4768727330780382E-3</v>
      </c>
      <c r="V81" s="1">
        <v>0.40772399556856082</v>
      </c>
      <c r="W81" s="1">
        <v>0.33759743092293892</v>
      </c>
      <c r="X81" s="1">
        <v>0.38178712788891644</v>
      </c>
      <c r="Y81" s="1">
        <v>0.18725456792787737</v>
      </c>
      <c r="Z81" s="1">
        <v>0.45152993568497385</v>
      </c>
      <c r="AA81" s="1">
        <v>0.43839355085280068</v>
      </c>
      <c r="AB81" s="1">
        <v>0.1382744630188413</v>
      </c>
      <c r="AC81" s="1">
        <v>0.16468912064750479</v>
      </c>
      <c r="AD81" s="1">
        <v>0.51229338097331578</v>
      </c>
      <c r="AE81" s="1">
        <v>0.12895034728802357</v>
      </c>
      <c r="AF81" s="1">
        <v>2.2941311709594171E-2</v>
      </c>
      <c r="AG81" s="1">
        <v>-0.36635433171787579</v>
      </c>
      <c r="AH81" s="1">
        <v>0.14766006020522324</v>
      </c>
      <c r="AI81" s="1">
        <v>0.59095160655793344</v>
      </c>
      <c r="AJ81" s="1">
        <v>0.52727739359086112</v>
      </c>
      <c r="AK81" s="1">
        <v>0.63649922829890127</v>
      </c>
      <c r="AL81" s="1">
        <v>0.28138607402222598</v>
      </c>
      <c r="AM81" s="1">
        <v>0.43380929560469794</v>
      </c>
      <c r="AN81" s="1">
        <v>0.16551170631694093</v>
      </c>
      <c r="AO81" s="1">
        <v>3.0433220643249378E-2</v>
      </c>
      <c r="AP81" s="1">
        <v>2.9114316396145968E-2</v>
      </c>
      <c r="AQ81" s="1">
        <v>7.9280644640767825E-2</v>
      </c>
      <c r="AR81" s="1">
        <v>0.14937900331628853</v>
      </c>
      <c r="AS81" s="1">
        <v>0.21270404128873452</v>
      </c>
      <c r="AT81" s="1">
        <v>-2.9319224981038679E-2</v>
      </c>
      <c r="AU81" s="1">
        <v>0.19961965256732397</v>
      </c>
      <c r="AV81" s="1">
        <v>0.20387375885884898</v>
      </c>
      <c r="AW81" s="1">
        <v>-0.39949599199479585</v>
      </c>
      <c r="AX81" s="1">
        <v>-0.28450437369907133</v>
      </c>
      <c r="AY81" s="1">
        <v>-0.31217781964142799</v>
      </c>
      <c r="AZ81" s="1">
        <v>-0.12366663400138146</v>
      </c>
      <c r="BA81" s="1">
        <v>0.15578785771252462</v>
      </c>
      <c r="BB81" s="1">
        <v>1.0870153057336542E-2</v>
      </c>
      <c r="BC81" s="1">
        <v>0.39281755991758893</v>
      </c>
      <c r="BD81" s="1">
        <v>0.11356618609580882</v>
      </c>
      <c r="BE81" s="1">
        <v>0.25666414082671846</v>
      </c>
      <c r="BF81" s="1">
        <v>0.34488619073690663</v>
      </c>
      <c r="BG81" s="1">
        <v>4.8547166557778167E-2</v>
      </c>
      <c r="BH81" s="1">
        <v>0.10295606558527312</v>
      </c>
      <c r="BI81" s="1">
        <v>0.39489966155649875</v>
      </c>
      <c r="BJ81" s="1">
        <v>-0.31618694060401331</v>
      </c>
      <c r="BK81" s="1">
        <v>0.25064935677227163</v>
      </c>
      <c r="BL81" s="1">
        <v>0.12297485298569708</v>
      </c>
      <c r="BM81" s="1">
        <v>-3.4788382649311618E-2</v>
      </c>
      <c r="BN81" s="1">
        <v>-0.26369820468906247</v>
      </c>
      <c r="BO81" s="1">
        <v>1.1944464799245063E-2</v>
      </c>
      <c r="BP81" s="1">
        <v>0.20543168316259669</v>
      </c>
      <c r="BQ81" s="1">
        <v>0.14147839496213219</v>
      </c>
      <c r="BR81" s="1">
        <v>0.38069655533160429</v>
      </c>
      <c r="BS81" s="1">
        <v>0.15231644124369401</v>
      </c>
      <c r="BT81" s="1">
        <v>-0.1590442514658312</v>
      </c>
      <c r="BU81" s="1">
        <v>0.25443219133563777</v>
      </c>
      <c r="BV81" s="1">
        <v>0.46607586345417834</v>
      </c>
      <c r="BW81" s="1">
        <v>-0.13469917597976772</v>
      </c>
      <c r="BX81" s="1">
        <v>2.9865288796610032E-2</v>
      </c>
      <c r="BY81" s="1">
        <v>0.42077158130650838</v>
      </c>
      <c r="BZ81" s="1">
        <v>0.20150942677187167</v>
      </c>
      <c r="CA81" s="1">
        <v>-2.8984031710636658E-2</v>
      </c>
      <c r="CB81" s="1">
        <v>0.19856774933291968</v>
      </c>
      <c r="CC81" s="1">
        <v>1</v>
      </c>
      <c r="CD81" s="1"/>
      <c r="CE81" s="1"/>
      <c r="CF81" s="1"/>
      <c r="CG81" s="1"/>
    </row>
    <row r="82" spans="1:85" x14ac:dyDescent="0.55000000000000004">
      <c r="A82" s="1" t="s">
        <v>87</v>
      </c>
      <c r="B82" s="1">
        <v>-3.5574803297762504E-2</v>
      </c>
      <c r="C82" s="1">
        <v>-6.2319839934219246E-2</v>
      </c>
      <c r="D82" s="1">
        <v>-4.0034798089054253E-2</v>
      </c>
      <c r="E82" s="1">
        <v>0.38422256985339925</v>
      </c>
      <c r="F82" s="1">
        <v>2.1946375982729482E-2</v>
      </c>
      <c r="G82" s="1">
        <v>0.24970262214822556</v>
      </c>
      <c r="H82" s="1">
        <v>0.22330372260403353</v>
      </c>
      <c r="I82" s="1">
        <v>4.3603574235330865E-2</v>
      </c>
      <c r="J82" s="1">
        <v>0.16278450291875074</v>
      </c>
      <c r="K82" s="1">
        <v>5.3231825474070717E-2</v>
      </c>
      <c r="L82" s="1">
        <v>0.2916745880325497</v>
      </c>
      <c r="M82" s="1">
        <v>-6.0172346573011168E-2</v>
      </c>
      <c r="N82" s="1">
        <v>4.5555147348205545E-2</v>
      </c>
      <c r="O82" s="1">
        <v>0.23031176442966603</v>
      </c>
      <c r="P82" s="1">
        <v>0.22831133365255857</v>
      </c>
      <c r="Q82" s="1">
        <v>0.35362962437017742</v>
      </c>
      <c r="R82" s="1">
        <v>0.44549506107490783</v>
      </c>
      <c r="S82" s="1">
        <v>-0.21061788142902227</v>
      </c>
      <c r="T82" s="1">
        <v>0.27538641806280378</v>
      </c>
      <c r="U82" s="1">
        <v>-6.0498019240106025E-2</v>
      </c>
      <c r="V82" s="1">
        <v>4.9445214241172986E-2</v>
      </c>
      <c r="W82" s="1">
        <v>-4.2259500174492218E-2</v>
      </c>
      <c r="X82" s="1">
        <v>-8.0713783691948565E-2</v>
      </c>
      <c r="Y82" s="1">
        <v>4.8166855538388002E-2</v>
      </c>
      <c r="Z82" s="1">
        <v>3.1136137436721462E-2</v>
      </c>
      <c r="AA82" s="1">
        <v>-0.12117090571473915</v>
      </c>
      <c r="AB82" s="1">
        <v>2.4831678689812103E-2</v>
      </c>
      <c r="AC82" s="1">
        <v>0.40878362693646997</v>
      </c>
      <c r="AD82" s="1">
        <v>-3.1483743080035903E-2</v>
      </c>
      <c r="AE82" s="1">
        <v>-9.7414087067813473E-2</v>
      </c>
      <c r="AF82" s="1">
        <v>0.29766954359283065</v>
      </c>
      <c r="AG82" s="1">
        <v>9.8466193947559885E-2</v>
      </c>
      <c r="AH82" s="1">
        <v>0.36998514527199872</v>
      </c>
      <c r="AI82" s="1">
        <v>-7.6787414554610536E-2</v>
      </c>
      <c r="AJ82" s="1">
        <v>-2.8651249638388155E-2</v>
      </c>
      <c r="AK82" s="1">
        <v>0.14061629085605326</v>
      </c>
      <c r="AL82" s="1">
        <v>0.14856077199919837</v>
      </c>
      <c r="AM82" s="1">
        <v>1.9322658392385821E-2</v>
      </c>
      <c r="AN82" s="1">
        <v>0.22899891856493126</v>
      </c>
      <c r="AO82" s="1">
        <v>0.39427960453136524</v>
      </c>
      <c r="AP82" s="1">
        <v>-3.2132090708670603E-2</v>
      </c>
      <c r="AQ82" s="1">
        <v>-6.6200790216504346E-4</v>
      </c>
      <c r="AR82" s="1">
        <v>6.8107429148200505E-2</v>
      </c>
      <c r="AS82" s="1">
        <v>-3.8384814669959695E-2</v>
      </c>
      <c r="AT82" s="1">
        <v>-4.8865286834373259E-2</v>
      </c>
      <c r="AU82" s="1">
        <v>8.2242963813536338E-2</v>
      </c>
      <c r="AV82" s="1">
        <v>-4.0268241237589736E-2</v>
      </c>
      <c r="AW82" s="1">
        <v>-8.7176286196665453E-2</v>
      </c>
      <c r="AX82" s="1">
        <v>-2.8961678650343738E-2</v>
      </c>
      <c r="AY82" s="1">
        <v>-2.9791990753857005E-2</v>
      </c>
      <c r="AZ82" s="1">
        <v>3.9603815652498001E-2</v>
      </c>
      <c r="BA82" s="1">
        <v>0.17742251328316141</v>
      </c>
      <c r="BB82" s="1">
        <v>0.26067902065933485</v>
      </c>
      <c r="BC82" s="1">
        <v>0.17050876024379188</v>
      </c>
      <c r="BD82" s="1">
        <v>0.62246904356082622</v>
      </c>
      <c r="BE82" s="1">
        <v>0.28722889982948485</v>
      </c>
      <c r="BF82" s="1">
        <v>1.1947422775330821E-2</v>
      </c>
      <c r="BG82" s="1">
        <v>-3.022886081371547E-2</v>
      </c>
      <c r="BH82" s="1">
        <v>-0.10727867049579926</v>
      </c>
      <c r="BI82" s="1">
        <v>0.14710928299638179</v>
      </c>
      <c r="BJ82" s="1">
        <v>9.6847524457561049E-2</v>
      </c>
      <c r="BK82" s="1">
        <v>2.5340040843133588E-2</v>
      </c>
      <c r="BL82" s="1">
        <v>0.10668447051342834</v>
      </c>
      <c r="BM82" s="1">
        <v>0.58781261535935381</v>
      </c>
      <c r="BN82" s="1">
        <v>0.43794324095060788</v>
      </c>
      <c r="BO82" s="1">
        <v>2.7143169271440552E-2</v>
      </c>
      <c r="BP82" s="1">
        <v>6.0681312951055034E-2</v>
      </c>
      <c r="BQ82" s="1">
        <v>0.36749901689055997</v>
      </c>
      <c r="BR82" s="1">
        <v>5.6493887938242102E-2</v>
      </c>
      <c r="BS82" s="1">
        <v>7.1638800058481514E-2</v>
      </c>
      <c r="BT82" s="1">
        <v>-0.14767117827387674</v>
      </c>
      <c r="BU82" s="1">
        <v>-5.3662906610324378E-2</v>
      </c>
      <c r="BV82" s="1">
        <v>0.16996004984968341</v>
      </c>
      <c r="BW82" s="1">
        <v>0.10599589602920037</v>
      </c>
      <c r="BX82" s="1">
        <v>0.27911357765520461</v>
      </c>
      <c r="BY82" s="1">
        <v>7.2469952303504628E-2</v>
      </c>
      <c r="BZ82" s="1">
        <v>7.1032181883538353E-2</v>
      </c>
      <c r="CA82" s="1">
        <v>0.12200385933650132</v>
      </c>
      <c r="CB82" s="1">
        <v>0.53285809651864924</v>
      </c>
      <c r="CC82" s="1">
        <v>-0.12584544905062164</v>
      </c>
      <c r="CD82" s="1">
        <v>1</v>
      </c>
      <c r="CE82" s="1"/>
      <c r="CF82" s="1"/>
      <c r="CG82" s="1"/>
    </row>
    <row r="83" spans="1:85" x14ac:dyDescent="0.55000000000000004">
      <c r="A83" s="1" t="s">
        <v>88</v>
      </c>
      <c r="B83" s="1">
        <v>0.32163167916780605</v>
      </c>
      <c r="C83" s="1">
        <v>-2.4947507099691017E-2</v>
      </c>
      <c r="D83" s="1">
        <v>0.18776628296481152</v>
      </c>
      <c r="E83" s="1">
        <v>0.16644117359841623</v>
      </c>
      <c r="F83" s="1">
        <v>0.17026861351954112</v>
      </c>
      <c r="G83" s="1">
        <v>0.14595126485049542</v>
      </c>
      <c r="H83" s="1">
        <v>0.149876889473123</v>
      </c>
      <c r="I83" s="1">
        <v>0.5709326439427973</v>
      </c>
      <c r="J83" s="1">
        <v>8.2993594533378123E-2</v>
      </c>
      <c r="K83" s="1">
        <v>4.0007832827803756E-2</v>
      </c>
      <c r="L83" s="1">
        <v>0.29789213196353032</v>
      </c>
      <c r="M83" s="1">
        <v>0.23813606971870299</v>
      </c>
      <c r="N83" s="1">
        <v>-2.6794166390617848E-2</v>
      </c>
      <c r="O83" s="1">
        <v>5.0898906534412959E-2</v>
      </c>
      <c r="P83" s="1">
        <v>0.23688487113557521</v>
      </c>
      <c r="Q83" s="1">
        <v>0.1409316703412018</v>
      </c>
      <c r="R83" s="1">
        <v>0.11923356584071572</v>
      </c>
      <c r="S83" s="1">
        <v>0.13470332350099831</v>
      </c>
      <c r="T83" s="1">
        <v>0.20629095178763565</v>
      </c>
      <c r="U83" s="1">
        <v>2.9268727629391113E-2</v>
      </c>
      <c r="V83" s="1">
        <v>0.22136625960634876</v>
      </c>
      <c r="W83" s="1">
        <v>0.12980745636941413</v>
      </c>
      <c r="X83" s="1">
        <v>-0.22006752195555537</v>
      </c>
      <c r="Y83" s="1">
        <v>0.16503483670102068</v>
      </c>
      <c r="Z83" s="1">
        <v>8.5401463154788415E-2</v>
      </c>
      <c r="AA83" s="1">
        <v>-4.960241551771568E-2</v>
      </c>
      <c r="AB83" s="1">
        <v>-7.8310500821705237E-2</v>
      </c>
      <c r="AC83" s="1">
        <v>0.32082743227212468</v>
      </c>
      <c r="AD83" s="1">
        <v>0.36803449815721251</v>
      </c>
      <c r="AE83" s="1">
        <v>-1.4405391992318817E-2</v>
      </c>
      <c r="AF83" s="1">
        <v>0.14763204324380494</v>
      </c>
      <c r="AG83" s="1">
        <v>4.6908799546345921E-2</v>
      </c>
      <c r="AH83" s="1">
        <v>0.18842377760108572</v>
      </c>
      <c r="AI83" s="1">
        <v>8.4315690577738397E-2</v>
      </c>
      <c r="AJ83" s="1">
        <v>-0.2668861905255569</v>
      </c>
      <c r="AK83" s="1">
        <v>8.2729937574582101E-3</v>
      </c>
      <c r="AL83" s="1">
        <v>0.22476005586939976</v>
      </c>
      <c r="AM83" s="1">
        <v>-3.1876839083697768E-2</v>
      </c>
      <c r="AN83" s="1">
        <v>0.11768349561649108</v>
      </c>
      <c r="AO83" s="1">
        <v>0.62159345469818994</v>
      </c>
      <c r="AP83" s="1">
        <v>0.46350624475833385</v>
      </c>
      <c r="AQ83" s="1">
        <v>0.48693336451727587</v>
      </c>
      <c r="AR83" s="1">
        <v>0.40098541441465629</v>
      </c>
      <c r="AS83" s="1">
        <v>0.43628817700336009</v>
      </c>
      <c r="AT83" s="1">
        <v>0.39247780653063391</v>
      </c>
      <c r="AU83" s="1">
        <v>0.12536383043683813</v>
      </c>
      <c r="AV83" s="1">
        <v>0.10613961537754188</v>
      </c>
      <c r="AW83" s="1">
        <v>4.3709864205570562E-2</v>
      </c>
      <c r="AX83" s="1">
        <v>-4.5199400507524558E-2</v>
      </c>
      <c r="AY83" s="1">
        <v>4.4023654352228637E-2</v>
      </c>
      <c r="AZ83" s="1">
        <v>0.21788927069588421</v>
      </c>
      <c r="BA83" s="1">
        <v>0.22205681710735814</v>
      </c>
      <c r="BB83" s="1">
        <v>0.46446632910073216</v>
      </c>
      <c r="BC83" s="1">
        <v>0.24877196371366928</v>
      </c>
      <c r="BD83" s="1">
        <v>0.40310326598422541</v>
      </c>
      <c r="BE83" s="1">
        <v>0.32489539017672175</v>
      </c>
      <c r="BF83" s="1">
        <v>0.10706427637732784</v>
      </c>
      <c r="BG83" s="1">
        <v>0.10423674938905968</v>
      </c>
      <c r="BH83" s="1">
        <v>0.22814194153973538</v>
      </c>
      <c r="BI83" s="1">
        <v>0.13225070902658825</v>
      </c>
      <c r="BJ83" s="1">
        <v>0.4322655481376898</v>
      </c>
      <c r="BK83" s="1">
        <v>1.3678054665790633E-2</v>
      </c>
      <c r="BL83" s="1">
        <v>0.28342510982221242</v>
      </c>
      <c r="BM83" s="1">
        <v>0.57101061667077957</v>
      </c>
      <c r="BN83" s="1">
        <v>0.21274277766509683</v>
      </c>
      <c r="BO83" s="1">
        <v>7.4390104735093138E-2</v>
      </c>
      <c r="BP83" s="1">
        <v>-2.8001815503313175E-2</v>
      </c>
      <c r="BQ83" s="1">
        <v>0.25143123041827886</v>
      </c>
      <c r="BR83" s="1">
        <v>0.53977941173855415</v>
      </c>
      <c r="BS83" s="1">
        <v>0.32231788917798176</v>
      </c>
      <c r="BT83" s="1">
        <v>4.9400306391921549E-2</v>
      </c>
      <c r="BU83" s="1">
        <v>0.25499247271695774</v>
      </c>
      <c r="BV83" s="1">
        <v>0.47701394230630134</v>
      </c>
      <c r="BW83" s="1">
        <v>-0.10179471626293929</v>
      </c>
      <c r="BX83" s="1">
        <v>0.38541791723447844</v>
      </c>
      <c r="BY83" s="1">
        <v>0.31501076770200664</v>
      </c>
      <c r="BZ83" s="1">
        <v>0.43663656139205909</v>
      </c>
      <c r="CA83" s="1">
        <v>-1.4718073605081827E-2</v>
      </c>
      <c r="CB83" s="1">
        <v>0.35495821821664469</v>
      </c>
      <c r="CC83" s="1">
        <v>0.16372916729820847</v>
      </c>
      <c r="CD83" s="1">
        <v>1.0885671130941538E-2</v>
      </c>
      <c r="CE83" s="1">
        <v>1</v>
      </c>
      <c r="CF83" s="1"/>
      <c r="CG83" s="1"/>
    </row>
    <row r="84" spans="1:85" x14ac:dyDescent="0.55000000000000004">
      <c r="A84" s="1" t="s">
        <v>89</v>
      </c>
      <c r="B84" s="1">
        <v>0.53296503584567156</v>
      </c>
      <c r="C84" s="1">
        <v>0.6054250442700303</v>
      </c>
      <c r="D84" s="1">
        <v>0.35161803572208761</v>
      </c>
      <c r="E84" s="1">
        <v>-5.088194426743238E-2</v>
      </c>
      <c r="F84" s="1">
        <v>0.37318045390516352</v>
      </c>
      <c r="G84" s="1">
        <v>9.8607635030197566E-2</v>
      </c>
      <c r="H84" s="1">
        <v>-8.0873818384099242E-3</v>
      </c>
      <c r="I84" s="1">
        <v>0.21235119465694974</v>
      </c>
      <c r="J84" s="1">
        <v>0.30233857384328638</v>
      </c>
      <c r="K84" s="1">
        <v>0.17376481742188651</v>
      </c>
      <c r="L84" s="1">
        <v>0.31588660263747326</v>
      </c>
      <c r="M84" s="1">
        <v>0.45776013379145786</v>
      </c>
      <c r="N84" s="1">
        <v>0.47852065911384428</v>
      </c>
      <c r="O84" s="1">
        <v>0.50361866753277962</v>
      </c>
      <c r="P84" s="1">
        <v>0.33133702757334976</v>
      </c>
      <c r="Q84" s="1">
        <v>0.38051566293025435</v>
      </c>
      <c r="R84" s="1">
        <v>7.827461547204044E-2</v>
      </c>
      <c r="S84" s="1">
        <v>0.18323717029663478</v>
      </c>
      <c r="T84" s="1">
        <v>-0.12236548360546051</v>
      </c>
      <c r="U84" s="1">
        <v>8.9062974285359378E-2</v>
      </c>
      <c r="V84" s="1">
        <v>0.21417607810663486</v>
      </c>
      <c r="W84" s="1">
        <v>0.33782896685018565</v>
      </c>
      <c r="X84" s="1">
        <v>0.63318369237113958</v>
      </c>
      <c r="Y84" s="1">
        <v>0.48455610805476373</v>
      </c>
      <c r="Z84" s="1">
        <v>0.45869841265597222</v>
      </c>
      <c r="AA84" s="1">
        <v>0.60548420488669741</v>
      </c>
      <c r="AB84" s="1">
        <v>0.52963018716972166</v>
      </c>
      <c r="AC84" s="1">
        <v>0.11605056749163263</v>
      </c>
      <c r="AD84" s="1">
        <v>0.43227637716334066</v>
      </c>
      <c r="AE84" s="1">
        <v>0.48636387253831176</v>
      </c>
      <c r="AF84" s="1">
        <v>6.980080614203966E-3</v>
      </c>
      <c r="AG84" s="1">
        <v>-0.34819186771770633</v>
      </c>
      <c r="AH84" s="1">
        <v>0.26660805486286465</v>
      </c>
      <c r="AI84" s="1">
        <v>0.24980443594404703</v>
      </c>
      <c r="AJ84" s="1">
        <v>0.26126513547460262</v>
      </c>
      <c r="AK84" s="1">
        <v>0.33078324187857228</v>
      </c>
      <c r="AL84" s="1">
        <v>0.45648743839879818</v>
      </c>
      <c r="AM84" s="1">
        <v>0.61064776872249027</v>
      </c>
      <c r="AN84" s="1">
        <v>0.52316212249526073</v>
      </c>
      <c r="AO84" s="1">
        <v>9.4113709624868452E-2</v>
      </c>
      <c r="AP84" s="1">
        <v>0.27999480883899974</v>
      </c>
      <c r="AQ84" s="1">
        <v>0.33073202108030653</v>
      </c>
      <c r="AR84" s="1">
        <v>0.59276107014869484</v>
      </c>
      <c r="AS84" s="1">
        <v>0.33609976102735928</v>
      </c>
      <c r="AT84" s="1">
        <v>3.3936041905737319E-3</v>
      </c>
      <c r="AU84" s="1">
        <v>0.29882299107173771</v>
      </c>
      <c r="AV84" s="1">
        <v>0.59977375630996788</v>
      </c>
      <c r="AW84" s="1">
        <v>-0.3336220995656819</v>
      </c>
      <c r="AX84" s="1">
        <v>-0.23171244342706732</v>
      </c>
      <c r="AY84" s="1">
        <v>-0.38868942801649392</v>
      </c>
      <c r="AZ84" s="1">
        <v>-0.39645603819275532</v>
      </c>
      <c r="BA84" s="1">
        <v>0.24335176721035845</v>
      </c>
      <c r="BB84" s="1">
        <v>7.1385787254267391E-2</v>
      </c>
      <c r="BC84" s="1">
        <v>0.31838269733988589</v>
      </c>
      <c r="BD84" s="1">
        <v>0.13255796574453235</v>
      </c>
      <c r="BE84" s="1">
        <v>0.28645157599819682</v>
      </c>
      <c r="BF84" s="1">
        <v>0.26360358657912031</v>
      </c>
      <c r="BG84" s="1">
        <v>-0.28548579015569647</v>
      </c>
      <c r="BH84" s="1">
        <v>-0.10606632586865206</v>
      </c>
      <c r="BI84" s="1">
        <v>0.30019589767484872</v>
      </c>
      <c r="BJ84" s="1">
        <v>-0.25722580383750193</v>
      </c>
      <c r="BK84" s="1">
        <v>0.46878890437656023</v>
      </c>
      <c r="BL84" s="1">
        <v>-0.34317879585688382</v>
      </c>
      <c r="BM84" s="1">
        <v>0.19549457132887377</v>
      </c>
      <c r="BN84" s="1">
        <v>-1.2183277757246983E-2</v>
      </c>
      <c r="BO84" s="1">
        <v>0.14171925105579347</v>
      </c>
      <c r="BP84" s="1">
        <v>0.10504301228352303</v>
      </c>
      <c r="BQ84" s="1">
        <v>0.25322942438808882</v>
      </c>
      <c r="BR84" s="1">
        <v>0.49514283714974389</v>
      </c>
      <c r="BS84" s="1">
        <v>0.13969995699790747</v>
      </c>
      <c r="BT84" s="1">
        <v>0.11814255169279209</v>
      </c>
      <c r="BU84" s="1">
        <v>0.20810516775770499</v>
      </c>
      <c r="BV84" s="1">
        <v>0.43723439750876686</v>
      </c>
      <c r="BW84" s="1">
        <v>-3.3136141742201954E-2</v>
      </c>
      <c r="BX84" s="1">
        <v>-7.789901234557603E-2</v>
      </c>
      <c r="BY84" s="1">
        <v>0.5259115377813528</v>
      </c>
      <c r="BZ84" s="1">
        <v>2.3845143967663157E-2</v>
      </c>
      <c r="CA84" s="1">
        <v>1.3407219150977822E-2</v>
      </c>
      <c r="CB84" s="1">
        <v>0.29558730440771319</v>
      </c>
      <c r="CC84" s="1">
        <v>0.28852191838147462</v>
      </c>
      <c r="CD84" s="1">
        <v>4.0993331680236826E-2</v>
      </c>
      <c r="CE84" s="1">
        <v>0.28911513370611602</v>
      </c>
      <c r="CF84" s="1">
        <v>1</v>
      </c>
      <c r="CG84" s="1"/>
    </row>
    <row r="85" spans="1:85" ht="14.7" thickBot="1" x14ac:dyDescent="0.6">
      <c r="A85" s="2" t="s">
        <v>90</v>
      </c>
      <c r="B85" s="2">
        <v>0.37429582103918047</v>
      </c>
      <c r="C85" s="2">
        <v>0.22082519851741667</v>
      </c>
      <c r="D85" s="2">
        <v>0.277588639043376</v>
      </c>
      <c r="E85" s="2">
        <v>0.35197218968219524</v>
      </c>
      <c r="F85" s="2">
        <v>0.46170672936453999</v>
      </c>
      <c r="G85" s="2">
        <v>0.23796494230881043</v>
      </c>
      <c r="H85" s="2">
        <v>0.23144829343098952</v>
      </c>
      <c r="I85" s="2">
        <v>0.3985246436600548</v>
      </c>
      <c r="J85" s="2">
        <v>0.16351128370985585</v>
      </c>
      <c r="K85" s="2">
        <v>0.26097308162488042</v>
      </c>
      <c r="L85" s="2">
        <v>0.44168109456603499</v>
      </c>
      <c r="M85" s="2">
        <v>0.37319657524934102</v>
      </c>
      <c r="N85" s="2">
        <v>0.37463499720367405</v>
      </c>
      <c r="O85" s="2">
        <v>0.36503507794542661</v>
      </c>
      <c r="P85" s="2">
        <v>0.41190231553988721</v>
      </c>
      <c r="Q85" s="2">
        <v>0.50793284192012966</v>
      </c>
      <c r="R85" s="2">
        <v>0.39153417747423286</v>
      </c>
      <c r="S85" s="2">
        <v>0.4592185104240058</v>
      </c>
      <c r="T85" s="2">
        <v>0.28899448970117581</v>
      </c>
      <c r="U85" s="2">
        <v>4.3609557540896848E-2</v>
      </c>
      <c r="V85" s="2">
        <v>0.24167568277057261</v>
      </c>
      <c r="W85" s="2">
        <v>0.20012815622827976</v>
      </c>
      <c r="X85" s="2">
        <v>0.12199263658424213</v>
      </c>
      <c r="Y85" s="2">
        <v>0.24442593640262103</v>
      </c>
      <c r="Z85" s="2">
        <v>0.38018476845778354</v>
      </c>
      <c r="AA85" s="2">
        <v>0.34653519232277552</v>
      </c>
      <c r="AB85" s="2">
        <v>5.5945513792226703E-2</v>
      </c>
      <c r="AC85" s="2">
        <v>0.57406762305828885</v>
      </c>
      <c r="AD85" s="2">
        <v>0.34502286597590764</v>
      </c>
      <c r="AE85" s="2">
        <v>0.24648491870701641</v>
      </c>
      <c r="AF85" s="2">
        <v>0.41746687569257379</v>
      </c>
      <c r="AG85" s="2">
        <v>2.9056564809027085E-2</v>
      </c>
      <c r="AH85" s="2">
        <v>0.42336281633895795</v>
      </c>
      <c r="AI85" s="2">
        <v>-0.12188161425752649</v>
      </c>
      <c r="AJ85" s="2">
        <v>-0.12074039712710719</v>
      </c>
      <c r="AK85" s="2">
        <v>0.32586743569459703</v>
      </c>
      <c r="AL85" s="2">
        <v>0.44020483051094023</v>
      </c>
      <c r="AM85" s="2">
        <v>4.0018402621200454E-2</v>
      </c>
      <c r="AN85" s="2">
        <v>0.33407839998383049</v>
      </c>
      <c r="AO85" s="2">
        <v>0.3058393689830487</v>
      </c>
      <c r="AP85" s="2">
        <v>0.22472285673031661</v>
      </c>
      <c r="AQ85" s="2">
        <v>9.5570514049469674E-2</v>
      </c>
      <c r="AR85" s="2">
        <v>0.22855322181730453</v>
      </c>
      <c r="AS85" s="2">
        <v>0.40572776340019862</v>
      </c>
      <c r="AT85" s="2">
        <v>0.16175644704530356</v>
      </c>
      <c r="AU85" s="2">
        <v>0.20848452307690021</v>
      </c>
      <c r="AV85" s="2">
        <v>6.7445868750107399E-2</v>
      </c>
      <c r="AW85" s="2">
        <v>-6.1017734504865577E-2</v>
      </c>
      <c r="AX85" s="2">
        <v>-9.4172716983271829E-2</v>
      </c>
      <c r="AY85" s="2">
        <v>-1.3725431698357693E-2</v>
      </c>
      <c r="AZ85" s="2">
        <v>0.12423557330599407</v>
      </c>
      <c r="BA85" s="2">
        <v>0.42398229561821132</v>
      </c>
      <c r="BB85" s="2">
        <v>0.54509800858361079</v>
      </c>
      <c r="BC85" s="2">
        <v>0.27673803031433458</v>
      </c>
      <c r="BD85" s="2">
        <v>0.43438325884848356</v>
      </c>
      <c r="BE85" s="2">
        <v>0.39712592553434606</v>
      </c>
      <c r="BF85" s="2">
        <v>1.6671357620499278E-2</v>
      </c>
      <c r="BG85" s="2">
        <v>0.15896138266151211</v>
      </c>
      <c r="BH85" s="2">
        <v>6.1292609599588169E-2</v>
      </c>
      <c r="BI85" s="2">
        <v>0.26090885397848612</v>
      </c>
      <c r="BJ85" s="2">
        <v>0.19994895654930026</v>
      </c>
      <c r="BK85" s="2">
        <v>0.18691850521019693</v>
      </c>
      <c r="BL85" s="2">
        <v>7.2498372157075566E-2</v>
      </c>
      <c r="BM85" s="2">
        <v>0.28712651132145384</v>
      </c>
      <c r="BN85" s="2">
        <v>0.4619948008771062</v>
      </c>
      <c r="BO85" s="2">
        <v>0.12863812140511016</v>
      </c>
      <c r="BP85" s="2">
        <v>0.23020040020613125</v>
      </c>
      <c r="BQ85" s="2">
        <v>0.44811011268915579</v>
      </c>
      <c r="BR85" s="2">
        <v>0.34272895788238622</v>
      </c>
      <c r="BS85" s="2">
        <v>0.22343627917618586</v>
      </c>
      <c r="BT85" s="2">
        <v>0.2558368163129166</v>
      </c>
      <c r="BU85" s="2">
        <v>2.3925066827976457E-2</v>
      </c>
      <c r="BV85" s="2">
        <v>0.38082101868710028</v>
      </c>
      <c r="BW85" s="2">
        <v>0.20780075626465838</v>
      </c>
      <c r="BX85" s="2">
        <v>0.40176260135435027</v>
      </c>
      <c r="BY85" s="2">
        <v>0.38225549433596362</v>
      </c>
      <c r="BZ85" s="2">
        <v>0.2169899417727765</v>
      </c>
      <c r="CA85" s="2">
        <v>0.18227301035229904</v>
      </c>
      <c r="CB85" s="2">
        <v>0.53156456508351047</v>
      </c>
      <c r="CC85" s="2">
        <v>9.5932398316741122E-2</v>
      </c>
      <c r="CD85" s="2">
        <v>0.28140239965833969</v>
      </c>
      <c r="CE85" s="2">
        <v>0.31811430512025124</v>
      </c>
      <c r="CF85" s="2">
        <v>0.32304734459795564</v>
      </c>
      <c r="CG85" s="2">
        <v>1</v>
      </c>
    </row>
  </sheetData>
  <conditionalFormatting sqref="A1:C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AE73-241F-4E12-828A-B4BB18635250}">
  <dimension ref="A1:CH46"/>
  <sheetViews>
    <sheetView tabSelected="1" workbookViewId="0">
      <selection activeCell="B1" sqref="B1:CG46"/>
    </sheetView>
  </sheetViews>
  <sheetFormatPr defaultRowHeight="14.4" x14ac:dyDescent="0.55000000000000004"/>
  <cols>
    <col min="1" max="1" width="4.68359375" bestFit="1" customWidth="1"/>
    <col min="2" max="2" width="5.41796875" bestFit="1" customWidth="1"/>
    <col min="3" max="3" width="6.20703125" bestFit="1" customWidth="1"/>
    <col min="4" max="4" width="6.89453125" bestFit="1" customWidth="1"/>
    <col min="5" max="5" width="6.1015625" bestFit="1" customWidth="1"/>
    <col min="6" max="6" width="7.41796875" bestFit="1" customWidth="1"/>
    <col min="7" max="7" width="7.20703125" bestFit="1" customWidth="1"/>
    <col min="8" max="8" width="5.1015625" bestFit="1" customWidth="1"/>
    <col min="9" max="9" width="5" bestFit="1" customWidth="1"/>
    <col min="10" max="11" width="7.1015625" bestFit="1" customWidth="1"/>
    <col min="12" max="12" width="5.7890625" bestFit="1" customWidth="1"/>
    <col min="13" max="13" width="6.1015625" bestFit="1" customWidth="1"/>
    <col min="14" max="14" width="4.68359375" bestFit="1" customWidth="1"/>
    <col min="15" max="15" width="7.68359375" bestFit="1" customWidth="1"/>
    <col min="16" max="16" width="9.3125" bestFit="1" customWidth="1"/>
    <col min="17" max="17" width="7.1015625" bestFit="1" customWidth="1"/>
    <col min="18" max="18" width="11.5234375" bestFit="1" customWidth="1"/>
    <col min="19" max="19" width="6.1015625" bestFit="1" customWidth="1"/>
    <col min="20" max="20" width="8.41796875" bestFit="1" customWidth="1"/>
    <col min="21" max="21" width="7.89453125" bestFit="1" customWidth="1"/>
    <col min="22" max="22" width="7.20703125" bestFit="1" customWidth="1"/>
    <col min="23" max="23" width="7.3125" bestFit="1" customWidth="1"/>
    <col min="24" max="24" width="10.41796875" bestFit="1" customWidth="1"/>
    <col min="25" max="25" width="11.68359375" bestFit="1" customWidth="1"/>
    <col min="26" max="26" width="8.20703125" bestFit="1" customWidth="1"/>
    <col min="27" max="27" width="7.68359375" bestFit="1" customWidth="1"/>
    <col min="28" max="28" width="8.20703125" bestFit="1" customWidth="1"/>
    <col min="29" max="29" width="6.3125" bestFit="1" customWidth="1"/>
    <col min="30" max="31" width="14.41796875" bestFit="1" customWidth="1"/>
    <col min="32" max="32" width="5.1015625" bestFit="1" customWidth="1"/>
    <col min="33" max="33" width="6.89453125" bestFit="1" customWidth="1"/>
    <col min="34" max="34" width="6.5234375" bestFit="1" customWidth="1"/>
    <col min="35" max="35" width="7.68359375" bestFit="1" customWidth="1"/>
    <col min="36" max="36" width="6" bestFit="1" customWidth="1"/>
    <col min="37" max="37" width="8" bestFit="1" customWidth="1"/>
    <col min="38" max="38" width="10.41796875" bestFit="1" customWidth="1"/>
    <col min="39" max="39" width="4.68359375" bestFit="1" customWidth="1"/>
    <col min="40" max="40" width="4.41796875" bestFit="1" customWidth="1"/>
    <col min="41" max="41" width="7.89453125" bestFit="1" customWidth="1"/>
    <col min="42" max="42" width="5.41796875" bestFit="1" customWidth="1"/>
    <col min="43" max="43" width="15.5234375" bestFit="1" customWidth="1"/>
    <col min="44" max="44" width="8.41796875" bestFit="1" customWidth="1"/>
    <col min="45" max="45" width="15.20703125" bestFit="1" customWidth="1"/>
    <col min="46" max="46" width="14.41796875" bestFit="1" customWidth="1"/>
    <col min="47" max="47" width="5.5234375" bestFit="1" customWidth="1"/>
    <col min="48" max="48" width="11.1015625" bestFit="1" customWidth="1"/>
    <col min="49" max="49" width="6.7890625" bestFit="1" customWidth="1"/>
    <col min="50" max="50" width="10.20703125" bestFit="1" customWidth="1"/>
    <col min="51" max="51" width="15.5234375" bestFit="1" customWidth="1"/>
    <col min="52" max="52" width="15.7890625" bestFit="1" customWidth="1"/>
    <col min="53" max="53" width="9.1015625" bestFit="1" customWidth="1"/>
    <col min="54" max="55" width="9.89453125" bestFit="1" customWidth="1"/>
    <col min="56" max="56" width="5.5234375" bestFit="1" customWidth="1"/>
    <col min="57" max="57" width="6.3125" bestFit="1" customWidth="1"/>
    <col min="58" max="58" width="10.20703125" bestFit="1" customWidth="1"/>
    <col min="59" max="59" width="12.1015625" bestFit="1" customWidth="1"/>
    <col min="60" max="60" width="10.7890625" bestFit="1" customWidth="1"/>
    <col min="61" max="61" width="8.20703125" bestFit="1" customWidth="1"/>
    <col min="62" max="62" width="9.68359375" bestFit="1" customWidth="1"/>
    <col min="63" max="63" width="4" bestFit="1" customWidth="1"/>
    <col min="64" max="64" width="4.89453125" bestFit="1" customWidth="1"/>
    <col min="65" max="65" width="8.3125" bestFit="1" customWidth="1"/>
    <col min="66" max="66" width="12.41796875" bestFit="1" customWidth="1"/>
    <col min="67" max="67" width="6.5234375" bestFit="1" customWidth="1"/>
    <col min="68" max="68" width="8.5234375" bestFit="1" customWidth="1"/>
    <col min="69" max="69" width="5.68359375" bestFit="1" customWidth="1"/>
    <col min="70" max="70" width="6.20703125" bestFit="1" customWidth="1"/>
    <col min="72" max="72" width="12.20703125" bestFit="1" customWidth="1"/>
    <col min="73" max="73" width="7.7890625" bestFit="1" customWidth="1"/>
    <col min="74" max="74" width="8" bestFit="1" customWidth="1"/>
    <col min="75" max="75" width="7.89453125" bestFit="1" customWidth="1"/>
    <col min="76" max="76" width="7.41796875" bestFit="1" customWidth="1"/>
    <col min="77" max="77" width="7.89453125" bestFit="1" customWidth="1"/>
    <col min="78" max="78" width="6.1015625" bestFit="1" customWidth="1"/>
    <col min="79" max="79" width="6.20703125" bestFit="1" customWidth="1"/>
    <col min="80" max="80" width="7.68359375" bestFit="1" customWidth="1"/>
    <col min="81" max="81" width="5.68359375" bestFit="1" customWidth="1"/>
    <col min="82" max="82" width="6.7890625" bestFit="1" customWidth="1"/>
    <col min="83" max="83" width="4.89453125" bestFit="1" customWidth="1"/>
    <col min="85" max="85" width="8.3125" bestFit="1" customWidth="1"/>
    <col min="86" max="86" width="6.5234375" bestFit="1" customWidth="1"/>
  </cols>
  <sheetData>
    <row r="1" spans="1:86" x14ac:dyDescent="0.55000000000000004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75</v>
      </c>
      <c r="BS1" t="s">
        <v>76</v>
      </c>
      <c r="BT1" t="s">
        <v>77</v>
      </c>
      <c r="BU1" t="s">
        <v>78</v>
      </c>
      <c r="BV1" t="s">
        <v>79</v>
      </c>
      <c r="BW1" t="s">
        <v>80</v>
      </c>
      <c r="BX1" t="s">
        <v>81</v>
      </c>
      <c r="BY1" t="s">
        <v>82</v>
      </c>
      <c r="BZ1" t="s">
        <v>83</v>
      </c>
      <c r="CA1" t="s">
        <v>84</v>
      </c>
      <c r="CB1" t="s">
        <v>85</v>
      </c>
      <c r="CC1" t="s">
        <v>86</v>
      </c>
      <c r="CD1" t="s">
        <v>87</v>
      </c>
      <c r="CE1" t="s">
        <v>88</v>
      </c>
      <c r="CF1" t="s">
        <v>89</v>
      </c>
      <c r="CG1" t="s">
        <v>90</v>
      </c>
      <c r="CH1" t="s">
        <v>6</v>
      </c>
    </row>
    <row r="2" spans="1:86" x14ac:dyDescent="0.55000000000000004">
      <c r="A2">
        <v>1979</v>
      </c>
      <c r="B2">
        <v>941</v>
      </c>
      <c r="C2">
        <v>3564</v>
      </c>
      <c r="D2">
        <v>67</v>
      </c>
      <c r="E2">
        <v>51</v>
      </c>
      <c r="F2">
        <v>1135</v>
      </c>
      <c r="G2">
        <v>26</v>
      </c>
      <c r="H2">
        <v>64</v>
      </c>
      <c r="I2">
        <v>38</v>
      </c>
      <c r="J2">
        <v>519</v>
      </c>
      <c r="K2">
        <v>497</v>
      </c>
      <c r="L2">
        <v>1920</v>
      </c>
      <c r="M2">
        <v>510</v>
      </c>
      <c r="N2">
        <v>3065</v>
      </c>
      <c r="O2">
        <v>3202</v>
      </c>
      <c r="P2">
        <v>3747</v>
      </c>
      <c r="Q2">
        <v>1649</v>
      </c>
      <c r="R2">
        <v>1396</v>
      </c>
      <c r="S2">
        <v>1392</v>
      </c>
      <c r="T2">
        <v>3231</v>
      </c>
      <c r="U2">
        <v>134</v>
      </c>
      <c r="V2">
        <v>159</v>
      </c>
      <c r="W2">
        <v>709</v>
      </c>
      <c r="X2">
        <v>5787</v>
      </c>
      <c r="Y2">
        <v>618</v>
      </c>
      <c r="Z2">
        <v>1853</v>
      </c>
      <c r="AA2">
        <v>710</v>
      </c>
      <c r="AB2">
        <v>622</v>
      </c>
      <c r="AC2">
        <v>7556</v>
      </c>
      <c r="AD2">
        <v>516</v>
      </c>
      <c r="AE2">
        <v>4930</v>
      </c>
      <c r="AF2">
        <v>387</v>
      </c>
      <c r="AG2">
        <v>0</v>
      </c>
      <c r="AH2">
        <v>377</v>
      </c>
      <c r="AI2">
        <v>430</v>
      </c>
      <c r="AJ2">
        <v>118</v>
      </c>
      <c r="AK2">
        <v>473</v>
      </c>
      <c r="AL2">
        <v>2744</v>
      </c>
      <c r="AM2">
        <v>789</v>
      </c>
      <c r="AN2">
        <v>302</v>
      </c>
      <c r="AO2">
        <v>26</v>
      </c>
      <c r="AP2">
        <v>107</v>
      </c>
      <c r="AQ2">
        <v>2152</v>
      </c>
      <c r="AR2">
        <v>137</v>
      </c>
      <c r="AS2">
        <v>1212</v>
      </c>
      <c r="AT2">
        <v>31293</v>
      </c>
      <c r="AU2">
        <v>609</v>
      </c>
      <c r="AV2">
        <v>724</v>
      </c>
      <c r="AW2">
        <v>1958</v>
      </c>
      <c r="AX2">
        <v>1259</v>
      </c>
      <c r="AY2">
        <v>10792</v>
      </c>
      <c r="AZ2">
        <v>4742</v>
      </c>
      <c r="BA2">
        <v>173</v>
      </c>
      <c r="BB2">
        <v>0</v>
      </c>
      <c r="BC2">
        <v>2415</v>
      </c>
      <c r="BD2">
        <v>403</v>
      </c>
      <c r="BE2">
        <v>9690</v>
      </c>
      <c r="BF2">
        <v>42</v>
      </c>
      <c r="BG2">
        <v>138</v>
      </c>
      <c r="BH2">
        <v>572</v>
      </c>
      <c r="BI2">
        <v>81653</v>
      </c>
      <c r="BJ2">
        <v>72</v>
      </c>
      <c r="BK2">
        <v>299</v>
      </c>
      <c r="BL2">
        <v>28</v>
      </c>
      <c r="BM2">
        <v>0</v>
      </c>
      <c r="BN2">
        <v>51</v>
      </c>
      <c r="BO2">
        <v>49</v>
      </c>
      <c r="BP2">
        <v>22</v>
      </c>
      <c r="BQ2">
        <v>288</v>
      </c>
      <c r="BR2">
        <v>387</v>
      </c>
      <c r="BS2">
        <v>138</v>
      </c>
      <c r="BT2">
        <v>1033</v>
      </c>
      <c r="BU2">
        <v>8</v>
      </c>
      <c r="BV2">
        <v>43</v>
      </c>
      <c r="BW2">
        <v>46</v>
      </c>
      <c r="BX2">
        <v>139</v>
      </c>
      <c r="BY2">
        <v>317</v>
      </c>
      <c r="BZ2">
        <v>397</v>
      </c>
      <c r="CA2">
        <v>46</v>
      </c>
      <c r="CB2">
        <v>37</v>
      </c>
      <c r="CC2">
        <v>70</v>
      </c>
      <c r="CD2">
        <v>0</v>
      </c>
      <c r="CE2">
        <v>21</v>
      </c>
      <c r="CF2">
        <v>56</v>
      </c>
      <c r="CG2">
        <v>729</v>
      </c>
      <c r="CH2">
        <v>210601</v>
      </c>
    </row>
    <row r="3" spans="1:86" x14ac:dyDescent="0.55000000000000004">
      <c r="A3">
        <v>1980</v>
      </c>
      <c r="B3">
        <v>516</v>
      </c>
      <c r="C3">
        <v>4520</v>
      </c>
      <c r="D3">
        <v>30</v>
      </c>
      <c r="E3">
        <v>16</v>
      </c>
      <c r="F3">
        <v>668</v>
      </c>
      <c r="G3">
        <v>5</v>
      </c>
      <c r="H3">
        <v>0</v>
      </c>
      <c r="I3">
        <v>116</v>
      </c>
      <c r="J3">
        <v>564</v>
      </c>
      <c r="K3">
        <v>328</v>
      </c>
      <c r="L3">
        <v>748</v>
      </c>
      <c r="M3">
        <v>291</v>
      </c>
      <c r="N3">
        <v>2178</v>
      </c>
      <c r="O3">
        <v>2682</v>
      </c>
      <c r="P3">
        <v>1047</v>
      </c>
      <c r="Q3">
        <v>627</v>
      </c>
      <c r="R3">
        <v>555</v>
      </c>
      <c r="S3">
        <v>2266</v>
      </c>
      <c r="T3">
        <v>2423</v>
      </c>
      <c r="U3">
        <v>58</v>
      </c>
      <c r="V3">
        <v>58</v>
      </c>
      <c r="W3">
        <v>702</v>
      </c>
      <c r="X3">
        <v>1960</v>
      </c>
      <c r="Y3">
        <v>890</v>
      </c>
      <c r="Z3">
        <v>3009</v>
      </c>
      <c r="AA3">
        <v>755</v>
      </c>
      <c r="AB3">
        <v>393</v>
      </c>
      <c r="AC3">
        <v>6454</v>
      </c>
      <c r="AD3">
        <v>550</v>
      </c>
      <c r="AE3">
        <v>2524</v>
      </c>
      <c r="AF3">
        <v>285</v>
      </c>
      <c r="AG3">
        <v>0</v>
      </c>
      <c r="AH3">
        <v>82</v>
      </c>
      <c r="AI3">
        <v>354</v>
      </c>
      <c r="AJ3">
        <v>355</v>
      </c>
      <c r="AK3">
        <v>194</v>
      </c>
      <c r="AL3">
        <v>3320</v>
      </c>
      <c r="AM3">
        <v>703</v>
      </c>
      <c r="AN3">
        <v>233</v>
      </c>
      <c r="AO3">
        <v>17</v>
      </c>
      <c r="AP3">
        <v>138</v>
      </c>
      <c r="AQ3">
        <v>1098</v>
      </c>
      <c r="AR3">
        <v>83</v>
      </c>
      <c r="AS3">
        <v>789</v>
      </c>
      <c r="AT3">
        <v>9708</v>
      </c>
      <c r="AU3">
        <v>286</v>
      </c>
      <c r="AV3">
        <v>410</v>
      </c>
      <c r="AW3">
        <v>989</v>
      </c>
      <c r="AX3">
        <v>1623</v>
      </c>
      <c r="AY3">
        <v>12174</v>
      </c>
      <c r="AZ3">
        <v>6426</v>
      </c>
      <c r="BA3">
        <v>415</v>
      </c>
      <c r="BB3">
        <v>125</v>
      </c>
      <c r="BC3">
        <v>2278</v>
      </c>
      <c r="BD3">
        <v>642</v>
      </c>
      <c r="BE3">
        <v>7877</v>
      </c>
      <c r="BF3">
        <v>215</v>
      </c>
      <c r="BG3">
        <v>231</v>
      </c>
      <c r="BH3">
        <v>485</v>
      </c>
      <c r="BI3">
        <v>70042</v>
      </c>
      <c r="BJ3">
        <v>93</v>
      </c>
      <c r="BK3">
        <v>216</v>
      </c>
      <c r="BL3">
        <v>23</v>
      </c>
      <c r="BM3">
        <v>12</v>
      </c>
      <c r="BN3">
        <v>18</v>
      </c>
      <c r="BO3">
        <v>27</v>
      </c>
      <c r="BP3">
        <v>24</v>
      </c>
      <c r="BQ3">
        <v>229</v>
      </c>
      <c r="BR3">
        <v>401</v>
      </c>
      <c r="BS3">
        <v>32</v>
      </c>
      <c r="BT3">
        <v>1201</v>
      </c>
      <c r="BU3">
        <v>10</v>
      </c>
      <c r="BV3">
        <v>25</v>
      </c>
      <c r="BW3">
        <v>3</v>
      </c>
      <c r="BX3">
        <v>31</v>
      </c>
      <c r="BY3">
        <v>328</v>
      </c>
      <c r="BZ3">
        <v>411</v>
      </c>
      <c r="CA3">
        <v>11</v>
      </c>
      <c r="CB3">
        <v>0</v>
      </c>
      <c r="CC3">
        <v>118</v>
      </c>
      <c r="CD3">
        <v>0</v>
      </c>
      <c r="CE3">
        <v>6</v>
      </c>
      <c r="CF3">
        <v>38</v>
      </c>
      <c r="CG3">
        <v>848</v>
      </c>
      <c r="CH3">
        <v>162615</v>
      </c>
    </row>
    <row r="4" spans="1:86" x14ac:dyDescent="0.55000000000000004">
      <c r="A4">
        <v>1981</v>
      </c>
      <c r="B4">
        <v>452</v>
      </c>
      <c r="C4">
        <v>2831</v>
      </c>
      <c r="D4">
        <v>30</v>
      </c>
      <c r="E4">
        <v>8</v>
      </c>
      <c r="F4">
        <v>630</v>
      </c>
      <c r="G4">
        <v>16</v>
      </c>
      <c r="H4">
        <v>16</v>
      </c>
      <c r="I4">
        <v>31</v>
      </c>
      <c r="J4">
        <v>233</v>
      </c>
      <c r="K4">
        <v>222</v>
      </c>
      <c r="L4">
        <v>797</v>
      </c>
      <c r="M4">
        <v>16</v>
      </c>
      <c r="N4">
        <v>2123</v>
      </c>
      <c r="O4">
        <v>2351</v>
      </c>
      <c r="P4">
        <v>1168</v>
      </c>
      <c r="Q4">
        <v>768</v>
      </c>
      <c r="R4">
        <v>266</v>
      </c>
      <c r="S4">
        <v>213</v>
      </c>
      <c r="T4">
        <v>4025</v>
      </c>
      <c r="U4">
        <v>36</v>
      </c>
      <c r="V4">
        <v>52</v>
      </c>
      <c r="W4">
        <v>286</v>
      </c>
      <c r="X4">
        <v>3143</v>
      </c>
      <c r="Y4">
        <v>459</v>
      </c>
      <c r="Z4">
        <v>1307</v>
      </c>
      <c r="AA4">
        <v>449</v>
      </c>
      <c r="AB4">
        <v>290</v>
      </c>
      <c r="AC4">
        <v>6223</v>
      </c>
      <c r="AD4">
        <v>218</v>
      </c>
      <c r="AE4">
        <v>1462</v>
      </c>
      <c r="AF4">
        <v>292</v>
      </c>
      <c r="AG4">
        <v>0</v>
      </c>
      <c r="AH4">
        <v>608</v>
      </c>
      <c r="AI4">
        <v>326</v>
      </c>
      <c r="AJ4">
        <v>104</v>
      </c>
      <c r="AK4">
        <v>303</v>
      </c>
      <c r="AL4">
        <v>4501</v>
      </c>
      <c r="AM4">
        <v>1536</v>
      </c>
      <c r="AN4">
        <v>289</v>
      </c>
      <c r="AO4">
        <v>144</v>
      </c>
      <c r="AP4">
        <v>185</v>
      </c>
      <c r="AQ4">
        <v>3340</v>
      </c>
      <c r="AR4">
        <v>85</v>
      </c>
      <c r="AS4">
        <v>998</v>
      </c>
      <c r="AT4">
        <v>12654</v>
      </c>
      <c r="AU4">
        <v>392</v>
      </c>
      <c r="AV4">
        <v>563</v>
      </c>
      <c r="AW4">
        <v>1115</v>
      </c>
      <c r="AX4">
        <v>631</v>
      </c>
      <c r="AY4">
        <v>9458</v>
      </c>
      <c r="AZ4">
        <v>2991</v>
      </c>
      <c r="BA4">
        <v>46</v>
      </c>
      <c r="BB4">
        <v>46</v>
      </c>
      <c r="BC4">
        <v>453</v>
      </c>
      <c r="BD4">
        <v>226</v>
      </c>
      <c r="BE4">
        <v>6234</v>
      </c>
      <c r="BF4">
        <v>44</v>
      </c>
      <c r="BG4">
        <v>31</v>
      </c>
      <c r="BH4">
        <v>282</v>
      </c>
      <c r="BI4">
        <v>109133</v>
      </c>
      <c r="BJ4">
        <v>72</v>
      </c>
      <c r="BK4">
        <v>364</v>
      </c>
      <c r="BL4">
        <v>0</v>
      </c>
      <c r="BM4">
        <v>22</v>
      </c>
      <c r="BN4">
        <v>0</v>
      </c>
      <c r="BO4">
        <v>0</v>
      </c>
      <c r="BP4">
        <v>0</v>
      </c>
      <c r="BQ4">
        <v>384</v>
      </c>
      <c r="BR4">
        <v>151</v>
      </c>
      <c r="BS4">
        <v>148</v>
      </c>
      <c r="BT4">
        <v>1055</v>
      </c>
      <c r="BU4">
        <v>8</v>
      </c>
      <c r="BV4">
        <v>21</v>
      </c>
      <c r="BW4">
        <v>3</v>
      </c>
      <c r="BX4">
        <v>20</v>
      </c>
      <c r="BY4">
        <v>123</v>
      </c>
      <c r="BZ4">
        <v>154</v>
      </c>
      <c r="CA4">
        <v>13</v>
      </c>
      <c r="CB4">
        <v>37</v>
      </c>
      <c r="CC4">
        <v>44</v>
      </c>
      <c r="CD4">
        <v>0</v>
      </c>
      <c r="CE4">
        <v>11</v>
      </c>
      <c r="CF4">
        <v>36</v>
      </c>
      <c r="CG4">
        <v>745</v>
      </c>
      <c r="CH4">
        <v>190542</v>
      </c>
    </row>
    <row r="5" spans="1:86" x14ac:dyDescent="0.55000000000000004">
      <c r="A5">
        <v>1982</v>
      </c>
      <c r="B5">
        <v>738</v>
      </c>
      <c r="C5">
        <v>2738</v>
      </c>
      <c r="D5">
        <v>19</v>
      </c>
      <c r="E5">
        <v>52</v>
      </c>
      <c r="F5">
        <v>1186</v>
      </c>
      <c r="G5">
        <v>52</v>
      </c>
      <c r="H5">
        <v>26</v>
      </c>
      <c r="I5">
        <v>66</v>
      </c>
      <c r="J5">
        <v>481</v>
      </c>
      <c r="K5">
        <v>232</v>
      </c>
      <c r="L5">
        <v>393</v>
      </c>
      <c r="M5">
        <v>108</v>
      </c>
      <c r="N5">
        <v>2653</v>
      </c>
      <c r="O5">
        <v>2471</v>
      </c>
      <c r="P5">
        <v>2078</v>
      </c>
      <c r="Q5">
        <v>760</v>
      </c>
      <c r="R5">
        <v>500</v>
      </c>
      <c r="S5">
        <v>1595</v>
      </c>
      <c r="T5">
        <v>3664</v>
      </c>
      <c r="U5">
        <v>27</v>
      </c>
      <c r="V5">
        <v>93</v>
      </c>
      <c r="W5">
        <v>220</v>
      </c>
      <c r="X5">
        <v>3089</v>
      </c>
      <c r="Y5">
        <v>413</v>
      </c>
      <c r="Z5">
        <v>2889</v>
      </c>
      <c r="AA5">
        <v>1030</v>
      </c>
      <c r="AB5">
        <v>708</v>
      </c>
      <c r="AC5">
        <v>10133</v>
      </c>
      <c r="AD5">
        <v>208</v>
      </c>
      <c r="AE5">
        <v>1402</v>
      </c>
      <c r="AF5">
        <v>546</v>
      </c>
      <c r="AG5">
        <v>0</v>
      </c>
      <c r="AH5">
        <v>168</v>
      </c>
      <c r="AI5">
        <v>647</v>
      </c>
      <c r="AJ5">
        <v>182</v>
      </c>
      <c r="AK5">
        <v>526</v>
      </c>
      <c r="AL5">
        <v>6299</v>
      </c>
      <c r="AM5">
        <v>2422</v>
      </c>
      <c r="AN5">
        <v>730</v>
      </c>
      <c r="AO5">
        <v>0</v>
      </c>
      <c r="AP5">
        <v>215</v>
      </c>
      <c r="AQ5">
        <v>4922</v>
      </c>
      <c r="AR5">
        <v>25</v>
      </c>
      <c r="AS5">
        <v>1265</v>
      </c>
      <c r="AT5">
        <v>6395</v>
      </c>
      <c r="AU5">
        <v>1037</v>
      </c>
      <c r="AV5">
        <v>1139</v>
      </c>
      <c r="AW5">
        <v>1106</v>
      </c>
      <c r="AX5">
        <v>228</v>
      </c>
      <c r="AY5">
        <v>7963</v>
      </c>
      <c r="AZ5">
        <v>2704</v>
      </c>
      <c r="BA5">
        <v>1000</v>
      </c>
      <c r="BB5">
        <v>250</v>
      </c>
      <c r="BC5">
        <v>1244</v>
      </c>
      <c r="BD5">
        <v>311</v>
      </c>
      <c r="BE5">
        <v>7789</v>
      </c>
      <c r="BF5">
        <v>27</v>
      </c>
      <c r="BG5">
        <v>86</v>
      </c>
      <c r="BH5">
        <v>948</v>
      </c>
      <c r="BI5">
        <v>130672</v>
      </c>
      <c r="BJ5">
        <v>86</v>
      </c>
      <c r="BK5">
        <v>326</v>
      </c>
      <c r="BL5">
        <v>187</v>
      </c>
      <c r="BM5">
        <v>8</v>
      </c>
      <c r="BN5">
        <v>18</v>
      </c>
      <c r="BO5">
        <v>0</v>
      </c>
      <c r="BP5">
        <v>37</v>
      </c>
      <c r="BQ5">
        <v>465</v>
      </c>
      <c r="BR5">
        <v>155</v>
      </c>
      <c r="BS5">
        <v>31</v>
      </c>
      <c r="BT5">
        <v>1233</v>
      </c>
      <c r="BU5">
        <v>38</v>
      </c>
      <c r="BV5">
        <v>22</v>
      </c>
      <c r="BW5">
        <v>7</v>
      </c>
      <c r="BX5">
        <v>40</v>
      </c>
      <c r="BY5">
        <v>127</v>
      </c>
      <c r="BZ5">
        <v>159</v>
      </c>
      <c r="CA5">
        <v>25</v>
      </c>
      <c r="CB5">
        <v>38</v>
      </c>
      <c r="CC5">
        <v>111</v>
      </c>
      <c r="CD5">
        <v>0</v>
      </c>
      <c r="CE5">
        <v>7</v>
      </c>
      <c r="CF5">
        <v>59</v>
      </c>
      <c r="CG5">
        <v>871</v>
      </c>
      <c r="CH5">
        <v>224920</v>
      </c>
    </row>
    <row r="6" spans="1:86" x14ac:dyDescent="0.55000000000000004">
      <c r="A6">
        <v>1983</v>
      </c>
      <c r="B6">
        <v>878</v>
      </c>
      <c r="C6">
        <v>5620</v>
      </c>
      <c r="D6">
        <v>125</v>
      </c>
      <c r="E6">
        <v>57</v>
      </c>
      <c r="F6">
        <v>1407</v>
      </c>
      <c r="G6">
        <v>19</v>
      </c>
      <c r="H6">
        <v>13</v>
      </c>
      <c r="I6">
        <v>13</v>
      </c>
      <c r="J6">
        <v>774</v>
      </c>
      <c r="K6">
        <v>160</v>
      </c>
      <c r="L6">
        <v>1275</v>
      </c>
      <c r="M6">
        <v>97</v>
      </c>
      <c r="N6">
        <v>2613</v>
      </c>
      <c r="O6">
        <v>6627</v>
      </c>
      <c r="P6">
        <v>1107</v>
      </c>
      <c r="Q6">
        <v>1132</v>
      </c>
      <c r="R6">
        <v>327</v>
      </c>
      <c r="S6">
        <v>684</v>
      </c>
      <c r="T6">
        <v>1554</v>
      </c>
      <c r="U6">
        <v>0</v>
      </c>
      <c r="V6">
        <v>74</v>
      </c>
      <c r="W6">
        <v>116</v>
      </c>
      <c r="X6">
        <v>7269</v>
      </c>
      <c r="Y6">
        <v>1193</v>
      </c>
      <c r="Z6">
        <v>2865</v>
      </c>
      <c r="AA6">
        <v>973</v>
      </c>
      <c r="AB6">
        <v>396</v>
      </c>
      <c r="AC6">
        <v>8624</v>
      </c>
      <c r="AD6">
        <v>363</v>
      </c>
      <c r="AE6">
        <v>2066</v>
      </c>
      <c r="AF6">
        <v>432</v>
      </c>
      <c r="AG6">
        <v>0</v>
      </c>
      <c r="AH6">
        <v>258</v>
      </c>
      <c r="AI6">
        <v>206</v>
      </c>
      <c r="AJ6">
        <v>76</v>
      </c>
      <c r="AK6">
        <v>371</v>
      </c>
      <c r="AL6">
        <v>4966</v>
      </c>
      <c r="AM6">
        <v>883</v>
      </c>
      <c r="AN6">
        <v>216</v>
      </c>
      <c r="AO6">
        <v>80</v>
      </c>
      <c r="AP6">
        <v>29</v>
      </c>
      <c r="AQ6">
        <v>3234</v>
      </c>
      <c r="AR6">
        <v>142</v>
      </c>
      <c r="AS6">
        <v>508</v>
      </c>
      <c r="AT6">
        <v>7303</v>
      </c>
      <c r="AU6">
        <v>317</v>
      </c>
      <c r="AV6">
        <v>433</v>
      </c>
      <c r="AW6">
        <v>445</v>
      </c>
      <c r="AX6">
        <v>259</v>
      </c>
      <c r="AY6">
        <v>7765</v>
      </c>
      <c r="AZ6">
        <v>3948</v>
      </c>
      <c r="BA6">
        <v>230</v>
      </c>
      <c r="BB6">
        <v>45</v>
      </c>
      <c r="BC6">
        <v>1013</v>
      </c>
      <c r="BD6">
        <v>189</v>
      </c>
      <c r="BE6">
        <v>3482</v>
      </c>
      <c r="BF6">
        <v>36</v>
      </c>
      <c r="BG6">
        <v>72</v>
      </c>
      <c r="BH6">
        <v>869</v>
      </c>
      <c r="BI6">
        <v>45257</v>
      </c>
      <c r="BJ6">
        <v>196</v>
      </c>
      <c r="BK6">
        <v>313</v>
      </c>
      <c r="BL6">
        <v>137</v>
      </c>
      <c r="BM6">
        <v>12</v>
      </c>
      <c r="BN6">
        <v>14</v>
      </c>
      <c r="BO6">
        <v>0</v>
      </c>
      <c r="BP6">
        <v>0</v>
      </c>
      <c r="BQ6">
        <v>147</v>
      </c>
      <c r="BR6">
        <v>268</v>
      </c>
      <c r="BS6">
        <v>89</v>
      </c>
      <c r="BT6">
        <v>1064</v>
      </c>
      <c r="BU6">
        <v>18</v>
      </c>
      <c r="BV6">
        <v>35</v>
      </c>
      <c r="BW6">
        <v>0</v>
      </c>
      <c r="BX6">
        <v>17</v>
      </c>
      <c r="BY6">
        <v>219</v>
      </c>
      <c r="BZ6">
        <v>275</v>
      </c>
      <c r="CA6">
        <v>0</v>
      </c>
      <c r="CB6">
        <v>18</v>
      </c>
      <c r="CC6">
        <v>112</v>
      </c>
      <c r="CD6">
        <v>0</v>
      </c>
      <c r="CE6">
        <v>5</v>
      </c>
      <c r="CF6">
        <v>67</v>
      </c>
      <c r="CG6">
        <v>751</v>
      </c>
      <c r="CH6">
        <v>135242</v>
      </c>
    </row>
    <row r="7" spans="1:86" x14ac:dyDescent="0.55000000000000004">
      <c r="A7">
        <v>1984</v>
      </c>
      <c r="B7">
        <v>1328</v>
      </c>
      <c r="C7">
        <v>7106</v>
      </c>
      <c r="D7">
        <v>277</v>
      </c>
      <c r="E7">
        <v>67</v>
      </c>
      <c r="F7">
        <v>1952</v>
      </c>
      <c r="G7">
        <v>13</v>
      </c>
      <c r="H7">
        <v>50</v>
      </c>
      <c r="I7">
        <v>145</v>
      </c>
      <c r="J7">
        <v>167</v>
      </c>
      <c r="K7">
        <v>447</v>
      </c>
      <c r="L7">
        <v>1669</v>
      </c>
      <c r="M7">
        <v>226</v>
      </c>
      <c r="N7">
        <v>2153</v>
      </c>
      <c r="O7">
        <v>7015</v>
      </c>
      <c r="P7">
        <v>1807</v>
      </c>
      <c r="Q7">
        <v>475</v>
      </c>
      <c r="R7">
        <v>981</v>
      </c>
      <c r="S7">
        <v>845</v>
      </c>
      <c r="T7">
        <v>3404</v>
      </c>
      <c r="U7">
        <v>0</v>
      </c>
      <c r="V7">
        <v>448</v>
      </c>
      <c r="W7">
        <v>178</v>
      </c>
      <c r="X7">
        <v>7020</v>
      </c>
      <c r="Y7">
        <v>1019</v>
      </c>
      <c r="Z7">
        <v>3752</v>
      </c>
      <c r="AA7">
        <v>1023</v>
      </c>
      <c r="AB7">
        <v>357</v>
      </c>
      <c r="AC7">
        <v>6677</v>
      </c>
      <c r="AD7">
        <v>347</v>
      </c>
      <c r="AE7">
        <v>2059</v>
      </c>
      <c r="AF7">
        <v>446</v>
      </c>
      <c r="AG7">
        <v>0</v>
      </c>
      <c r="AH7">
        <v>744</v>
      </c>
      <c r="AI7">
        <v>573</v>
      </c>
      <c r="AJ7">
        <v>479</v>
      </c>
      <c r="AK7">
        <v>672</v>
      </c>
      <c r="AL7">
        <v>4682</v>
      </c>
      <c r="AM7">
        <v>2326</v>
      </c>
      <c r="AN7">
        <v>760</v>
      </c>
      <c r="AO7">
        <v>114</v>
      </c>
      <c r="AP7">
        <v>116</v>
      </c>
      <c r="AQ7">
        <v>1921</v>
      </c>
      <c r="AR7">
        <v>184</v>
      </c>
      <c r="AS7">
        <v>1333</v>
      </c>
      <c r="AT7">
        <v>13137</v>
      </c>
      <c r="AU7">
        <v>1132</v>
      </c>
      <c r="AV7">
        <v>985</v>
      </c>
      <c r="AW7">
        <v>1280</v>
      </c>
      <c r="AX7">
        <v>584</v>
      </c>
      <c r="AY7">
        <v>14019</v>
      </c>
      <c r="AZ7">
        <v>6227</v>
      </c>
      <c r="BA7">
        <v>1941</v>
      </c>
      <c r="BB7">
        <v>976</v>
      </c>
      <c r="BC7">
        <v>782</v>
      </c>
      <c r="BD7">
        <v>335</v>
      </c>
      <c r="BE7">
        <v>5496</v>
      </c>
      <c r="BF7">
        <v>64</v>
      </c>
      <c r="BG7">
        <v>50</v>
      </c>
      <c r="BH7">
        <v>669</v>
      </c>
      <c r="BI7">
        <v>132965</v>
      </c>
      <c r="BJ7">
        <v>899</v>
      </c>
      <c r="BK7">
        <v>0</v>
      </c>
      <c r="BL7">
        <v>23</v>
      </c>
      <c r="BM7">
        <v>15</v>
      </c>
      <c r="BN7">
        <v>29</v>
      </c>
      <c r="BO7">
        <v>55</v>
      </c>
      <c r="BP7">
        <v>18</v>
      </c>
      <c r="BQ7">
        <v>460</v>
      </c>
      <c r="BR7">
        <v>285</v>
      </c>
      <c r="BS7">
        <v>83</v>
      </c>
      <c r="BT7">
        <v>1259</v>
      </c>
      <c r="BU7">
        <v>10</v>
      </c>
      <c r="BV7">
        <v>38</v>
      </c>
      <c r="BW7">
        <v>0</v>
      </c>
      <c r="BX7">
        <v>0</v>
      </c>
      <c r="BY7">
        <v>233</v>
      </c>
      <c r="BZ7">
        <v>292</v>
      </c>
      <c r="CA7">
        <v>0</v>
      </c>
      <c r="CB7">
        <v>45</v>
      </c>
      <c r="CC7">
        <v>280</v>
      </c>
      <c r="CD7">
        <v>0</v>
      </c>
      <c r="CE7">
        <v>11</v>
      </c>
      <c r="CF7">
        <v>90</v>
      </c>
      <c r="CG7">
        <v>889</v>
      </c>
      <c r="CH7">
        <v>253013</v>
      </c>
    </row>
    <row r="8" spans="1:86" x14ac:dyDescent="0.55000000000000004">
      <c r="A8">
        <v>1985</v>
      </c>
      <c r="B8">
        <v>1325</v>
      </c>
      <c r="C8">
        <v>6928</v>
      </c>
      <c r="D8">
        <v>359</v>
      </c>
      <c r="E8">
        <v>111</v>
      </c>
      <c r="F8">
        <v>2665</v>
      </c>
      <c r="G8">
        <v>6</v>
      </c>
      <c r="H8">
        <v>55</v>
      </c>
      <c r="I8">
        <v>94</v>
      </c>
      <c r="J8">
        <v>443</v>
      </c>
      <c r="K8">
        <v>556</v>
      </c>
      <c r="L8">
        <v>1664</v>
      </c>
      <c r="M8">
        <v>501</v>
      </c>
      <c r="N8">
        <v>5671</v>
      </c>
      <c r="O8">
        <v>9891</v>
      </c>
      <c r="P8">
        <v>4676</v>
      </c>
      <c r="Q8">
        <v>1780</v>
      </c>
      <c r="R8">
        <v>415</v>
      </c>
      <c r="S8">
        <v>4739</v>
      </c>
      <c r="T8">
        <v>3763</v>
      </c>
      <c r="U8">
        <v>43</v>
      </c>
      <c r="V8">
        <v>377</v>
      </c>
      <c r="W8">
        <v>211</v>
      </c>
      <c r="X8">
        <v>8402</v>
      </c>
      <c r="Y8">
        <v>1655</v>
      </c>
      <c r="Z8">
        <v>3680</v>
      </c>
      <c r="AA8">
        <v>1829</v>
      </c>
      <c r="AB8">
        <v>321</v>
      </c>
      <c r="AC8">
        <v>6798</v>
      </c>
      <c r="AD8">
        <v>505</v>
      </c>
      <c r="AE8">
        <v>3165</v>
      </c>
      <c r="AF8">
        <v>561</v>
      </c>
      <c r="AG8">
        <v>0</v>
      </c>
      <c r="AH8">
        <v>1104</v>
      </c>
      <c r="AI8">
        <v>298</v>
      </c>
      <c r="AJ8">
        <v>159</v>
      </c>
      <c r="AK8">
        <v>398</v>
      </c>
      <c r="AL8">
        <v>6098</v>
      </c>
      <c r="AM8">
        <v>1734</v>
      </c>
      <c r="AN8">
        <v>764</v>
      </c>
      <c r="AO8">
        <v>73</v>
      </c>
      <c r="AP8">
        <v>286</v>
      </c>
      <c r="AQ8">
        <v>2289</v>
      </c>
      <c r="AR8">
        <v>362</v>
      </c>
      <c r="AS8">
        <v>1614</v>
      </c>
      <c r="AT8">
        <v>17494</v>
      </c>
      <c r="AU8">
        <v>1578</v>
      </c>
      <c r="AV8">
        <v>1847</v>
      </c>
      <c r="AW8">
        <v>1318</v>
      </c>
      <c r="AX8">
        <v>707</v>
      </c>
      <c r="AY8">
        <v>10991</v>
      </c>
      <c r="AZ8">
        <v>3107</v>
      </c>
      <c r="BA8">
        <v>1725</v>
      </c>
      <c r="BB8">
        <v>919</v>
      </c>
      <c r="BC8">
        <v>2792</v>
      </c>
      <c r="BD8">
        <v>135</v>
      </c>
      <c r="BE8">
        <v>8014</v>
      </c>
      <c r="BF8">
        <v>287</v>
      </c>
      <c r="BG8">
        <v>353</v>
      </c>
      <c r="BH8">
        <v>760</v>
      </c>
      <c r="BI8">
        <v>179691</v>
      </c>
      <c r="BJ8">
        <v>2100</v>
      </c>
      <c r="BK8">
        <v>0</v>
      </c>
      <c r="BL8">
        <v>100</v>
      </c>
      <c r="BM8">
        <v>33</v>
      </c>
      <c r="BN8">
        <v>37</v>
      </c>
      <c r="BO8">
        <v>72</v>
      </c>
      <c r="BP8">
        <v>64</v>
      </c>
      <c r="BQ8">
        <v>648</v>
      </c>
      <c r="BR8">
        <v>399</v>
      </c>
      <c r="BS8">
        <v>54</v>
      </c>
      <c r="BT8">
        <v>1838</v>
      </c>
      <c r="BU8">
        <v>15</v>
      </c>
      <c r="BV8">
        <v>54</v>
      </c>
      <c r="BW8">
        <v>8</v>
      </c>
      <c r="BX8">
        <v>0</v>
      </c>
      <c r="BY8">
        <v>326</v>
      </c>
      <c r="BZ8">
        <v>110</v>
      </c>
      <c r="CA8">
        <v>0</v>
      </c>
      <c r="CB8">
        <v>65</v>
      </c>
      <c r="CC8">
        <v>80</v>
      </c>
      <c r="CD8">
        <v>0</v>
      </c>
      <c r="CE8">
        <v>13</v>
      </c>
      <c r="CF8">
        <v>116</v>
      </c>
      <c r="CG8">
        <v>1298</v>
      </c>
      <c r="CH8">
        <v>327516</v>
      </c>
    </row>
    <row r="9" spans="1:86" x14ac:dyDescent="0.55000000000000004">
      <c r="A9">
        <v>1986</v>
      </c>
      <c r="B9">
        <v>999</v>
      </c>
      <c r="C9">
        <v>7098</v>
      </c>
      <c r="D9">
        <v>194</v>
      </c>
      <c r="E9">
        <v>139</v>
      </c>
      <c r="F9">
        <v>3339</v>
      </c>
      <c r="G9">
        <v>45</v>
      </c>
      <c r="H9">
        <v>56</v>
      </c>
      <c r="I9">
        <v>167</v>
      </c>
      <c r="J9">
        <v>1113</v>
      </c>
      <c r="K9">
        <v>1112</v>
      </c>
      <c r="L9">
        <v>3339</v>
      </c>
      <c r="M9">
        <v>499</v>
      </c>
      <c r="N9">
        <v>6015</v>
      </c>
      <c r="O9">
        <v>14212</v>
      </c>
      <c r="P9">
        <v>4666</v>
      </c>
      <c r="Q9">
        <v>1758</v>
      </c>
      <c r="R9">
        <v>494</v>
      </c>
      <c r="S9">
        <v>3976</v>
      </c>
      <c r="T9">
        <v>3241</v>
      </c>
      <c r="U9">
        <v>89</v>
      </c>
      <c r="V9">
        <v>332</v>
      </c>
      <c r="W9">
        <v>176</v>
      </c>
      <c r="X9">
        <v>5799</v>
      </c>
      <c r="Y9">
        <v>1642</v>
      </c>
      <c r="Z9">
        <v>12928</v>
      </c>
      <c r="AA9">
        <v>1795</v>
      </c>
      <c r="AB9">
        <v>283</v>
      </c>
      <c r="AC9">
        <v>9673</v>
      </c>
      <c r="AD9">
        <v>573</v>
      </c>
      <c r="AE9">
        <v>5954</v>
      </c>
      <c r="AF9">
        <v>469</v>
      </c>
      <c r="AG9">
        <v>0</v>
      </c>
      <c r="AH9">
        <v>938</v>
      </c>
      <c r="AI9">
        <v>188</v>
      </c>
      <c r="AJ9">
        <v>206</v>
      </c>
      <c r="AK9">
        <v>609</v>
      </c>
      <c r="AL9">
        <v>7391</v>
      </c>
      <c r="AM9">
        <v>1711</v>
      </c>
      <c r="AN9">
        <v>795</v>
      </c>
      <c r="AO9">
        <v>6</v>
      </c>
      <c r="AP9">
        <v>175</v>
      </c>
      <c r="AQ9">
        <v>3171</v>
      </c>
      <c r="AR9">
        <v>354</v>
      </c>
      <c r="AS9">
        <v>1817</v>
      </c>
      <c r="AT9">
        <v>26459</v>
      </c>
      <c r="AU9">
        <v>1455</v>
      </c>
      <c r="AV9">
        <v>981</v>
      </c>
      <c r="AW9">
        <v>3472</v>
      </c>
      <c r="AX9">
        <v>501</v>
      </c>
      <c r="AY9">
        <v>9310</v>
      </c>
      <c r="AZ9">
        <v>5693</v>
      </c>
      <c r="BA9">
        <v>1195</v>
      </c>
      <c r="BB9">
        <v>1606</v>
      </c>
      <c r="BC9">
        <v>2815</v>
      </c>
      <c r="BD9">
        <v>610</v>
      </c>
      <c r="BE9">
        <v>9454</v>
      </c>
      <c r="BF9">
        <v>120</v>
      </c>
      <c r="BG9">
        <v>147</v>
      </c>
      <c r="BH9">
        <v>275</v>
      </c>
      <c r="BI9">
        <v>179968</v>
      </c>
      <c r="BJ9">
        <v>5195</v>
      </c>
      <c r="BK9">
        <v>317</v>
      </c>
      <c r="BL9">
        <v>23</v>
      </c>
      <c r="BM9">
        <v>28</v>
      </c>
      <c r="BN9">
        <v>44</v>
      </c>
      <c r="BO9">
        <v>83</v>
      </c>
      <c r="BP9">
        <v>73</v>
      </c>
      <c r="BQ9">
        <v>669</v>
      </c>
      <c r="BR9">
        <v>468</v>
      </c>
      <c r="BS9">
        <v>32</v>
      </c>
      <c r="BT9">
        <v>2248</v>
      </c>
      <c r="BU9">
        <v>18</v>
      </c>
      <c r="BV9">
        <v>63</v>
      </c>
      <c r="BW9">
        <v>8</v>
      </c>
      <c r="BX9">
        <v>161</v>
      </c>
      <c r="BY9">
        <v>383</v>
      </c>
      <c r="BZ9">
        <v>111</v>
      </c>
      <c r="CA9">
        <v>3</v>
      </c>
      <c r="CB9">
        <v>80</v>
      </c>
      <c r="CC9">
        <v>135</v>
      </c>
      <c r="CD9">
        <v>0</v>
      </c>
      <c r="CE9">
        <v>17</v>
      </c>
      <c r="CF9">
        <v>113</v>
      </c>
      <c r="CG9">
        <v>1587</v>
      </c>
      <c r="CH9">
        <v>365456</v>
      </c>
    </row>
    <row r="10" spans="1:86" x14ac:dyDescent="0.55000000000000004">
      <c r="A10">
        <v>1987</v>
      </c>
      <c r="B10">
        <v>1181</v>
      </c>
      <c r="C10">
        <v>3826</v>
      </c>
      <c r="D10">
        <v>236</v>
      </c>
      <c r="E10">
        <v>128</v>
      </c>
      <c r="F10">
        <v>3470</v>
      </c>
      <c r="G10">
        <v>17</v>
      </c>
      <c r="H10">
        <v>122</v>
      </c>
      <c r="I10">
        <v>186</v>
      </c>
      <c r="J10">
        <v>2333</v>
      </c>
      <c r="K10">
        <v>576</v>
      </c>
      <c r="L10">
        <v>3252</v>
      </c>
      <c r="M10">
        <v>335</v>
      </c>
      <c r="N10">
        <v>4127</v>
      </c>
      <c r="O10">
        <v>16179</v>
      </c>
      <c r="P10">
        <v>4737</v>
      </c>
      <c r="Q10">
        <v>1942</v>
      </c>
      <c r="R10">
        <v>758</v>
      </c>
      <c r="S10">
        <v>6151</v>
      </c>
      <c r="T10">
        <v>2326</v>
      </c>
      <c r="U10">
        <v>56</v>
      </c>
      <c r="V10">
        <v>596</v>
      </c>
      <c r="W10">
        <v>247</v>
      </c>
      <c r="X10">
        <v>8963</v>
      </c>
      <c r="Y10">
        <v>3584</v>
      </c>
      <c r="Z10">
        <v>6598</v>
      </c>
      <c r="AA10">
        <v>1446</v>
      </c>
      <c r="AB10">
        <v>274</v>
      </c>
      <c r="AC10">
        <v>10949</v>
      </c>
      <c r="AD10">
        <v>701</v>
      </c>
      <c r="AE10">
        <v>6591</v>
      </c>
      <c r="AF10">
        <v>494</v>
      </c>
      <c r="AG10">
        <v>0</v>
      </c>
      <c r="AH10">
        <v>786</v>
      </c>
      <c r="AI10">
        <v>125</v>
      </c>
      <c r="AJ10">
        <v>195</v>
      </c>
      <c r="AK10">
        <v>363</v>
      </c>
      <c r="AL10">
        <v>4339</v>
      </c>
      <c r="AM10">
        <v>1787</v>
      </c>
      <c r="AN10">
        <v>732</v>
      </c>
      <c r="AO10">
        <v>56</v>
      </c>
      <c r="AP10">
        <v>40</v>
      </c>
      <c r="AQ10">
        <v>3231</v>
      </c>
      <c r="AR10">
        <v>0</v>
      </c>
      <c r="AS10">
        <v>2812</v>
      </c>
      <c r="AT10">
        <v>21049</v>
      </c>
      <c r="AU10">
        <v>1337</v>
      </c>
      <c r="AV10">
        <v>736</v>
      </c>
      <c r="AW10">
        <v>2622</v>
      </c>
      <c r="AX10">
        <v>262</v>
      </c>
      <c r="AY10">
        <v>11167</v>
      </c>
      <c r="AZ10">
        <v>4638</v>
      </c>
      <c r="BA10">
        <v>691</v>
      </c>
      <c r="BB10">
        <v>665</v>
      </c>
      <c r="BC10">
        <v>1183</v>
      </c>
      <c r="BD10">
        <v>793</v>
      </c>
      <c r="BE10">
        <v>5755</v>
      </c>
      <c r="BF10">
        <v>80</v>
      </c>
      <c r="BG10">
        <v>5</v>
      </c>
      <c r="BH10">
        <v>232</v>
      </c>
      <c r="BI10">
        <v>82056</v>
      </c>
      <c r="BJ10">
        <v>18443</v>
      </c>
      <c r="BK10">
        <v>366</v>
      </c>
      <c r="BL10">
        <v>58</v>
      </c>
      <c r="BM10">
        <v>0</v>
      </c>
      <c r="BN10">
        <v>41</v>
      </c>
      <c r="BO10">
        <v>86</v>
      </c>
      <c r="BP10">
        <v>76</v>
      </c>
      <c r="BQ10">
        <v>354</v>
      </c>
      <c r="BR10">
        <v>569</v>
      </c>
      <c r="BS10">
        <v>86</v>
      </c>
      <c r="BT10">
        <v>1838</v>
      </c>
      <c r="BU10">
        <v>0</v>
      </c>
      <c r="BV10">
        <v>67</v>
      </c>
      <c r="BW10">
        <v>6</v>
      </c>
      <c r="BX10">
        <v>12</v>
      </c>
      <c r="BY10">
        <v>199</v>
      </c>
      <c r="BZ10">
        <v>133</v>
      </c>
      <c r="CA10">
        <v>22</v>
      </c>
      <c r="CB10">
        <v>65</v>
      </c>
      <c r="CC10">
        <v>141</v>
      </c>
      <c r="CD10">
        <v>0</v>
      </c>
      <c r="CE10">
        <v>16</v>
      </c>
      <c r="CF10">
        <v>118</v>
      </c>
      <c r="CG10">
        <v>1298</v>
      </c>
      <c r="CH10">
        <v>264112</v>
      </c>
    </row>
    <row r="11" spans="1:86" x14ac:dyDescent="0.55000000000000004">
      <c r="A11">
        <v>1988</v>
      </c>
      <c r="B11">
        <v>1742</v>
      </c>
      <c r="C11">
        <v>4363</v>
      </c>
      <c r="D11">
        <v>209</v>
      </c>
      <c r="E11">
        <v>161</v>
      </c>
      <c r="F11">
        <v>3085</v>
      </c>
      <c r="G11">
        <v>86</v>
      </c>
      <c r="H11">
        <v>80</v>
      </c>
      <c r="I11">
        <v>126</v>
      </c>
      <c r="J11">
        <v>2071</v>
      </c>
      <c r="K11">
        <v>911</v>
      </c>
      <c r="L11">
        <v>2293</v>
      </c>
      <c r="M11">
        <v>231</v>
      </c>
      <c r="N11">
        <v>5553</v>
      </c>
      <c r="O11">
        <v>7733</v>
      </c>
      <c r="P11">
        <v>3577</v>
      </c>
      <c r="Q11">
        <v>2180</v>
      </c>
      <c r="R11">
        <v>1301</v>
      </c>
      <c r="S11">
        <v>3621</v>
      </c>
      <c r="T11">
        <v>3167</v>
      </c>
      <c r="U11">
        <v>56</v>
      </c>
      <c r="V11">
        <v>352</v>
      </c>
      <c r="W11">
        <v>364</v>
      </c>
      <c r="X11">
        <v>7005</v>
      </c>
      <c r="Y11">
        <v>1461</v>
      </c>
      <c r="Z11">
        <v>7093</v>
      </c>
      <c r="AA11">
        <v>2269</v>
      </c>
      <c r="AB11">
        <v>274</v>
      </c>
      <c r="AC11">
        <v>10075</v>
      </c>
      <c r="AD11">
        <v>620</v>
      </c>
      <c r="AE11">
        <v>6644</v>
      </c>
      <c r="AF11">
        <v>347</v>
      </c>
      <c r="AG11">
        <v>0</v>
      </c>
      <c r="AH11">
        <v>718</v>
      </c>
      <c r="AI11">
        <v>258</v>
      </c>
      <c r="AJ11">
        <v>149</v>
      </c>
      <c r="AK11">
        <v>801</v>
      </c>
      <c r="AL11">
        <v>7927</v>
      </c>
      <c r="AM11">
        <v>2072</v>
      </c>
      <c r="AN11">
        <v>895</v>
      </c>
      <c r="AO11">
        <v>112</v>
      </c>
      <c r="AP11">
        <v>111</v>
      </c>
      <c r="AQ11">
        <v>2508</v>
      </c>
      <c r="AR11">
        <v>75</v>
      </c>
      <c r="AS11">
        <v>2632</v>
      </c>
      <c r="AT11">
        <v>27876</v>
      </c>
      <c r="AU11">
        <v>1388</v>
      </c>
      <c r="AV11">
        <v>1384</v>
      </c>
      <c r="AW11">
        <v>1801</v>
      </c>
      <c r="AX11">
        <v>486</v>
      </c>
      <c r="AY11">
        <v>14807</v>
      </c>
      <c r="AZ11">
        <v>7471</v>
      </c>
      <c r="BA11">
        <v>1543</v>
      </c>
      <c r="BB11">
        <v>1036</v>
      </c>
      <c r="BC11">
        <v>514</v>
      </c>
      <c r="BD11">
        <v>409</v>
      </c>
      <c r="BE11">
        <v>4358</v>
      </c>
      <c r="BF11">
        <v>53</v>
      </c>
      <c r="BG11">
        <v>71</v>
      </c>
      <c r="BH11">
        <v>613</v>
      </c>
      <c r="BI11">
        <v>38232</v>
      </c>
      <c r="BJ11">
        <v>16603</v>
      </c>
      <c r="BK11">
        <v>878</v>
      </c>
      <c r="BL11">
        <v>61</v>
      </c>
      <c r="BM11">
        <v>11</v>
      </c>
      <c r="BN11">
        <v>51</v>
      </c>
      <c r="BO11">
        <v>71</v>
      </c>
      <c r="BP11">
        <v>63</v>
      </c>
      <c r="BQ11">
        <v>191</v>
      </c>
      <c r="BR11">
        <v>464</v>
      </c>
      <c r="BS11">
        <v>87</v>
      </c>
      <c r="BT11">
        <v>1846</v>
      </c>
      <c r="BU11">
        <v>15</v>
      </c>
      <c r="BV11">
        <v>57</v>
      </c>
      <c r="BW11">
        <v>7</v>
      </c>
      <c r="BX11">
        <v>120</v>
      </c>
      <c r="BY11">
        <v>380</v>
      </c>
      <c r="BZ11">
        <v>476</v>
      </c>
      <c r="CA11">
        <v>149</v>
      </c>
      <c r="CB11">
        <v>66</v>
      </c>
      <c r="CC11">
        <v>124</v>
      </c>
      <c r="CD11">
        <v>0</v>
      </c>
      <c r="CE11">
        <v>22</v>
      </c>
      <c r="CF11">
        <v>100</v>
      </c>
      <c r="CG11">
        <v>1303</v>
      </c>
      <c r="CH11">
        <v>222495</v>
      </c>
    </row>
    <row r="12" spans="1:86" x14ac:dyDescent="0.55000000000000004">
      <c r="A12">
        <v>1989</v>
      </c>
      <c r="B12">
        <v>1050</v>
      </c>
      <c r="C12">
        <v>6427</v>
      </c>
      <c r="D12">
        <v>124</v>
      </c>
      <c r="E12">
        <v>76</v>
      </c>
      <c r="F12">
        <v>1896</v>
      </c>
      <c r="G12">
        <v>43</v>
      </c>
      <c r="H12">
        <v>25</v>
      </c>
      <c r="I12">
        <v>63</v>
      </c>
      <c r="J12">
        <v>501</v>
      </c>
      <c r="K12">
        <v>95</v>
      </c>
      <c r="L12">
        <v>2391</v>
      </c>
      <c r="M12">
        <v>173</v>
      </c>
      <c r="N12">
        <v>2583</v>
      </c>
      <c r="O12">
        <v>9313</v>
      </c>
      <c r="P12">
        <v>2123</v>
      </c>
      <c r="Q12">
        <v>1713</v>
      </c>
      <c r="R12">
        <v>567</v>
      </c>
      <c r="S12">
        <v>2088</v>
      </c>
      <c r="T12">
        <v>3546</v>
      </c>
      <c r="U12">
        <v>17</v>
      </c>
      <c r="V12">
        <v>265</v>
      </c>
      <c r="W12">
        <v>62</v>
      </c>
      <c r="X12">
        <v>3888</v>
      </c>
      <c r="Y12">
        <v>972</v>
      </c>
      <c r="Z12">
        <v>4459</v>
      </c>
      <c r="AA12">
        <v>1517</v>
      </c>
      <c r="AB12">
        <v>488</v>
      </c>
      <c r="AC12">
        <v>4325</v>
      </c>
      <c r="AD12">
        <v>379</v>
      </c>
      <c r="AE12">
        <v>5201</v>
      </c>
      <c r="AF12">
        <v>244</v>
      </c>
      <c r="AG12">
        <v>0</v>
      </c>
      <c r="AH12">
        <v>950</v>
      </c>
      <c r="AI12">
        <v>429</v>
      </c>
      <c r="AJ12">
        <v>184</v>
      </c>
      <c r="AK12">
        <v>233</v>
      </c>
      <c r="AL12">
        <v>3524</v>
      </c>
      <c r="AM12">
        <v>1370</v>
      </c>
      <c r="AN12">
        <v>963</v>
      </c>
      <c r="AO12">
        <v>308</v>
      </c>
      <c r="AP12">
        <v>399</v>
      </c>
      <c r="AQ12">
        <v>2016</v>
      </c>
      <c r="AR12">
        <v>324</v>
      </c>
      <c r="AS12">
        <v>2975</v>
      </c>
      <c r="AT12">
        <v>24860</v>
      </c>
      <c r="AU12">
        <v>1226</v>
      </c>
      <c r="AV12">
        <v>2119</v>
      </c>
      <c r="AW12">
        <v>1762</v>
      </c>
      <c r="AX12">
        <v>515</v>
      </c>
      <c r="AY12">
        <v>13217</v>
      </c>
      <c r="AZ12">
        <v>4392</v>
      </c>
      <c r="BA12">
        <v>816</v>
      </c>
      <c r="BB12">
        <v>1346</v>
      </c>
      <c r="BC12">
        <v>1511</v>
      </c>
      <c r="BD12">
        <v>833</v>
      </c>
      <c r="BE12">
        <v>6568</v>
      </c>
      <c r="BF12">
        <v>61</v>
      </c>
      <c r="BG12">
        <v>71</v>
      </c>
      <c r="BH12">
        <v>594</v>
      </c>
      <c r="BI12">
        <v>77172</v>
      </c>
      <c r="BJ12">
        <v>3685</v>
      </c>
      <c r="BK12">
        <v>409</v>
      </c>
      <c r="BL12">
        <v>24</v>
      </c>
      <c r="BM12">
        <v>12</v>
      </c>
      <c r="BN12">
        <v>48</v>
      </c>
      <c r="BO12">
        <v>61</v>
      </c>
      <c r="BP12">
        <v>54</v>
      </c>
      <c r="BQ12">
        <v>289</v>
      </c>
      <c r="BR12">
        <v>319</v>
      </c>
      <c r="BS12">
        <v>60</v>
      </c>
      <c r="BT12">
        <v>1289</v>
      </c>
      <c r="BU12">
        <v>10</v>
      </c>
      <c r="BV12">
        <v>45</v>
      </c>
      <c r="BW12">
        <v>4</v>
      </c>
      <c r="BX12">
        <v>86</v>
      </c>
      <c r="BY12">
        <v>30</v>
      </c>
      <c r="BZ12">
        <v>327</v>
      </c>
      <c r="CA12">
        <v>13</v>
      </c>
      <c r="CB12">
        <v>46</v>
      </c>
      <c r="CC12">
        <v>53</v>
      </c>
      <c r="CD12">
        <v>0</v>
      </c>
      <c r="CE12">
        <v>19</v>
      </c>
      <c r="CF12">
        <v>80</v>
      </c>
      <c r="CG12">
        <v>910</v>
      </c>
      <c r="CH12">
        <v>215225</v>
      </c>
    </row>
    <row r="13" spans="1:86" x14ac:dyDescent="0.55000000000000004">
      <c r="A13">
        <v>1990</v>
      </c>
      <c r="B13">
        <v>1324</v>
      </c>
      <c r="C13">
        <v>6792</v>
      </c>
      <c r="D13">
        <v>110</v>
      </c>
      <c r="E13">
        <v>22</v>
      </c>
      <c r="F13">
        <v>2326</v>
      </c>
      <c r="G13">
        <v>44</v>
      </c>
      <c r="H13">
        <v>77</v>
      </c>
      <c r="I13">
        <v>111</v>
      </c>
      <c r="J13">
        <v>1106</v>
      </c>
      <c r="K13">
        <v>222</v>
      </c>
      <c r="L13">
        <v>2214</v>
      </c>
      <c r="M13">
        <v>540</v>
      </c>
      <c r="N13">
        <v>5630</v>
      </c>
      <c r="O13">
        <v>8768</v>
      </c>
      <c r="P13">
        <v>1856</v>
      </c>
      <c r="Q13">
        <v>2262</v>
      </c>
      <c r="R13">
        <v>805</v>
      </c>
      <c r="S13">
        <v>7603</v>
      </c>
      <c r="T13">
        <v>3213</v>
      </c>
      <c r="U13">
        <v>0</v>
      </c>
      <c r="V13">
        <v>87</v>
      </c>
      <c r="W13">
        <v>652</v>
      </c>
      <c r="X13">
        <v>8655</v>
      </c>
      <c r="Y13">
        <v>1318</v>
      </c>
      <c r="Z13">
        <v>8783</v>
      </c>
      <c r="AA13">
        <v>3196</v>
      </c>
      <c r="AB13">
        <v>1185</v>
      </c>
      <c r="AC13">
        <v>8771</v>
      </c>
      <c r="AD13">
        <v>631</v>
      </c>
      <c r="AE13">
        <v>4919</v>
      </c>
      <c r="AF13">
        <v>292</v>
      </c>
      <c r="AG13">
        <v>0</v>
      </c>
      <c r="AH13">
        <v>468</v>
      </c>
      <c r="AI13">
        <v>299</v>
      </c>
      <c r="AJ13">
        <v>87</v>
      </c>
      <c r="AK13">
        <v>630</v>
      </c>
      <c r="AL13">
        <v>9642</v>
      </c>
      <c r="AM13">
        <v>1402</v>
      </c>
      <c r="AN13">
        <v>657</v>
      </c>
      <c r="AO13">
        <v>120</v>
      </c>
      <c r="AP13">
        <v>70</v>
      </c>
      <c r="AQ13">
        <v>1867</v>
      </c>
      <c r="AR13">
        <v>327</v>
      </c>
      <c r="AS13">
        <v>6346</v>
      </c>
      <c r="AT13">
        <v>30941</v>
      </c>
      <c r="AU13">
        <v>1868</v>
      </c>
      <c r="AV13">
        <v>1266</v>
      </c>
      <c r="AW13">
        <v>1917</v>
      </c>
      <c r="AX13">
        <v>529</v>
      </c>
      <c r="AY13">
        <v>7979</v>
      </c>
      <c r="AZ13">
        <v>5651</v>
      </c>
      <c r="BA13">
        <v>646</v>
      </c>
      <c r="BB13">
        <v>709</v>
      </c>
      <c r="BC13">
        <v>718</v>
      </c>
      <c r="BD13">
        <v>187</v>
      </c>
      <c r="BE13">
        <v>4303</v>
      </c>
      <c r="BF13">
        <v>59</v>
      </c>
      <c r="BG13">
        <v>33</v>
      </c>
      <c r="BH13">
        <v>415</v>
      </c>
      <c r="BI13">
        <v>181032</v>
      </c>
      <c r="BJ13">
        <v>2121</v>
      </c>
      <c r="BK13">
        <v>476</v>
      </c>
      <c r="BL13">
        <v>38</v>
      </c>
      <c r="BM13">
        <v>0</v>
      </c>
      <c r="BN13">
        <v>51</v>
      </c>
      <c r="BO13">
        <v>77</v>
      </c>
      <c r="BP13">
        <v>69</v>
      </c>
      <c r="BQ13">
        <v>653</v>
      </c>
      <c r="BR13">
        <v>395</v>
      </c>
      <c r="BS13">
        <v>103</v>
      </c>
      <c r="BT13">
        <v>2319</v>
      </c>
      <c r="BU13">
        <v>18</v>
      </c>
      <c r="BV13">
        <v>53</v>
      </c>
      <c r="BW13">
        <v>7</v>
      </c>
      <c r="BX13">
        <v>0</v>
      </c>
      <c r="BY13">
        <v>395</v>
      </c>
      <c r="BZ13">
        <v>132</v>
      </c>
      <c r="CA13">
        <v>0</v>
      </c>
      <c r="CB13">
        <v>78</v>
      </c>
      <c r="CC13">
        <v>101</v>
      </c>
      <c r="CD13">
        <v>0</v>
      </c>
      <c r="CE13">
        <v>21</v>
      </c>
      <c r="CF13">
        <v>331</v>
      </c>
      <c r="CG13">
        <v>1902</v>
      </c>
      <c r="CH13">
        <v>353022</v>
      </c>
    </row>
    <row r="14" spans="1:86" x14ac:dyDescent="0.55000000000000004">
      <c r="A14">
        <v>1991</v>
      </c>
      <c r="B14">
        <v>744</v>
      </c>
      <c r="C14">
        <v>5435</v>
      </c>
      <c r="D14">
        <v>62</v>
      </c>
      <c r="E14">
        <v>70</v>
      </c>
      <c r="F14">
        <v>1924</v>
      </c>
      <c r="G14">
        <v>18</v>
      </c>
      <c r="H14">
        <v>54</v>
      </c>
      <c r="I14">
        <v>136</v>
      </c>
      <c r="J14">
        <v>1265</v>
      </c>
      <c r="K14">
        <v>129</v>
      </c>
      <c r="L14">
        <v>2549</v>
      </c>
      <c r="M14">
        <v>874</v>
      </c>
      <c r="N14">
        <v>3374</v>
      </c>
      <c r="O14">
        <v>6790</v>
      </c>
      <c r="P14">
        <v>1881</v>
      </c>
      <c r="Q14">
        <v>824</v>
      </c>
      <c r="R14">
        <v>400</v>
      </c>
      <c r="S14">
        <v>9263</v>
      </c>
      <c r="T14">
        <v>2969</v>
      </c>
      <c r="U14">
        <v>29</v>
      </c>
      <c r="V14">
        <v>282</v>
      </c>
      <c r="W14">
        <v>168</v>
      </c>
      <c r="X14">
        <v>4583</v>
      </c>
      <c r="Y14">
        <v>1119</v>
      </c>
      <c r="Z14">
        <v>5796</v>
      </c>
      <c r="AA14">
        <v>2164</v>
      </c>
      <c r="AB14">
        <v>642</v>
      </c>
      <c r="AC14">
        <v>11001</v>
      </c>
      <c r="AD14">
        <v>313</v>
      </c>
      <c r="AE14">
        <v>6814</v>
      </c>
      <c r="AF14">
        <v>788</v>
      </c>
      <c r="AG14">
        <v>0</v>
      </c>
      <c r="AH14">
        <v>290</v>
      </c>
      <c r="AI14">
        <v>310</v>
      </c>
      <c r="AJ14">
        <v>88</v>
      </c>
      <c r="AK14">
        <v>24</v>
      </c>
      <c r="AL14">
        <v>3045</v>
      </c>
      <c r="AM14">
        <v>620</v>
      </c>
      <c r="AN14">
        <v>548</v>
      </c>
      <c r="AO14">
        <v>61</v>
      </c>
      <c r="AP14">
        <v>12</v>
      </c>
      <c r="AQ14">
        <v>2645</v>
      </c>
      <c r="AR14">
        <v>324</v>
      </c>
      <c r="AS14">
        <v>8807</v>
      </c>
      <c r="AT14">
        <v>20319</v>
      </c>
      <c r="AU14">
        <v>1278</v>
      </c>
      <c r="AV14">
        <v>1038</v>
      </c>
      <c r="AW14">
        <v>2857</v>
      </c>
      <c r="AX14">
        <v>286</v>
      </c>
      <c r="AY14">
        <v>9251</v>
      </c>
      <c r="AZ14">
        <v>4782</v>
      </c>
      <c r="BA14">
        <v>740</v>
      </c>
      <c r="BB14">
        <v>3254</v>
      </c>
      <c r="BC14">
        <v>472</v>
      </c>
      <c r="BD14">
        <v>386</v>
      </c>
      <c r="BE14">
        <v>5942</v>
      </c>
      <c r="BF14">
        <v>87</v>
      </c>
      <c r="BG14">
        <v>140</v>
      </c>
      <c r="BH14">
        <v>286</v>
      </c>
      <c r="BI14">
        <v>94017</v>
      </c>
      <c r="BJ14">
        <v>11082</v>
      </c>
      <c r="BK14">
        <v>156</v>
      </c>
      <c r="BL14">
        <v>0</v>
      </c>
      <c r="BM14">
        <v>0</v>
      </c>
      <c r="BN14">
        <v>14</v>
      </c>
      <c r="BO14">
        <v>68</v>
      </c>
      <c r="BP14">
        <v>80</v>
      </c>
      <c r="BQ14">
        <v>370</v>
      </c>
      <c r="BR14">
        <v>448</v>
      </c>
      <c r="BS14">
        <v>77</v>
      </c>
      <c r="BT14">
        <v>847</v>
      </c>
      <c r="BU14">
        <v>13</v>
      </c>
      <c r="BV14">
        <v>41</v>
      </c>
      <c r="BW14">
        <v>6</v>
      </c>
      <c r="BX14">
        <v>144</v>
      </c>
      <c r="BY14">
        <v>336</v>
      </c>
      <c r="BZ14">
        <v>336</v>
      </c>
      <c r="CA14">
        <v>22</v>
      </c>
      <c r="CB14">
        <v>59</v>
      </c>
      <c r="CC14">
        <v>78</v>
      </c>
      <c r="CD14">
        <v>0</v>
      </c>
      <c r="CE14">
        <v>21</v>
      </c>
      <c r="CF14">
        <v>77</v>
      </c>
      <c r="CG14">
        <v>1433</v>
      </c>
      <c r="CH14">
        <v>250077</v>
      </c>
    </row>
    <row r="15" spans="1:86" x14ac:dyDescent="0.55000000000000004">
      <c r="A15">
        <v>1992</v>
      </c>
      <c r="B15">
        <v>1188</v>
      </c>
      <c r="C15">
        <v>3715</v>
      </c>
      <c r="D15">
        <v>109</v>
      </c>
      <c r="E15">
        <v>89</v>
      </c>
      <c r="F15">
        <v>2589</v>
      </c>
      <c r="G15">
        <v>18</v>
      </c>
      <c r="H15">
        <v>60</v>
      </c>
      <c r="I15">
        <v>121</v>
      </c>
      <c r="J15">
        <v>2174</v>
      </c>
      <c r="K15">
        <v>601</v>
      </c>
      <c r="L15">
        <v>3136</v>
      </c>
      <c r="M15">
        <v>664</v>
      </c>
      <c r="N15">
        <v>2005</v>
      </c>
      <c r="O15">
        <v>6606</v>
      </c>
      <c r="P15">
        <v>6735</v>
      </c>
      <c r="Q15">
        <v>896</v>
      </c>
      <c r="R15">
        <v>338</v>
      </c>
      <c r="S15">
        <v>16030</v>
      </c>
      <c r="T15">
        <v>2644</v>
      </c>
      <c r="U15">
        <v>33</v>
      </c>
      <c r="V15">
        <v>16</v>
      </c>
      <c r="W15">
        <v>188</v>
      </c>
      <c r="X15">
        <v>4454</v>
      </c>
      <c r="Y15">
        <v>2673</v>
      </c>
      <c r="Z15">
        <v>3949</v>
      </c>
      <c r="AA15">
        <v>1208</v>
      </c>
      <c r="AB15">
        <v>435</v>
      </c>
      <c r="AC15">
        <v>13629</v>
      </c>
      <c r="AD15">
        <v>421</v>
      </c>
      <c r="AE15">
        <v>4445</v>
      </c>
      <c r="AF15">
        <v>587</v>
      </c>
      <c r="AG15">
        <v>0</v>
      </c>
      <c r="AH15">
        <v>1019</v>
      </c>
      <c r="AI15">
        <v>97</v>
      </c>
      <c r="AJ15">
        <v>151</v>
      </c>
      <c r="AK15">
        <v>270</v>
      </c>
      <c r="AL15">
        <v>2712</v>
      </c>
      <c r="AM15">
        <v>690</v>
      </c>
      <c r="AN15">
        <v>295</v>
      </c>
      <c r="AO15">
        <v>182</v>
      </c>
      <c r="AP15">
        <v>8</v>
      </c>
      <c r="AQ15">
        <v>2187</v>
      </c>
      <c r="AR15">
        <v>124</v>
      </c>
      <c r="AS15">
        <v>7377</v>
      </c>
      <c r="AT15">
        <v>25717</v>
      </c>
      <c r="AU15">
        <v>1649</v>
      </c>
      <c r="AV15">
        <v>382</v>
      </c>
      <c r="AW15">
        <v>1346</v>
      </c>
      <c r="AX15">
        <v>630</v>
      </c>
      <c r="AY15">
        <v>12712</v>
      </c>
      <c r="AZ15">
        <v>5360</v>
      </c>
      <c r="BA15">
        <v>501</v>
      </c>
      <c r="BB15">
        <v>2560</v>
      </c>
      <c r="BC15">
        <v>2142</v>
      </c>
      <c r="BD15">
        <v>481</v>
      </c>
      <c r="BE15">
        <v>7717</v>
      </c>
      <c r="BF15">
        <v>110</v>
      </c>
      <c r="BG15">
        <v>177</v>
      </c>
      <c r="BH15">
        <v>1001</v>
      </c>
      <c r="BI15">
        <v>133941</v>
      </c>
      <c r="BJ15">
        <v>41662</v>
      </c>
      <c r="BK15">
        <v>307</v>
      </c>
      <c r="BL15">
        <v>44</v>
      </c>
      <c r="BM15">
        <v>53</v>
      </c>
      <c r="BN15">
        <v>52</v>
      </c>
      <c r="BO15">
        <v>64</v>
      </c>
      <c r="BP15">
        <v>57</v>
      </c>
      <c r="BQ15">
        <v>620</v>
      </c>
      <c r="BR15">
        <v>304</v>
      </c>
      <c r="BS15">
        <v>102</v>
      </c>
      <c r="BT15">
        <v>2419</v>
      </c>
      <c r="BU15">
        <v>17</v>
      </c>
      <c r="BV15">
        <v>48</v>
      </c>
      <c r="BW15">
        <v>7</v>
      </c>
      <c r="BX15">
        <v>164</v>
      </c>
      <c r="BY15">
        <v>243</v>
      </c>
      <c r="BZ15">
        <v>486</v>
      </c>
      <c r="CA15">
        <v>26</v>
      </c>
      <c r="CB15">
        <v>77</v>
      </c>
      <c r="CC15">
        <v>75</v>
      </c>
      <c r="CD15">
        <v>0</v>
      </c>
      <c r="CE15">
        <v>23</v>
      </c>
      <c r="CF15">
        <v>80</v>
      </c>
      <c r="CG15">
        <v>1886</v>
      </c>
      <c r="CH15">
        <v>342110</v>
      </c>
    </row>
    <row r="16" spans="1:86" x14ac:dyDescent="0.55000000000000004">
      <c r="A16">
        <v>1993</v>
      </c>
      <c r="B16">
        <v>1437</v>
      </c>
      <c r="C16">
        <v>3984</v>
      </c>
      <c r="D16">
        <v>187</v>
      </c>
      <c r="E16">
        <v>110</v>
      </c>
      <c r="F16">
        <v>2866</v>
      </c>
      <c r="G16">
        <v>54</v>
      </c>
      <c r="H16">
        <v>83</v>
      </c>
      <c r="I16">
        <v>76</v>
      </c>
      <c r="J16">
        <v>1273</v>
      </c>
      <c r="K16">
        <v>203</v>
      </c>
      <c r="L16">
        <v>1380</v>
      </c>
      <c r="M16">
        <v>938</v>
      </c>
      <c r="N16">
        <v>1585</v>
      </c>
      <c r="O16">
        <v>9026</v>
      </c>
      <c r="P16">
        <v>3467</v>
      </c>
      <c r="Q16">
        <v>804</v>
      </c>
      <c r="R16">
        <v>60</v>
      </c>
      <c r="S16">
        <v>1351</v>
      </c>
      <c r="T16">
        <v>867</v>
      </c>
      <c r="U16">
        <v>21</v>
      </c>
      <c r="V16">
        <v>28</v>
      </c>
      <c r="W16">
        <v>35</v>
      </c>
      <c r="X16">
        <v>6618</v>
      </c>
      <c r="Y16">
        <v>6190</v>
      </c>
      <c r="Z16">
        <v>6676</v>
      </c>
      <c r="AA16">
        <v>3213</v>
      </c>
      <c r="AB16">
        <v>243</v>
      </c>
      <c r="AC16">
        <v>8626</v>
      </c>
      <c r="AD16">
        <v>487</v>
      </c>
      <c r="AE16">
        <v>6294</v>
      </c>
      <c r="AF16">
        <v>547</v>
      </c>
      <c r="AG16">
        <v>0</v>
      </c>
      <c r="AH16">
        <v>1128</v>
      </c>
      <c r="AI16">
        <v>437</v>
      </c>
      <c r="AJ16">
        <v>222</v>
      </c>
      <c r="AK16">
        <v>129</v>
      </c>
      <c r="AL16">
        <v>3583</v>
      </c>
      <c r="AM16">
        <v>1653</v>
      </c>
      <c r="AN16">
        <v>240</v>
      </c>
      <c r="AO16">
        <v>63</v>
      </c>
      <c r="AP16">
        <v>34</v>
      </c>
      <c r="AQ16">
        <v>3040</v>
      </c>
      <c r="AR16">
        <v>422</v>
      </c>
      <c r="AS16">
        <v>4730</v>
      </c>
      <c r="AT16">
        <v>13221</v>
      </c>
      <c r="AU16">
        <v>1469</v>
      </c>
      <c r="AV16">
        <v>2446</v>
      </c>
      <c r="AW16">
        <v>1147</v>
      </c>
      <c r="AX16">
        <v>3753</v>
      </c>
      <c r="AY16">
        <v>5133</v>
      </c>
      <c r="AZ16">
        <v>2814</v>
      </c>
      <c r="BA16">
        <v>2447</v>
      </c>
      <c r="BB16">
        <v>5333</v>
      </c>
      <c r="BC16">
        <v>2841</v>
      </c>
      <c r="BD16">
        <v>1720</v>
      </c>
      <c r="BE16">
        <v>6955</v>
      </c>
      <c r="BF16">
        <v>236</v>
      </c>
      <c r="BG16">
        <v>99</v>
      </c>
      <c r="BH16">
        <v>379</v>
      </c>
      <c r="BI16">
        <v>122090</v>
      </c>
      <c r="BJ16">
        <v>21971</v>
      </c>
      <c r="BK16">
        <v>188</v>
      </c>
      <c r="BL16">
        <v>8</v>
      </c>
      <c r="BM16">
        <v>5</v>
      </c>
      <c r="BN16">
        <v>193</v>
      </c>
      <c r="BO16">
        <v>63</v>
      </c>
      <c r="BP16">
        <v>7</v>
      </c>
      <c r="BQ16">
        <v>510</v>
      </c>
      <c r="BR16">
        <v>415</v>
      </c>
      <c r="BS16">
        <v>65</v>
      </c>
      <c r="BT16">
        <v>1549</v>
      </c>
      <c r="BU16">
        <v>11</v>
      </c>
      <c r="BV16">
        <v>56</v>
      </c>
      <c r="BW16">
        <v>5</v>
      </c>
      <c r="BX16">
        <v>111</v>
      </c>
      <c r="BY16">
        <v>346</v>
      </c>
      <c r="BZ16">
        <v>346</v>
      </c>
      <c r="CA16">
        <v>17</v>
      </c>
      <c r="CB16">
        <v>50</v>
      </c>
      <c r="CC16">
        <v>61</v>
      </c>
      <c r="CD16">
        <v>0</v>
      </c>
      <c r="CE16">
        <v>13</v>
      </c>
      <c r="CF16">
        <v>123</v>
      </c>
      <c r="CG16">
        <v>493</v>
      </c>
      <c r="CH16">
        <v>283099</v>
      </c>
    </row>
    <row r="17" spans="1:86" x14ac:dyDescent="0.55000000000000004">
      <c r="A17">
        <v>1994</v>
      </c>
      <c r="B17">
        <v>1105</v>
      </c>
      <c r="C17">
        <v>4868</v>
      </c>
      <c r="D17">
        <v>235</v>
      </c>
      <c r="E17">
        <v>110</v>
      </c>
      <c r="F17">
        <v>2294</v>
      </c>
      <c r="G17">
        <v>72</v>
      </c>
      <c r="H17">
        <v>53</v>
      </c>
      <c r="I17">
        <v>360</v>
      </c>
      <c r="J17">
        <v>1517</v>
      </c>
      <c r="K17">
        <v>292</v>
      </c>
      <c r="L17">
        <v>2358</v>
      </c>
      <c r="M17">
        <v>874</v>
      </c>
      <c r="N17">
        <v>2862</v>
      </c>
      <c r="O17">
        <v>12893</v>
      </c>
      <c r="P17">
        <v>2214</v>
      </c>
      <c r="Q17">
        <v>1491</v>
      </c>
      <c r="R17">
        <v>873</v>
      </c>
      <c r="S17">
        <v>2904</v>
      </c>
      <c r="T17">
        <v>1301</v>
      </c>
      <c r="U17">
        <v>11</v>
      </c>
      <c r="V17">
        <v>233</v>
      </c>
      <c r="W17">
        <v>151</v>
      </c>
      <c r="X17">
        <v>11252</v>
      </c>
      <c r="Y17">
        <v>5796</v>
      </c>
      <c r="Z17">
        <v>2505</v>
      </c>
      <c r="AA17">
        <v>2496</v>
      </c>
      <c r="AB17">
        <v>4666</v>
      </c>
      <c r="AC17">
        <v>7240</v>
      </c>
      <c r="AD17">
        <v>672</v>
      </c>
      <c r="AE17">
        <v>12257</v>
      </c>
      <c r="AF17">
        <v>572</v>
      </c>
      <c r="AG17">
        <v>0</v>
      </c>
      <c r="AH17">
        <v>720</v>
      </c>
      <c r="AI17">
        <v>41</v>
      </c>
      <c r="AJ17">
        <v>86</v>
      </c>
      <c r="AK17">
        <v>218</v>
      </c>
      <c r="AL17">
        <v>6967</v>
      </c>
      <c r="AM17">
        <v>2184</v>
      </c>
      <c r="AN17">
        <v>1145</v>
      </c>
      <c r="AO17">
        <v>61</v>
      </c>
      <c r="AP17">
        <v>776</v>
      </c>
      <c r="AQ17">
        <v>5088</v>
      </c>
      <c r="AR17">
        <v>321</v>
      </c>
      <c r="AS17">
        <v>6115</v>
      </c>
      <c r="AT17">
        <v>38165</v>
      </c>
      <c r="AU17">
        <v>1375</v>
      </c>
      <c r="AV17">
        <v>1545</v>
      </c>
      <c r="AW17">
        <v>1596</v>
      </c>
      <c r="AX17">
        <v>635</v>
      </c>
      <c r="AY17">
        <v>2837</v>
      </c>
      <c r="AZ17">
        <v>5308</v>
      </c>
      <c r="BA17">
        <v>2112</v>
      </c>
      <c r="BB17">
        <v>6342</v>
      </c>
      <c r="BC17">
        <v>572</v>
      </c>
      <c r="BD17">
        <v>594</v>
      </c>
      <c r="BE17">
        <v>12852</v>
      </c>
      <c r="BF17">
        <v>39</v>
      </c>
      <c r="BG17">
        <v>193</v>
      </c>
      <c r="BH17">
        <v>519</v>
      </c>
      <c r="BI17">
        <v>101465</v>
      </c>
      <c r="BJ17">
        <v>9119</v>
      </c>
      <c r="BK17">
        <v>422</v>
      </c>
      <c r="BL17">
        <v>55</v>
      </c>
      <c r="BM17">
        <v>5</v>
      </c>
      <c r="BN17">
        <v>53</v>
      </c>
      <c r="BO17">
        <v>96</v>
      </c>
      <c r="BP17">
        <v>85</v>
      </c>
      <c r="BQ17">
        <v>393</v>
      </c>
      <c r="BR17">
        <v>309</v>
      </c>
      <c r="BS17">
        <v>75</v>
      </c>
      <c r="BT17">
        <v>1179</v>
      </c>
      <c r="BU17">
        <v>13</v>
      </c>
      <c r="BV17">
        <v>75</v>
      </c>
      <c r="BW17">
        <v>6</v>
      </c>
      <c r="BX17">
        <v>36</v>
      </c>
      <c r="BY17">
        <v>433</v>
      </c>
      <c r="BZ17">
        <v>309</v>
      </c>
      <c r="CA17">
        <v>17</v>
      </c>
      <c r="CB17">
        <v>57</v>
      </c>
      <c r="CC17">
        <v>84</v>
      </c>
      <c r="CD17">
        <v>0</v>
      </c>
      <c r="CE17">
        <v>21</v>
      </c>
      <c r="CF17">
        <v>245</v>
      </c>
      <c r="CG17">
        <v>1155</v>
      </c>
      <c r="CH17">
        <v>300640</v>
      </c>
    </row>
    <row r="18" spans="1:86" x14ac:dyDescent="0.55000000000000004">
      <c r="A18">
        <v>1995</v>
      </c>
      <c r="B18">
        <v>2025</v>
      </c>
      <c r="C18">
        <v>6525</v>
      </c>
      <c r="D18">
        <v>212</v>
      </c>
      <c r="E18">
        <v>158</v>
      </c>
      <c r="F18">
        <v>3368</v>
      </c>
      <c r="G18">
        <v>28</v>
      </c>
      <c r="H18">
        <v>0</v>
      </c>
      <c r="I18">
        <v>483</v>
      </c>
      <c r="J18">
        <v>381</v>
      </c>
      <c r="K18">
        <v>109</v>
      </c>
      <c r="L18">
        <v>1718</v>
      </c>
      <c r="M18">
        <v>782</v>
      </c>
      <c r="N18">
        <v>5220</v>
      </c>
      <c r="O18">
        <v>9340</v>
      </c>
      <c r="P18">
        <v>2142</v>
      </c>
      <c r="Q18">
        <v>984</v>
      </c>
      <c r="R18">
        <v>989</v>
      </c>
      <c r="S18">
        <v>4372</v>
      </c>
      <c r="T18">
        <v>1956</v>
      </c>
      <c r="U18">
        <v>26</v>
      </c>
      <c r="V18">
        <v>144</v>
      </c>
      <c r="W18">
        <v>292</v>
      </c>
      <c r="X18">
        <v>11001</v>
      </c>
      <c r="Y18">
        <v>2694</v>
      </c>
      <c r="Z18">
        <v>5338</v>
      </c>
      <c r="AA18">
        <v>1021</v>
      </c>
      <c r="AB18">
        <v>204</v>
      </c>
      <c r="AC18">
        <v>12820</v>
      </c>
      <c r="AD18">
        <v>423</v>
      </c>
      <c r="AE18">
        <v>6617</v>
      </c>
      <c r="AF18">
        <v>874</v>
      </c>
      <c r="AG18">
        <v>0</v>
      </c>
      <c r="AH18">
        <v>1056</v>
      </c>
      <c r="AI18">
        <v>14</v>
      </c>
      <c r="AJ18">
        <v>73</v>
      </c>
      <c r="AK18">
        <v>156</v>
      </c>
      <c r="AL18">
        <v>6379</v>
      </c>
      <c r="AM18">
        <v>967</v>
      </c>
      <c r="AN18">
        <v>1537</v>
      </c>
      <c r="AO18">
        <v>36</v>
      </c>
      <c r="AP18">
        <v>1184</v>
      </c>
      <c r="AQ18">
        <v>3518</v>
      </c>
      <c r="AR18">
        <v>410</v>
      </c>
      <c r="AS18">
        <v>4864</v>
      </c>
      <c r="AT18">
        <v>23163</v>
      </c>
      <c r="AU18">
        <v>812</v>
      </c>
      <c r="AV18">
        <v>793</v>
      </c>
      <c r="AW18">
        <v>2916</v>
      </c>
      <c r="AX18">
        <v>236</v>
      </c>
      <c r="AY18">
        <v>8649</v>
      </c>
      <c r="AZ18">
        <v>4499</v>
      </c>
      <c r="BA18">
        <v>1169</v>
      </c>
      <c r="BB18">
        <v>5959</v>
      </c>
      <c r="BC18">
        <v>2008</v>
      </c>
      <c r="BD18">
        <v>1155</v>
      </c>
      <c r="BE18">
        <v>13675</v>
      </c>
      <c r="BF18">
        <v>104</v>
      </c>
      <c r="BG18">
        <v>133</v>
      </c>
      <c r="BH18">
        <v>235</v>
      </c>
      <c r="BI18">
        <v>29167</v>
      </c>
      <c r="BJ18">
        <v>32919</v>
      </c>
      <c r="BK18">
        <v>332</v>
      </c>
      <c r="BL18">
        <v>41</v>
      </c>
      <c r="BM18">
        <v>43</v>
      </c>
      <c r="BN18">
        <v>164</v>
      </c>
      <c r="BO18">
        <v>75</v>
      </c>
      <c r="BP18">
        <v>66</v>
      </c>
      <c r="BQ18">
        <v>219</v>
      </c>
      <c r="BR18">
        <v>321</v>
      </c>
      <c r="BS18">
        <v>87</v>
      </c>
      <c r="BT18">
        <v>2062</v>
      </c>
      <c r="BU18">
        <v>15</v>
      </c>
      <c r="BV18">
        <v>10</v>
      </c>
      <c r="BW18">
        <v>6</v>
      </c>
      <c r="BX18">
        <v>138</v>
      </c>
      <c r="BY18">
        <v>321</v>
      </c>
      <c r="BZ18">
        <v>160</v>
      </c>
      <c r="CA18">
        <v>22</v>
      </c>
      <c r="CB18">
        <v>66</v>
      </c>
      <c r="CC18">
        <v>0</v>
      </c>
      <c r="CD18">
        <v>0</v>
      </c>
      <c r="CE18">
        <v>16</v>
      </c>
      <c r="CF18">
        <v>100</v>
      </c>
      <c r="CG18">
        <v>1237</v>
      </c>
      <c r="CH18">
        <v>235533</v>
      </c>
    </row>
    <row r="19" spans="1:86" x14ac:dyDescent="0.55000000000000004">
      <c r="A19">
        <v>1996</v>
      </c>
      <c r="B19">
        <v>1859</v>
      </c>
      <c r="C19">
        <v>3166</v>
      </c>
      <c r="D19">
        <v>27</v>
      </c>
      <c r="E19">
        <v>35</v>
      </c>
      <c r="F19">
        <v>3375</v>
      </c>
      <c r="G19">
        <v>0</v>
      </c>
      <c r="H19">
        <v>92</v>
      </c>
      <c r="I19">
        <v>540</v>
      </c>
      <c r="J19">
        <v>613</v>
      </c>
      <c r="K19">
        <v>397</v>
      </c>
      <c r="L19">
        <v>901</v>
      </c>
      <c r="M19">
        <v>763</v>
      </c>
      <c r="N19">
        <v>2253</v>
      </c>
      <c r="O19">
        <v>4571</v>
      </c>
      <c r="P19">
        <v>3519</v>
      </c>
      <c r="Q19">
        <v>1496</v>
      </c>
      <c r="R19">
        <v>1111</v>
      </c>
      <c r="S19">
        <v>8273</v>
      </c>
      <c r="T19">
        <v>2168</v>
      </c>
      <c r="U19">
        <v>21</v>
      </c>
      <c r="V19">
        <v>191</v>
      </c>
      <c r="W19">
        <v>450</v>
      </c>
      <c r="X19">
        <v>8305</v>
      </c>
      <c r="Y19">
        <v>2434</v>
      </c>
      <c r="Z19">
        <v>4746</v>
      </c>
      <c r="AA19">
        <v>2139</v>
      </c>
      <c r="AB19">
        <v>428</v>
      </c>
      <c r="AC19">
        <v>20406</v>
      </c>
      <c r="AD19">
        <v>1030</v>
      </c>
      <c r="AE19">
        <v>4081</v>
      </c>
      <c r="AF19">
        <v>1388</v>
      </c>
      <c r="AG19">
        <v>0</v>
      </c>
      <c r="AH19">
        <v>2291</v>
      </c>
      <c r="AI19">
        <v>308</v>
      </c>
      <c r="AJ19">
        <v>72</v>
      </c>
      <c r="AK19">
        <v>475</v>
      </c>
      <c r="AL19">
        <v>9438</v>
      </c>
      <c r="AM19">
        <v>1832</v>
      </c>
      <c r="AN19">
        <v>946</v>
      </c>
      <c r="AO19">
        <v>17</v>
      </c>
      <c r="AP19">
        <v>608</v>
      </c>
      <c r="AQ19">
        <v>2781</v>
      </c>
      <c r="AR19">
        <v>619</v>
      </c>
      <c r="AS19">
        <v>7180</v>
      </c>
      <c r="AT19">
        <v>43368</v>
      </c>
      <c r="AU19">
        <v>853</v>
      </c>
      <c r="AV19">
        <v>781</v>
      </c>
      <c r="AW19">
        <v>2685</v>
      </c>
      <c r="AX19">
        <v>3452</v>
      </c>
      <c r="AY19">
        <v>25258</v>
      </c>
      <c r="AZ19">
        <v>8721</v>
      </c>
      <c r="BA19">
        <v>2587</v>
      </c>
      <c r="BB19">
        <v>6099</v>
      </c>
      <c r="BC19">
        <v>2615</v>
      </c>
      <c r="BD19">
        <v>1123</v>
      </c>
      <c r="BE19">
        <v>22836</v>
      </c>
      <c r="BF19">
        <v>10</v>
      </c>
      <c r="BG19">
        <v>117</v>
      </c>
      <c r="BH19">
        <v>424</v>
      </c>
      <c r="BI19">
        <v>38988</v>
      </c>
      <c r="BJ19">
        <v>25583</v>
      </c>
      <c r="BK19">
        <v>256</v>
      </c>
      <c r="BL19">
        <v>0</v>
      </c>
      <c r="BM19">
        <v>18</v>
      </c>
      <c r="BN19">
        <v>258</v>
      </c>
      <c r="BO19">
        <v>57</v>
      </c>
      <c r="BP19">
        <v>51</v>
      </c>
      <c r="BQ19">
        <v>228</v>
      </c>
      <c r="BR19">
        <v>192</v>
      </c>
      <c r="BS19">
        <v>123</v>
      </c>
      <c r="BT19">
        <v>2906</v>
      </c>
      <c r="BU19">
        <v>21</v>
      </c>
      <c r="BV19">
        <v>17</v>
      </c>
      <c r="BW19">
        <v>0</v>
      </c>
      <c r="BX19">
        <v>22</v>
      </c>
      <c r="BY19">
        <v>192</v>
      </c>
      <c r="BZ19">
        <v>192</v>
      </c>
      <c r="CA19">
        <v>30</v>
      </c>
      <c r="CB19">
        <v>93</v>
      </c>
      <c r="CC19">
        <v>53</v>
      </c>
      <c r="CD19">
        <v>0</v>
      </c>
      <c r="CE19">
        <v>32</v>
      </c>
      <c r="CF19">
        <v>76</v>
      </c>
      <c r="CG19">
        <v>1437</v>
      </c>
      <c r="CH19">
        <v>299099</v>
      </c>
    </row>
    <row r="20" spans="1:86" x14ac:dyDescent="0.55000000000000004">
      <c r="A20">
        <v>1997</v>
      </c>
      <c r="B20">
        <v>1502</v>
      </c>
      <c r="C20">
        <v>2726</v>
      </c>
      <c r="D20">
        <v>140</v>
      </c>
      <c r="E20">
        <v>56</v>
      </c>
      <c r="F20">
        <v>3329</v>
      </c>
      <c r="G20">
        <v>46</v>
      </c>
      <c r="H20">
        <v>0</v>
      </c>
      <c r="I20">
        <v>286</v>
      </c>
      <c r="J20">
        <v>688</v>
      </c>
      <c r="K20">
        <v>117</v>
      </c>
      <c r="L20">
        <v>1303</v>
      </c>
      <c r="M20">
        <v>818</v>
      </c>
      <c r="N20">
        <v>3371</v>
      </c>
      <c r="O20">
        <v>7712</v>
      </c>
      <c r="P20">
        <v>2246</v>
      </c>
      <c r="Q20">
        <v>2182</v>
      </c>
      <c r="R20">
        <v>640</v>
      </c>
      <c r="S20">
        <v>7430</v>
      </c>
      <c r="T20">
        <v>2313</v>
      </c>
      <c r="U20">
        <v>38</v>
      </c>
      <c r="V20">
        <v>82</v>
      </c>
      <c r="W20">
        <v>311</v>
      </c>
      <c r="X20">
        <v>2797</v>
      </c>
      <c r="Y20">
        <v>4417</v>
      </c>
      <c r="Z20">
        <v>6306</v>
      </c>
      <c r="AA20">
        <v>2299</v>
      </c>
      <c r="AB20">
        <v>129</v>
      </c>
      <c r="AC20">
        <v>20091</v>
      </c>
      <c r="AD20">
        <v>599</v>
      </c>
      <c r="AE20">
        <v>7271</v>
      </c>
      <c r="AF20">
        <v>910</v>
      </c>
      <c r="AG20">
        <v>0</v>
      </c>
      <c r="AH20">
        <v>2252</v>
      </c>
      <c r="AI20">
        <v>32</v>
      </c>
      <c r="AJ20">
        <v>65</v>
      </c>
      <c r="AK20">
        <v>314</v>
      </c>
      <c r="AL20">
        <v>9979</v>
      </c>
      <c r="AM20">
        <v>862</v>
      </c>
      <c r="AN20">
        <v>1388</v>
      </c>
      <c r="AO20">
        <v>228</v>
      </c>
      <c r="AP20">
        <v>732</v>
      </c>
      <c r="AQ20">
        <v>2709</v>
      </c>
      <c r="AR20">
        <v>113</v>
      </c>
      <c r="AS20">
        <v>5679</v>
      </c>
      <c r="AT20">
        <v>31583</v>
      </c>
      <c r="AU20">
        <v>1052</v>
      </c>
      <c r="AV20">
        <v>671</v>
      </c>
      <c r="AW20">
        <v>5405</v>
      </c>
      <c r="AX20">
        <v>2086</v>
      </c>
      <c r="AY20">
        <v>42402</v>
      </c>
      <c r="AZ20">
        <v>8935</v>
      </c>
      <c r="BA20">
        <v>2052</v>
      </c>
      <c r="BB20">
        <v>13734</v>
      </c>
      <c r="BC20">
        <v>1241</v>
      </c>
      <c r="BD20">
        <v>1563</v>
      </c>
      <c r="BE20">
        <v>12633</v>
      </c>
      <c r="BF20">
        <v>34</v>
      </c>
      <c r="BG20">
        <v>147</v>
      </c>
      <c r="BH20">
        <v>962</v>
      </c>
      <c r="BI20">
        <v>73266</v>
      </c>
      <c r="BJ20">
        <v>85353</v>
      </c>
      <c r="BK20">
        <v>263</v>
      </c>
      <c r="BL20">
        <v>0</v>
      </c>
      <c r="BM20">
        <v>61</v>
      </c>
      <c r="BN20">
        <v>360</v>
      </c>
      <c r="BO20">
        <v>59</v>
      </c>
      <c r="BP20">
        <v>52</v>
      </c>
      <c r="BQ20">
        <v>562</v>
      </c>
      <c r="BR20">
        <v>387</v>
      </c>
      <c r="BS20">
        <v>131</v>
      </c>
      <c r="BT20">
        <v>3097</v>
      </c>
      <c r="BU20">
        <v>22</v>
      </c>
      <c r="BV20">
        <v>56</v>
      </c>
      <c r="BW20">
        <v>9</v>
      </c>
      <c r="BX20">
        <v>56</v>
      </c>
      <c r="BY20">
        <v>333</v>
      </c>
      <c r="BZ20">
        <v>475</v>
      </c>
      <c r="CA20">
        <v>13</v>
      </c>
      <c r="CB20">
        <v>99</v>
      </c>
      <c r="CC20">
        <v>34</v>
      </c>
      <c r="CD20">
        <v>0</v>
      </c>
      <c r="CE20">
        <v>89</v>
      </c>
      <c r="CF20">
        <v>101</v>
      </c>
      <c r="CG20">
        <v>2999</v>
      </c>
      <c r="CH20">
        <v>398885</v>
      </c>
    </row>
    <row r="21" spans="1:86" x14ac:dyDescent="0.55000000000000004">
      <c r="A21">
        <v>1998</v>
      </c>
      <c r="B21">
        <v>1792</v>
      </c>
      <c r="C21">
        <v>1536</v>
      </c>
      <c r="D21">
        <v>93</v>
      </c>
      <c r="E21">
        <v>245</v>
      </c>
      <c r="F21">
        <v>1885</v>
      </c>
      <c r="G21">
        <v>30</v>
      </c>
      <c r="H21">
        <v>134</v>
      </c>
      <c r="I21">
        <v>283</v>
      </c>
      <c r="J21">
        <v>2770</v>
      </c>
      <c r="K21">
        <v>575</v>
      </c>
      <c r="L21">
        <v>3488</v>
      </c>
      <c r="M21">
        <v>603</v>
      </c>
      <c r="N21">
        <v>2501</v>
      </c>
      <c r="O21">
        <v>8647</v>
      </c>
      <c r="P21">
        <v>3570</v>
      </c>
      <c r="Q21">
        <v>1892</v>
      </c>
      <c r="R21">
        <v>1365</v>
      </c>
      <c r="S21">
        <v>5453</v>
      </c>
      <c r="T21">
        <v>2167</v>
      </c>
      <c r="U21">
        <v>17</v>
      </c>
      <c r="V21">
        <v>248</v>
      </c>
      <c r="W21">
        <v>72</v>
      </c>
      <c r="X21">
        <v>2121</v>
      </c>
      <c r="Y21">
        <v>3571</v>
      </c>
      <c r="Z21">
        <v>6211</v>
      </c>
      <c r="AA21">
        <v>559</v>
      </c>
      <c r="AB21">
        <v>25</v>
      </c>
      <c r="AC21">
        <v>18002</v>
      </c>
      <c r="AD21">
        <v>1002</v>
      </c>
      <c r="AE21">
        <v>2650</v>
      </c>
      <c r="AF21">
        <v>727</v>
      </c>
      <c r="AG21">
        <v>0</v>
      </c>
      <c r="AH21">
        <v>698</v>
      </c>
      <c r="AI21">
        <v>171</v>
      </c>
      <c r="AJ21">
        <v>61</v>
      </c>
      <c r="AK21">
        <v>391</v>
      </c>
      <c r="AL21">
        <v>8361</v>
      </c>
      <c r="AM21">
        <v>488</v>
      </c>
      <c r="AN21">
        <v>468</v>
      </c>
      <c r="AO21">
        <v>195</v>
      </c>
      <c r="AP21">
        <v>360</v>
      </c>
      <c r="AQ21">
        <v>2487</v>
      </c>
      <c r="AR21">
        <v>198</v>
      </c>
      <c r="AS21">
        <v>6474</v>
      </c>
      <c r="AT21">
        <v>41038</v>
      </c>
      <c r="AU21">
        <v>1126</v>
      </c>
      <c r="AV21">
        <v>374</v>
      </c>
      <c r="AW21">
        <v>4732</v>
      </c>
      <c r="AX21">
        <v>1346</v>
      </c>
      <c r="AY21">
        <v>45425</v>
      </c>
      <c r="AZ21">
        <v>10660</v>
      </c>
      <c r="BA21">
        <v>1298</v>
      </c>
      <c r="BB21">
        <v>3672</v>
      </c>
      <c r="BC21">
        <v>981</v>
      </c>
      <c r="BD21">
        <v>1099</v>
      </c>
      <c r="BE21">
        <v>2836</v>
      </c>
      <c r="BF21">
        <v>9</v>
      </c>
      <c r="BG21">
        <v>194</v>
      </c>
      <c r="BH21">
        <v>802</v>
      </c>
      <c r="BI21">
        <v>201644</v>
      </c>
      <c r="BJ21">
        <v>89863</v>
      </c>
      <c r="BK21">
        <v>214</v>
      </c>
      <c r="BL21">
        <v>128</v>
      </c>
      <c r="BM21">
        <v>52</v>
      </c>
      <c r="BN21">
        <v>114</v>
      </c>
      <c r="BO21">
        <v>52</v>
      </c>
      <c r="BP21">
        <v>46</v>
      </c>
      <c r="BQ21">
        <v>892</v>
      </c>
      <c r="BR21">
        <v>635</v>
      </c>
      <c r="BS21">
        <v>97</v>
      </c>
      <c r="BT21">
        <v>1654</v>
      </c>
      <c r="BU21">
        <v>17</v>
      </c>
      <c r="BV21">
        <v>27</v>
      </c>
      <c r="BW21">
        <v>0</v>
      </c>
      <c r="BX21">
        <v>171</v>
      </c>
      <c r="BY21">
        <v>220</v>
      </c>
      <c r="BZ21">
        <v>1551</v>
      </c>
      <c r="CA21">
        <v>2</v>
      </c>
      <c r="CB21">
        <v>74</v>
      </c>
      <c r="CC21">
        <v>25</v>
      </c>
      <c r="CD21">
        <v>0</v>
      </c>
      <c r="CE21">
        <v>129</v>
      </c>
      <c r="CF21">
        <v>20</v>
      </c>
      <c r="CG21">
        <v>1004</v>
      </c>
      <c r="CH21">
        <v>508809</v>
      </c>
    </row>
    <row r="22" spans="1:86" x14ac:dyDescent="0.55000000000000004">
      <c r="A22">
        <v>1999</v>
      </c>
      <c r="B22">
        <v>474</v>
      </c>
      <c r="C22">
        <v>2545</v>
      </c>
      <c r="D22">
        <v>18</v>
      </c>
      <c r="E22">
        <v>57</v>
      </c>
      <c r="F22">
        <v>647</v>
      </c>
      <c r="G22">
        <v>26</v>
      </c>
      <c r="H22">
        <v>48</v>
      </c>
      <c r="I22">
        <v>107</v>
      </c>
      <c r="J22">
        <v>736</v>
      </c>
      <c r="K22">
        <v>254</v>
      </c>
      <c r="L22">
        <v>1866</v>
      </c>
      <c r="M22">
        <v>419</v>
      </c>
      <c r="N22">
        <v>1506</v>
      </c>
      <c r="O22">
        <v>4249</v>
      </c>
      <c r="P22">
        <v>2135</v>
      </c>
      <c r="Q22">
        <v>876</v>
      </c>
      <c r="R22">
        <v>1071</v>
      </c>
      <c r="S22">
        <v>6173</v>
      </c>
      <c r="T22">
        <v>2751</v>
      </c>
      <c r="U22">
        <v>26</v>
      </c>
      <c r="V22">
        <v>209</v>
      </c>
      <c r="W22">
        <v>255</v>
      </c>
      <c r="X22">
        <v>880</v>
      </c>
      <c r="Y22">
        <v>1357</v>
      </c>
      <c r="Z22">
        <v>1918</v>
      </c>
      <c r="AA22">
        <v>518</v>
      </c>
      <c r="AB22">
        <v>30</v>
      </c>
      <c r="AC22">
        <v>13036</v>
      </c>
      <c r="AD22">
        <v>614</v>
      </c>
      <c r="AE22">
        <v>5937</v>
      </c>
      <c r="AF22">
        <v>571</v>
      </c>
      <c r="AG22">
        <v>0</v>
      </c>
      <c r="AH22">
        <v>1463</v>
      </c>
      <c r="AI22">
        <v>148</v>
      </c>
      <c r="AJ22">
        <v>63</v>
      </c>
      <c r="AK22">
        <v>109</v>
      </c>
      <c r="AL22">
        <v>4801</v>
      </c>
      <c r="AM22">
        <v>676</v>
      </c>
      <c r="AN22">
        <v>1328</v>
      </c>
      <c r="AO22">
        <v>152</v>
      </c>
      <c r="AP22">
        <v>483</v>
      </c>
      <c r="AQ22">
        <v>3896</v>
      </c>
      <c r="AR22">
        <v>482</v>
      </c>
      <c r="AS22">
        <v>3867</v>
      </c>
      <c r="AT22">
        <v>57061</v>
      </c>
      <c r="AU22">
        <v>788</v>
      </c>
      <c r="AV22">
        <v>411</v>
      </c>
      <c r="AW22">
        <v>2491</v>
      </c>
      <c r="AX22">
        <v>1231</v>
      </c>
      <c r="AY22">
        <v>15219</v>
      </c>
      <c r="AZ22">
        <v>1917</v>
      </c>
      <c r="BA22">
        <v>1252</v>
      </c>
      <c r="BB22">
        <v>3435</v>
      </c>
      <c r="BC22">
        <v>929</v>
      </c>
      <c r="BD22">
        <v>557</v>
      </c>
      <c r="BE22">
        <v>11301</v>
      </c>
      <c r="BF22">
        <v>49</v>
      </c>
      <c r="BG22">
        <v>229</v>
      </c>
      <c r="BH22">
        <v>260</v>
      </c>
      <c r="BI22">
        <v>106184</v>
      </c>
      <c r="BJ22">
        <v>83303</v>
      </c>
      <c r="BK22">
        <v>144</v>
      </c>
      <c r="BL22">
        <v>14</v>
      </c>
      <c r="BM22">
        <v>228</v>
      </c>
      <c r="BN22">
        <v>122</v>
      </c>
      <c r="BO22">
        <v>36</v>
      </c>
      <c r="BP22">
        <v>32</v>
      </c>
      <c r="BQ22">
        <v>530</v>
      </c>
      <c r="BR22">
        <v>65</v>
      </c>
      <c r="BS22">
        <v>65</v>
      </c>
      <c r="BT22">
        <v>1538</v>
      </c>
      <c r="BU22">
        <v>11</v>
      </c>
      <c r="BV22">
        <v>27</v>
      </c>
      <c r="BW22">
        <v>0</v>
      </c>
      <c r="BX22">
        <v>166</v>
      </c>
      <c r="BY22">
        <v>310</v>
      </c>
      <c r="BZ22">
        <v>100</v>
      </c>
      <c r="CA22">
        <v>18</v>
      </c>
      <c r="CB22">
        <v>49</v>
      </c>
      <c r="CC22">
        <v>43</v>
      </c>
      <c r="CD22">
        <v>0</v>
      </c>
      <c r="CE22">
        <v>114</v>
      </c>
      <c r="CF22">
        <v>154</v>
      </c>
      <c r="CG22">
        <v>797</v>
      </c>
      <c r="CH22">
        <v>359957</v>
      </c>
    </row>
    <row r="23" spans="1:86" x14ac:dyDescent="0.55000000000000004">
      <c r="A23">
        <v>2000</v>
      </c>
      <c r="B23">
        <v>690</v>
      </c>
      <c r="C23">
        <v>2920</v>
      </c>
      <c r="D23">
        <v>182</v>
      </c>
      <c r="E23">
        <v>86</v>
      </c>
      <c r="F23">
        <v>2474</v>
      </c>
      <c r="G23">
        <v>45</v>
      </c>
      <c r="H23">
        <v>72</v>
      </c>
      <c r="I23">
        <v>295</v>
      </c>
      <c r="J23">
        <v>971</v>
      </c>
      <c r="K23">
        <v>348</v>
      </c>
      <c r="L23">
        <v>2042</v>
      </c>
      <c r="M23">
        <v>382</v>
      </c>
      <c r="N23">
        <v>2122</v>
      </c>
      <c r="O23">
        <v>3374</v>
      </c>
      <c r="P23">
        <v>3081</v>
      </c>
      <c r="Q23">
        <v>1648</v>
      </c>
      <c r="R23">
        <v>882</v>
      </c>
      <c r="S23">
        <v>2197</v>
      </c>
      <c r="T23">
        <v>4075</v>
      </c>
      <c r="U23">
        <v>32</v>
      </c>
      <c r="V23">
        <v>216</v>
      </c>
      <c r="W23">
        <v>41</v>
      </c>
      <c r="X23">
        <v>1176</v>
      </c>
      <c r="Y23">
        <v>2212</v>
      </c>
      <c r="Z23">
        <v>2396</v>
      </c>
      <c r="AA23">
        <v>464</v>
      </c>
      <c r="AB23">
        <v>209</v>
      </c>
      <c r="AC23">
        <v>12552</v>
      </c>
      <c r="AD23">
        <v>468</v>
      </c>
      <c r="AE23">
        <v>5932</v>
      </c>
      <c r="AF23">
        <v>595</v>
      </c>
      <c r="AG23">
        <v>488</v>
      </c>
      <c r="AH23">
        <v>1105</v>
      </c>
      <c r="AI23">
        <v>63</v>
      </c>
      <c r="AJ23">
        <v>76</v>
      </c>
      <c r="AK23">
        <v>284</v>
      </c>
      <c r="AL23">
        <v>5640</v>
      </c>
      <c r="AM23">
        <v>1883</v>
      </c>
      <c r="AN23">
        <v>1079</v>
      </c>
      <c r="AO23">
        <v>93</v>
      </c>
      <c r="AP23">
        <v>1268</v>
      </c>
      <c r="AQ23">
        <v>13808</v>
      </c>
      <c r="AR23">
        <v>112</v>
      </c>
      <c r="AS23">
        <v>4111</v>
      </c>
      <c r="AT23">
        <v>34850</v>
      </c>
      <c r="AU23">
        <v>1360</v>
      </c>
      <c r="AV23">
        <v>603</v>
      </c>
      <c r="AW23">
        <v>2873</v>
      </c>
      <c r="AX23">
        <v>2527</v>
      </c>
      <c r="AY23">
        <v>13337</v>
      </c>
      <c r="AZ23">
        <v>3483</v>
      </c>
      <c r="BA23">
        <v>1106</v>
      </c>
      <c r="BB23">
        <v>8943</v>
      </c>
      <c r="BC23">
        <v>1632</v>
      </c>
      <c r="BD23">
        <v>2155</v>
      </c>
      <c r="BE23">
        <v>12871</v>
      </c>
      <c r="BF23">
        <v>47</v>
      </c>
      <c r="BG23">
        <v>333</v>
      </c>
      <c r="BH23">
        <v>619</v>
      </c>
      <c r="BI23">
        <v>79584</v>
      </c>
      <c r="BJ23">
        <v>73262</v>
      </c>
      <c r="BK23">
        <v>179</v>
      </c>
      <c r="BL23">
        <v>290</v>
      </c>
      <c r="BM23">
        <v>136</v>
      </c>
      <c r="BN23">
        <v>71</v>
      </c>
      <c r="BO23">
        <v>48</v>
      </c>
      <c r="BP23">
        <v>43</v>
      </c>
      <c r="BQ23">
        <v>420</v>
      </c>
      <c r="BR23">
        <v>516</v>
      </c>
      <c r="BS23">
        <v>92</v>
      </c>
      <c r="BT23">
        <v>2186</v>
      </c>
      <c r="BU23">
        <v>16</v>
      </c>
      <c r="BV23">
        <v>21</v>
      </c>
      <c r="BW23">
        <v>0</v>
      </c>
      <c r="BX23">
        <v>161</v>
      </c>
      <c r="BY23">
        <v>399</v>
      </c>
      <c r="BZ23">
        <v>423</v>
      </c>
      <c r="CA23">
        <v>53</v>
      </c>
      <c r="CB23">
        <v>70</v>
      </c>
      <c r="CC23">
        <v>41</v>
      </c>
      <c r="CD23">
        <v>0</v>
      </c>
      <c r="CE23">
        <v>46</v>
      </c>
      <c r="CF23">
        <v>37</v>
      </c>
      <c r="CG23">
        <v>930</v>
      </c>
      <c r="CH23">
        <v>329952</v>
      </c>
    </row>
    <row r="24" spans="1:86" x14ac:dyDescent="0.55000000000000004">
      <c r="A24">
        <v>2001</v>
      </c>
      <c r="B24">
        <v>1493</v>
      </c>
      <c r="C24">
        <v>4690</v>
      </c>
      <c r="D24">
        <v>143</v>
      </c>
      <c r="E24">
        <v>84</v>
      </c>
      <c r="F24">
        <v>1481</v>
      </c>
      <c r="G24">
        <v>13</v>
      </c>
      <c r="H24">
        <v>72</v>
      </c>
      <c r="I24">
        <v>604</v>
      </c>
      <c r="J24">
        <v>1055</v>
      </c>
      <c r="K24">
        <v>255</v>
      </c>
      <c r="L24">
        <v>2580</v>
      </c>
      <c r="M24">
        <v>534</v>
      </c>
      <c r="N24">
        <v>2766</v>
      </c>
      <c r="O24">
        <v>6801</v>
      </c>
      <c r="P24">
        <v>3401</v>
      </c>
      <c r="Q24">
        <v>1093</v>
      </c>
      <c r="R24">
        <v>566</v>
      </c>
      <c r="S24">
        <v>2438</v>
      </c>
      <c r="T24">
        <v>6613</v>
      </c>
      <c r="U24">
        <v>36</v>
      </c>
      <c r="V24">
        <v>356</v>
      </c>
      <c r="W24">
        <v>339</v>
      </c>
      <c r="X24">
        <v>2908</v>
      </c>
      <c r="Y24">
        <v>1488</v>
      </c>
      <c r="Z24">
        <v>2916</v>
      </c>
      <c r="AA24">
        <v>617</v>
      </c>
      <c r="AB24">
        <v>328</v>
      </c>
      <c r="AC24">
        <v>14151</v>
      </c>
      <c r="AD24">
        <v>575</v>
      </c>
      <c r="AE24">
        <v>2954</v>
      </c>
      <c r="AF24">
        <v>535</v>
      </c>
      <c r="AG24">
        <v>773</v>
      </c>
      <c r="AH24">
        <v>394</v>
      </c>
      <c r="AI24">
        <v>279</v>
      </c>
      <c r="AJ24">
        <v>17</v>
      </c>
      <c r="AK24">
        <v>208</v>
      </c>
      <c r="AL24">
        <v>4665</v>
      </c>
      <c r="AM24">
        <v>1461</v>
      </c>
      <c r="AN24">
        <v>287</v>
      </c>
      <c r="AO24">
        <v>452</v>
      </c>
      <c r="AP24">
        <v>753</v>
      </c>
      <c r="AQ24">
        <v>14016</v>
      </c>
      <c r="AR24">
        <v>554</v>
      </c>
      <c r="AS24">
        <v>4734</v>
      </c>
      <c r="AT24">
        <v>44383</v>
      </c>
      <c r="AU24">
        <v>1749</v>
      </c>
      <c r="AV24">
        <v>1781</v>
      </c>
      <c r="AW24">
        <v>6735</v>
      </c>
      <c r="AX24">
        <v>10960</v>
      </c>
      <c r="AY24">
        <v>27207</v>
      </c>
      <c r="AZ24">
        <v>7159</v>
      </c>
      <c r="BA24">
        <v>1895</v>
      </c>
      <c r="BB24">
        <v>11103</v>
      </c>
      <c r="BC24">
        <v>2301</v>
      </c>
      <c r="BD24">
        <v>1908</v>
      </c>
      <c r="BE24">
        <v>12985</v>
      </c>
      <c r="BF24">
        <v>108</v>
      </c>
      <c r="BG24">
        <v>458</v>
      </c>
      <c r="BH24">
        <v>1009</v>
      </c>
      <c r="BI24">
        <v>111057</v>
      </c>
      <c r="BJ24">
        <v>79633</v>
      </c>
      <c r="BK24">
        <v>210</v>
      </c>
      <c r="BL24">
        <v>113</v>
      </c>
      <c r="BM24">
        <v>135</v>
      </c>
      <c r="BN24">
        <v>128</v>
      </c>
      <c r="BO24">
        <v>51</v>
      </c>
      <c r="BP24">
        <v>46</v>
      </c>
      <c r="BQ24">
        <v>821</v>
      </c>
      <c r="BR24">
        <v>1355</v>
      </c>
      <c r="BS24">
        <v>101</v>
      </c>
      <c r="BT24">
        <v>2381</v>
      </c>
      <c r="BU24">
        <v>17</v>
      </c>
      <c r="BV24">
        <v>109</v>
      </c>
      <c r="BW24">
        <v>0</v>
      </c>
      <c r="BX24">
        <v>267</v>
      </c>
      <c r="BY24">
        <v>723</v>
      </c>
      <c r="BZ24">
        <v>453</v>
      </c>
      <c r="CA24">
        <v>14</v>
      </c>
      <c r="CB24">
        <v>76</v>
      </c>
      <c r="CC24">
        <v>52</v>
      </c>
      <c r="CD24">
        <v>0</v>
      </c>
      <c r="CE24">
        <v>220</v>
      </c>
      <c r="CF24">
        <v>232</v>
      </c>
      <c r="CG24">
        <v>1830</v>
      </c>
      <c r="CH24">
        <v>424243</v>
      </c>
    </row>
    <row r="25" spans="1:86" x14ac:dyDescent="0.55000000000000004">
      <c r="A25">
        <v>2002</v>
      </c>
      <c r="B25">
        <v>1771</v>
      </c>
      <c r="C25">
        <v>4845</v>
      </c>
      <c r="D25">
        <v>360</v>
      </c>
      <c r="E25">
        <v>151</v>
      </c>
      <c r="F25">
        <v>4274</v>
      </c>
      <c r="G25">
        <v>140</v>
      </c>
      <c r="H25">
        <v>84</v>
      </c>
      <c r="I25">
        <v>940</v>
      </c>
      <c r="J25">
        <v>0</v>
      </c>
      <c r="K25">
        <v>433</v>
      </c>
      <c r="L25">
        <v>2939</v>
      </c>
      <c r="M25">
        <v>645</v>
      </c>
      <c r="N25">
        <v>3385</v>
      </c>
      <c r="O25">
        <v>8138</v>
      </c>
      <c r="P25">
        <v>4231</v>
      </c>
      <c r="Q25">
        <v>1178</v>
      </c>
      <c r="R25">
        <v>675</v>
      </c>
      <c r="S25">
        <v>5598</v>
      </c>
      <c r="T25">
        <v>4213</v>
      </c>
      <c r="U25">
        <v>0</v>
      </c>
      <c r="V25">
        <v>331</v>
      </c>
      <c r="W25">
        <v>379</v>
      </c>
      <c r="X25">
        <v>1984</v>
      </c>
      <c r="Y25">
        <v>1933</v>
      </c>
      <c r="Z25">
        <v>6229</v>
      </c>
      <c r="AA25">
        <v>1334</v>
      </c>
      <c r="AB25">
        <v>454</v>
      </c>
      <c r="AC25">
        <v>14226</v>
      </c>
      <c r="AD25">
        <v>860</v>
      </c>
      <c r="AE25">
        <v>3848</v>
      </c>
      <c r="AF25">
        <v>502</v>
      </c>
      <c r="AG25">
        <v>0</v>
      </c>
      <c r="AH25">
        <v>1361</v>
      </c>
      <c r="AI25">
        <v>465</v>
      </c>
      <c r="AJ25">
        <v>12</v>
      </c>
      <c r="AK25">
        <v>194</v>
      </c>
      <c r="AL25">
        <v>6949</v>
      </c>
      <c r="AM25">
        <v>626</v>
      </c>
      <c r="AN25">
        <v>533</v>
      </c>
      <c r="AO25">
        <v>461</v>
      </c>
      <c r="AP25">
        <v>750</v>
      </c>
      <c r="AQ25">
        <v>3150</v>
      </c>
      <c r="AR25">
        <v>287</v>
      </c>
      <c r="AS25">
        <v>9026</v>
      </c>
      <c r="AT25">
        <v>66084</v>
      </c>
      <c r="AU25">
        <v>1874</v>
      </c>
      <c r="AV25">
        <v>1127</v>
      </c>
      <c r="AW25">
        <v>3421</v>
      </c>
      <c r="AX25">
        <v>3007</v>
      </c>
      <c r="AY25">
        <v>48593</v>
      </c>
      <c r="AZ25">
        <v>19461</v>
      </c>
      <c r="BA25">
        <v>695</v>
      </c>
      <c r="BB25">
        <v>11937</v>
      </c>
      <c r="BC25">
        <v>2605</v>
      </c>
      <c r="BD25">
        <v>1713</v>
      </c>
      <c r="BE25">
        <v>15737</v>
      </c>
      <c r="BF25">
        <v>196</v>
      </c>
      <c r="BG25">
        <v>998</v>
      </c>
      <c r="BH25">
        <v>711</v>
      </c>
      <c r="BI25">
        <v>85017</v>
      </c>
      <c r="BJ25">
        <v>80067</v>
      </c>
      <c r="BK25">
        <v>285</v>
      </c>
      <c r="BL25">
        <v>618</v>
      </c>
      <c r="BM25">
        <v>178</v>
      </c>
      <c r="BN25">
        <v>40</v>
      </c>
      <c r="BO25">
        <v>66</v>
      </c>
      <c r="BP25">
        <v>59</v>
      </c>
      <c r="BQ25">
        <v>154</v>
      </c>
      <c r="BR25">
        <v>602</v>
      </c>
      <c r="BS25">
        <v>91</v>
      </c>
      <c r="BT25">
        <v>641</v>
      </c>
      <c r="BU25">
        <v>50</v>
      </c>
      <c r="BV25">
        <v>144</v>
      </c>
      <c r="BW25">
        <v>0</v>
      </c>
      <c r="BX25">
        <v>378</v>
      </c>
      <c r="BY25">
        <v>214</v>
      </c>
      <c r="BZ25">
        <v>403</v>
      </c>
      <c r="CA25">
        <v>0</v>
      </c>
      <c r="CB25">
        <v>106</v>
      </c>
      <c r="CC25">
        <v>276</v>
      </c>
      <c r="CD25">
        <v>0</v>
      </c>
      <c r="CE25">
        <v>174</v>
      </c>
      <c r="CF25">
        <v>92</v>
      </c>
      <c r="CG25">
        <v>1303</v>
      </c>
      <c r="CH25">
        <v>449011</v>
      </c>
    </row>
    <row r="26" spans="1:86" x14ac:dyDescent="0.55000000000000004">
      <c r="A26">
        <v>2003</v>
      </c>
      <c r="B26">
        <v>1102</v>
      </c>
      <c r="C26">
        <v>3432</v>
      </c>
      <c r="D26">
        <v>380</v>
      </c>
      <c r="E26">
        <v>493</v>
      </c>
      <c r="F26">
        <v>5222</v>
      </c>
      <c r="G26">
        <v>63</v>
      </c>
      <c r="H26">
        <v>205</v>
      </c>
      <c r="I26">
        <v>729</v>
      </c>
      <c r="J26">
        <v>311</v>
      </c>
      <c r="K26">
        <v>684</v>
      </c>
      <c r="L26">
        <v>5711</v>
      </c>
      <c r="M26">
        <v>618</v>
      </c>
      <c r="N26">
        <v>4194</v>
      </c>
      <c r="O26">
        <v>11694</v>
      </c>
      <c r="P26">
        <v>5066</v>
      </c>
      <c r="Q26">
        <v>1958</v>
      </c>
      <c r="R26">
        <v>2698</v>
      </c>
      <c r="S26">
        <v>8017</v>
      </c>
      <c r="T26">
        <v>5783</v>
      </c>
      <c r="U26">
        <v>0</v>
      </c>
      <c r="V26">
        <v>305</v>
      </c>
      <c r="W26">
        <v>410</v>
      </c>
      <c r="X26">
        <v>5163</v>
      </c>
      <c r="Y26">
        <v>2389</v>
      </c>
      <c r="Z26">
        <v>6576</v>
      </c>
      <c r="AA26">
        <v>2614</v>
      </c>
      <c r="AB26">
        <v>269</v>
      </c>
      <c r="AC26">
        <v>25732</v>
      </c>
      <c r="AD26">
        <v>1212</v>
      </c>
      <c r="AE26">
        <v>5967</v>
      </c>
      <c r="AF26">
        <v>1144</v>
      </c>
      <c r="AG26">
        <v>0</v>
      </c>
      <c r="AH26">
        <v>1363</v>
      </c>
      <c r="AI26">
        <v>188</v>
      </c>
      <c r="AJ26">
        <v>12</v>
      </c>
      <c r="AK26">
        <v>1123</v>
      </c>
      <c r="AL26">
        <v>7812</v>
      </c>
      <c r="AM26">
        <v>54</v>
      </c>
      <c r="AN26">
        <v>359</v>
      </c>
      <c r="AO26">
        <v>162</v>
      </c>
      <c r="AP26">
        <v>375</v>
      </c>
      <c r="AQ26">
        <v>2386</v>
      </c>
      <c r="AR26">
        <v>242</v>
      </c>
      <c r="AS26">
        <v>7225</v>
      </c>
      <c r="AT26">
        <v>50135</v>
      </c>
      <c r="AU26">
        <v>1867</v>
      </c>
      <c r="AV26">
        <v>180</v>
      </c>
      <c r="AW26">
        <v>2341</v>
      </c>
      <c r="AX26">
        <v>2902</v>
      </c>
      <c r="AY26">
        <v>45967</v>
      </c>
      <c r="AZ26">
        <v>11514</v>
      </c>
      <c r="BA26">
        <v>3009</v>
      </c>
      <c r="BB26">
        <v>15048</v>
      </c>
      <c r="BC26">
        <v>2777</v>
      </c>
      <c r="BD26">
        <v>2673</v>
      </c>
      <c r="BE26">
        <v>19360</v>
      </c>
      <c r="BF26">
        <v>96</v>
      </c>
      <c r="BG26">
        <v>902</v>
      </c>
      <c r="BH26">
        <v>687</v>
      </c>
      <c r="BI26">
        <v>249520</v>
      </c>
      <c r="BJ26">
        <v>58856</v>
      </c>
      <c r="BK26">
        <v>187</v>
      </c>
      <c r="BL26">
        <v>392</v>
      </c>
      <c r="BM26">
        <v>0</v>
      </c>
      <c r="BN26">
        <v>181</v>
      </c>
      <c r="BO26">
        <v>79</v>
      </c>
      <c r="BP26">
        <v>169</v>
      </c>
      <c r="BQ26">
        <v>1139</v>
      </c>
      <c r="BR26">
        <v>643</v>
      </c>
      <c r="BS26">
        <v>139</v>
      </c>
      <c r="BT26">
        <v>1966</v>
      </c>
      <c r="BU26">
        <v>0</v>
      </c>
      <c r="BV26">
        <v>62</v>
      </c>
      <c r="BW26">
        <v>4</v>
      </c>
      <c r="BX26">
        <v>405</v>
      </c>
      <c r="BY26">
        <v>888</v>
      </c>
      <c r="BZ26">
        <v>743</v>
      </c>
      <c r="CA26">
        <v>18</v>
      </c>
      <c r="CB26">
        <v>99</v>
      </c>
      <c r="CC26">
        <v>243</v>
      </c>
      <c r="CD26">
        <v>0</v>
      </c>
      <c r="CE26">
        <v>50</v>
      </c>
      <c r="CF26">
        <v>19</v>
      </c>
      <c r="CG26">
        <v>2059</v>
      </c>
      <c r="CH26">
        <v>608761</v>
      </c>
    </row>
    <row r="27" spans="1:86" x14ac:dyDescent="0.55000000000000004">
      <c r="A27">
        <v>2004</v>
      </c>
      <c r="B27">
        <v>736</v>
      </c>
      <c r="C27">
        <v>2816</v>
      </c>
      <c r="D27">
        <v>88</v>
      </c>
      <c r="E27">
        <v>335</v>
      </c>
      <c r="F27">
        <v>1939</v>
      </c>
      <c r="G27">
        <v>96</v>
      </c>
      <c r="H27">
        <v>144</v>
      </c>
      <c r="I27">
        <v>257</v>
      </c>
      <c r="J27">
        <v>1471</v>
      </c>
      <c r="K27">
        <v>388</v>
      </c>
      <c r="L27">
        <v>3841</v>
      </c>
      <c r="M27">
        <v>318</v>
      </c>
      <c r="N27">
        <v>3122</v>
      </c>
      <c r="O27">
        <v>11427</v>
      </c>
      <c r="P27">
        <v>4559</v>
      </c>
      <c r="Q27">
        <v>2577</v>
      </c>
      <c r="R27">
        <v>2292</v>
      </c>
      <c r="S27">
        <v>0</v>
      </c>
      <c r="T27">
        <v>7229</v>
      </c>
      <c r="U27">
        <v>7</v>
      </c>
      <c r="V27">
        <v>236</v>
      </c>
      <c r="W27">
        <v>170</v>
      </c>
      <c r="X27">
        <v>1963</v>
      </c>
      <c r="Y27">
        <v>1923</v>
      </c>
      <c r="Z27">
        <v>4155</v>
      </c>
      <c r="AA27">
        <v>431</v>
      </c>
      <c r="AB27">
        <v>516</v>
      </c>
      <c r="AC27">
        <v>24382</v>
      </c>
      <c r="AD27">
        <v>354</v>
      </c>
      <c r="AE27">
        <v>2321</v>
      </c>
      <c r="AF27">
        <v>1151</v>
      </c>
      <c r="AG27">
        <v>641</v>
      </c>
      <c r="AH27">
        <v>2102</v>
      </c>
      <c r="AI27">
        <v>115</v>
      </c>
      <c r="AJ27">
        <v>64</v>
      </c>
      <c r="AK27">
        <v>481</v>
      </c>
      <c r="AL27">
        <v>7194</v>
      </c>
      <c r="AM27">
        <v>891</v>
      </c>
      <c r="AN27">
        <v>1096</v>
      </c>
      <c r="AO27">
        <v>465</v>
      </c>
      <c r="AP27">
        <v>211</v>
      </c>
      <c r="AQ27">
        <v>2933</v>
      </c>
      <c r="AR27">
        <v>256</v>
      </c>
      <c r="AS27">
        <v>2944</v>
      </c>
      <c r="AT27">
        <v>25904</v>
      </c>
      <c r="AU27">
        <v>1395</v>
      </c>
      <c r="AV27">
        <v>635</v>
      </c>
      <c r="AW27">
        <v>2198</v>
      </c>
      <c r="AX27">
        <v>7355</v>
      </c>
      <c r="AY27">
        <v>37445</v>
      </c>
      <c r="AZ27">
        <v>10819</v>
      </c>
      <c r="BA27">
        <v>2045</v>
      </c>
      <c r="BB27">
        <v>11832</v>
      </c>
      <c r="BC27">
        <v>2163</v>
      </c>
      <c r="BD27">
        <v>3895</v>
      </c>
      <c r="BE27">
        <v>16663</v>
      </c>
      <c r="BF27">
        <v>73</v>
      </c>
      <c r="BG27">
        <v>260</v>
      </c>
      <c r="BH27">
        <v>293</v>
      </c>
      <c r="BI27">
        <v>141688</v>
      </c>
      <c r="BJ27">
        <v>62914</v>
      </c>
      <c r="BK27">
        <v>236</v>
      </c>
      <c r="BL27">
        <v>247</v>
      </c>
      <c r="BM27">
        <v>269</v>
      </c>
      <c r="BN27">
        <v>340</v>
      </c>
      <c r="BO27">
        <v>69</v>
      </c>
      <c r="BP27">
        <v>61</v>
      </c>
      <c r="BQ27">
        <v>1148</v>
      </c>
      <c r="BR27">
        <v>385</v>
      </c>
      <c r="BS27">
        <v>100</v>
      </c>
      <c r="BT27">
        <v>960</v>
      </c>
      <c r="BU27">
        <v>9</v>
      </c>
      <c r="BV27">
        <v>76</v>
      </c>
      <c r="BW27">
        <v>13</v>
      </c>
      <c r="BX27">
        <v>403</v>
      </c>
      <c r="BY27">
        <v>315</v>
      </c>
      <c r="BZ27">
        <v>395</v>
      </c>
      <c r="CA27">
        <v>40</v>
      </c>
      <c r="CB27">
        <v>170</v>
      </c>
      <c r="CC27">
        <v>7</v>
      </c>
      <c r="CD27">
        <v>1</v>
      </c>
      <c r="CE27">
        <v>41</v>
      </c>
      <c r="CF27">
        <v>85</v>
      </c>
      <c r="CG27">
        <v>2233</v>
      </c>
      <c r="CH27">
        <v>435817</v>
      </c>
    </row>
    <row r="28" spans="1:86" x14ac:dyDescent="0.55000000000000004">
      <c r="A28">
        <v>2005</v>
      </c>
      <c r="B28">
        <v>541</v>
      </c>
      <c r="C28">
        <v>3228</v>
      </c>
      <c r="D28">
        <v>55</v>
      </c>
      <c r="E28">
        <v>120</v>
      </c>
      <c r="F28">
        <v>1263</v>
      </c>
      <c r="G28">
        <v>121</v>
      </c>
      <c r="H28">
        <v>109</v>
      </c>
      <c r="I28">
        <v>235</v>
      </c>
      <c r="J28">
        <v>607</v>
      </c>
      <c r="K28">
        <v>157</v>
      </c>
      <c r="L28">
        <v>1598</v>
      </c>
      <c r="M28">
        <v>370</v>
      </c>
      <c r="N28">
        <v>2818</v>
      </c>
      <c r="O28">
        <v>6043</v>
      </c>
      <c r="P28">
        <v>1952</v>
      </c>
      <c r="Q28">
        <v>1284</v>
      </c>
      <c r="R28">
        <v>807</v>
      </c>
      <c r="S28">
        <v>4065</v>
      </c>
      <c r="T28">
        <v>4060</v>
      </c>
      <c r="U28">
        <v>274</v>
      </c>
      <c r="V28">
        <v>336</v>
      </c>
      <c r="W28">
        <v>489</v>
      </c>
      <c r="X28">
        <v>1229</v>
      </c>
      <c r="Y28">
        <v>1049</v>
      </c>
      <c r="Z28">
        <v>4014</v>
      </c>
      <c r="AA28">
        <v>652</v>
      </c>
      <c r="AB28">
        <v>597</v>
      </c>
      <c r="AC28">
        <v>10250</v>
      </c>
      <c r="AD28">
        <v>246</v>
      </c>
      <c r="AE28">
        <v>2888</v>
      </c>
      <c r="AF28">
        <v>546</v>
      </c>
      <c r="AG28">
        <v>516</v>
      </c>
      <c r="AH28">
        <v>556</v>
      </c>
      <c r="AI28">
        <v>104</v>
      </c>
      <c r="AJ28">
        <v>7</v>
      </c>
      <c r="AK28">
        <v>328</v>
      </c>
      <c r="AL28">
        <v>4483</v>
      </c>
      <c r="AM28">
        <v>294</v>
      </c>
      <c r="AN28">
        <v>162</v>
      </c>
      <c r="AO28">
        <v>275</v>
      </c>
      <c r="AP28">
        <v>103</v>
      </c>
      <c r="AQ28">
        <v>1244</v>
      </c>
      <c r="AR28">
        <v>236</v>
      </c>
      <c r="AS28">
        <v>3310</v>
      </c>
      <c r="AT28">
        <v>22851</v>
      </c>
      <c r="AU28">
        <v>576</v>
      </c>
      <c r="AV28">
        <v>611</v>
      </c>
      <c r="AW28">
        <v>4613</v>
      </c>
      <c r="AX28">
        <v>10613</v>
      </c>
      <c r="AY28">
        <v>74144</v>
      </c>
      <c r="AZ28">
        <v>12498</v>
      </c>
      <c r="BA28">
        <v>851</v>
      </c>
      <c r="BB28">
        <v>9130</v>
      </c>
      <c r="BC28">
        <v>394</v>
      </c>
      <c r="BD28">
        <v>653</v>
      </c>
      <c r="BE28">
        <v>5638</v>
      </c>
      <c r="BF28">
        <v>50</v>
      </c>
      <c r="BG28">
        <v>470</v>
      </c>
      <c r="BH28">
        <v>2005</v>
      </c>
      <c r="BI28">
        <v>91600</v>
      </c>
      <c r="BJ28">
        <v>40444</v>
      </c>
      <c r="BK28">
        <v>191</v>
      </c>
      <c r="BL28">
        <v>122</v>
      </c>
      <c r="BM28">
        <v>53</v>
      </c>
      <c r="BN28">
        <v>128</v>
      </c>
      <c r="BO28">
        <v>41</v>
      </c>
      <c r="BP28">
        <v>36</v>
      </c>
      <c r="BQ28">
        <v>1326</v>
      </c>
      <c r="BR28">
        <v>313</v>
      </c>
      <c r="BS28">
        <v>143</v>
      </c>
      <c r="BT28">
        <v>873</v>
      </c>
      <c r="BU28">
        <v>0</v>
      </c>
      <c r="BV28">
        <v>26</v>
      </c>
      <c r="BW28">
        <v>5</v>
      </c>
      <c r="BX28">
        <v>328</v>
      </c>
      <c r="BY28">
        <v>256</v>
      </c>
      <c r="BZ28">
        <v>321</v>
      </c>
      <c r="CA28">
        <v>49</v>
      </c>
      <c r="CB28">
        <v>46</v>
      </c>
      <c r="CC28">
        <v>18</v>
      </c>
      <c r="CD28">
        <v>0</v>
      </c>
      <c r="CE28">
        <v>57</v>
      </c>
      <c r="CF28">
        <v>49</v>
      </c>
      <c r="CG28">
        <v>1291</v>
      </c>
      <c r="CH28">
        <v>346434</v>
      </c>
    </row>
    <row r="29" spans="1:86" x14ac:dyDescent="0.55000000000000004">
      <c r="A29">
        <v>2006</v>
      </c>
      <c r="B29">
        <v>926</v>
      </c>
      <c r="C29">
        <v>2727</v>
      </c>
      <c r="D29">
        <v>210</v>
      </c>
      <c r="E29">
        <v>247</v>
      </c>
      <c r="F29">
        <v>2058</v>
      </c>
      <c r="G29">
        <v>16</v>
      </c>
      <c r="H29">
        <v>142</v>
      </c>
      <c r="I29">
        <v>244</v>
      </c>
      <c r="J29">
        <v>782</v>
      </c>
      <c r="K29">
        <v>328</v>
      </c>
      <c r="L29">
        <v>1732</v>
      </c>
      <c r="M29">
        <v>341</v>
      </c>
      <c r="N29">
        <v>2848</v>
      </c>
      <c r="O29">
        <v>5153</v>
      </c>
      <c r="P29">
        <v>1874</v>
      </c>
      <c r="Q29">
        <v>1534</v>
      </c>
      <c r="R29">
        <v>676</v>
      </c>
      <c r="S29">
        <v>5423</v>
      </c>
      <c r="T29">
        <v>8115</v>
      </c>
      <c r="U29">
        <v>0</v>
      </c>
      <c r="V29">
        <v>155</v>
      </c>
      <c r="W29">
        <v>351</v>
      </c>
      <c r="X29">
        <v>1550</v>
      </c>
      <c r="Y29">
        <v>1210</v>
      </c>
      <c r="Z29">
        <v>3049</v>
      </c>
      <c r="AA29">
        <v>1115</v>
      </c>
      <c r="AB29">
        <v>413</v>
      </c>
      <c r="AC29">
        <v>7188</v>
      </c>
      <c r="AD29">
        <v>334</v>
      </c>
      <c r="AE29">
        <v>2007</v>
      </c>
      <c r="AF29">
        <v>783</v>
      </c>
      <c r="AG29">
        <v>1160</v>
      </c>
      <c r="AH29">
        <v>212</v>
      </c>
      <c r="AI29">
        <v>292</v>
      </c>
      <c r="AJ29">
        <v>6</v>
      </c>
      <c r="AK29">
        <v>248</v>
      </c>
      <c r="AL29">
        <v>4508</v>
      </c>
      <c r="AM29">
        <v>295</v>
      </c>
      <c r="AN29">
        <v>179</v>
      </c>
      <c r="AO29">
        <v>254</v>
      </c>
      <c r="AP29">
        <v>572</v>
      </c>
      <c r="AQ29">
        <v>9405</v>
      </c>
      <c r="AR29">
        <v>347</v>
      </c>
      <c r="AS29">
        <v>6924</v>
      </c>
      <c r="AT29">
        <v>69271</v>
      </c>
      <c r="AU29">
        <v>720</v>
      </c>
      <c r="AV29">
        <v>899</v>
      </c>
      <c r="AW29">
        <v>7007</v>
      </c>
      <c r="AX29">
        <v>9273</v>
      </c>
      <c r="AY29">
        <v>110690</v>
      </c>
      <c r="AZ29">
        <v>24332</v>
      </c>
      <c r="BA29">
        <v>2026</v>
      </c>
      <c r="BB29">
        <v>3297</v>
      </c>
      <c r="BC29">
        <v>1124</v>
      </c>
      <c r="BD29">
        <v>1242</v>
      </c>
      <c r="BE29">
        <v>8308</v>
      </c>
      <c r="BF29">
        <v>53</v>
      </c>
      <c r="BG29">
        <v>341</v>
      </c>
      <c r="BH29">
        <v>1674</v>
      </c>
      <c r="BI29">
        <v>61131</v>
      </c>
      <c r="BJ29">
        <v>57086</v>
      </c>
      <c r="BK29">
        <v>214</v>
      </c>
      <c r="BL29">
        <v>282</v>
      </c>
      <c r="BM29">
        <v>54</v>
      </c>
      <c r="BN29">
        <v>189</v>
      </c>
      <c r="BO29">
        <v>43</v>
      </c>
      <c r="BP29">
        <v>38</v>
      </c>
      <c r="BQ29">
        <v>393</v>
      </c>
      <c r="BR29">
        <v>50</v>
      </c>
      <c r="BS29">
        <v>218</v>
      </c>
      <c r="BT29">
        <v>2034</v>
      </c>
      <c r="BU29">
        <v>0</v>
      </c>
      <c r="BV29">
        <v>102</v>
      </c>
      <c r="BW29">
        <v>7</v>
      </c>
      <c r="BX29">
        <v>132</v>
      </c>
      <c r="BY29">
        <v>97</v>
      </c>
      <c r="BZ29">
        <v>346</v>
      </c>
      <c r="CA29">
        <v>20</v>
      </c>
      <c r="CB29">
        <v>131</v>
      </c>
      <c r="CC29">
        <v>86</v>
      </c>
      <c r="CD29">
        <v>0</v>
      </c>
      <c r="CE29">
        <v>107</v>
      </c>
      <c r="CF29">
        <v>51</v>
      </c>
      <c r="CG29">
        <v>1528</v>
      </c>
      <c r="CH29">
        <v>442529</v>
      </c>
    </row>
    <row r="30" spans="1:86" x14ac:dyDescent="0.55000000000000004">
      <c r="A30">
        <v>2007</v>
      </c>
      <c r="B30">
        <v>456</v>
      </c>
      <c r="C30">
        <v>1329</v>
      </c>
      <c r="D30">
        <v>31</v>
      </c>
      <c r="E30">
        <v>58</v>
      </c>
      <c r="F30">
        <v>1049</v>
      </c>
      <c r="G30">
        <v>23</v>
      </c>
      <c r="H30">
        <v>28</v>
      </c>
      <c r="I30">
        <v>157</v>
      </c>
      <c r="J30">
        <v>567</v>
      </c>
      <c r="K30">
        <v>219</v>
      </c>
      <c r="L30">
        <v>1221</v>
      </c>
      <c r="M30">
        <v>245</v>
      </c>
      <c r="N30">
        <v>855</v>
      </c>
      <c r="O30">
        <v>2387</v>
      </c>
      <c r="P30">
        <v>1423</v>
      </c>
      <c r="Q30">
        <v>495</v>
      </c>
      <c r="R30">
        <v>350</v>
      </c>
      <c r="S30">
        <v>2688</v>
      </c>
      <c r="T30">
        <v>1970</v>
      </c>
      <c r="U30">
        <v>0</v>
      </c>
      <c r="V30">
        <v>64</v>
      </c>
      <c r="W30">
        <v>157</v>
      </c>
      <c r="X30">
        <v>653</v>
      </c>
      <c r="Y30">
        <v>656</v>
      </c>
      <c r="Z30">
        <v>2158</v>
      </c>
      <c r="AA30">
        <v>734</v>
      </c>
      <c r="AB30">
        <v>66</v>
      </c>
      <c r="AC30">
        <v>6435</v>
      </c>
      <c r="AD30">
        <v>179</v>
      </c>
      <c r="AE30">
        <v>730</v>
      </c>
      <c r="AF30">
        <v>351</v>
      </c>
      <c r="AG30">
        <v>203</v>
      </c>
      <c r="AH30">
        <v>196</v>
      </c>
      <c r="AI30">
        <v>150</v>
      </c>
      <c r="AJ30">
        <v>18</v>
      </c>
      <c r="AK30">
        <v>94</v>
      </c>
      <c r="AL30">
        <v>2526</v>
      </c>
      <c r="AM30">
        <v>95</v>
      </c>
      <c r="AN30">
        <v>49</v>
      </c>
      <c r="AO30">
        <v>135</v>
      </c>
      <c r="AP30">
        <v>54</v>
      </c>
      <c r="AQ30">
        <v>1667</v>
      </c>
      <c r="AR30">
        <v>6</v>
      </c>
      <c r="AS30">
        <v>1709</v>
      </c>
      <c r="AT30">
        <v>21171</v>
      </c>
      <c r="AU30">
        <v>496</v>
      </c>
      <c r="AV30">
        <v>378</v>
      </c>
      <c r="AW30">
        <v>3727</v>
      </c>
      <c r="AX30">
        <v>8607</v>
      </c>
      <c r="AY30">
        <v>54621</v>
      </c>
      <c r="AZ30">
        <v>10459</v>
      </c>
      <c r="BA30">
        <v>477</v>
      </c>
      <c r="BB30">
        <v>1766</v>
      </c>
      <c r="BC30">
        <v>242</v>
      </c>
      <c r="BD30">
        <v>159</v>
      </c>
      <c r="BE30">
        <v>1929</v>
      </c>
      <c r="BF30">
        <v>30</v>
      </c>
      <c r="BG30">
        <v>767</v>
      </c>
      <c r="BH30">
        <v>2656</v>
      </c>
      <c r="BI30">
        <v>79727</v>
      </c>
      <c r="BJ30">
        <v>29078</v>
      </c>
      <c r="BK30">
        <v>104</v>
      </c>
      <c r="BL30">
        <v>177</v>
      </c>
      <c r="BM30">
        <v>6</v>
      </c>
      <c r="BN30">
        <v>25</v>
      </c>
      <c r="BO30">
        <v>22</v>
      </c>
      <c r="BP30">
        <v>20</v>
      </c>
      <c r="BQ30">
        <v>373</v>
      </c>
      <c r="BR30">
        <v>152</v>
      </c>
      <c r="BS30">
        <v>65</v>
      </c>
      <c r="BT30">
        <v>848</v>
      </c>
      <c r="BU30">
        <v>6</v>
      </c>
      <c r="BV30">
        <v>8</v>
      </c>
      <c r="BW30">
        <v>4</v>
      </c>
      <c r="BX30">
        <v>139</v>
      </c>
      <c r="BY30">
        <v>125</v>
      </c>
      <c r="BZ30">
        <v>156</v>
      </c>
      <c r="CA30">
        <v>24</v>
      </c>
      <c r="CB30">
        <v>27</v>
      </c>
      <c r="CC30">
        <v>108</v>
      </c>
      <c r="CD30">
        <v>0</v>
      </c>
      <c r="CE30">
        <v>56</v>
      </c>
      <c r="CF30">
        <v>30</v>
      </c>
      <c r="CG30">
        <v>660</v>
      </c>
      <c r="CH30">
        <v>254061</v>
      </c>
    </row>
    <row r="31" spans="1:86" x14ac:dyDescent="0.55000000000000004">
      <c r="A31">
        <v>2008</v>
      </c>
      <c r="B31">
        <v>577</v>
      </c>
      <c r="C31">
        <v>2336</v>
      </c>
      <c r="D31">
        <v>0</v>
      </c>
      <c r="E31">
        <v>27</v>
      </c>
      <c r="F31">
        <v>614</v>
      </c>
      <c r="G31">
        <v>24</v>
      </c>
      <c r="H31">
        <v>46</v>
      </c>
      <c r="I31">
        <v>197</v>
      </c>
      <c r="J31">
        <v>252</v>
      </c>
      <c r="K31">
        <v>255</v>
      </c>
      <c r="L31">
        <v>1278</v>
      </c>
      <c r="M31">
        <v>300</v>
      </c>
      <c r="N31">
        <v>1763</v>
      </c>
      <c r="O31">
        <v>4380</v>
      </c>
      <c r="P31">
        <v>1689</v>
      </c>
      <c r="Q31">
        <v>839</v>
      </c>
      <c r="R31">
        <v>655</v>
      </c>
      <c r="S31">
        <v>3761</v>
      </c>
      <c r="T31">
        <v>5819</v>
      </c>
      <c r="U31">
        <v>2</v>
      </c>
      <c r="V31">
        <v>378</v>
      </c>
      <c r="W31">
        <v>170</v>
      </c>
      <c r="X31">
        <v>1250</v>
      </c>
      <c r="Y31">
        <v>282</v>
      </c>
      <c r="Z31">
        <v>2437</v>
      </c>
      <c r="AA31">
        <v>630</v>
      </c>
      <c r="AB31">
        <v>125</v>
      </c>
      <c r="AC31">
        <v>7340</v>
      </c>
      <c r="AD31">
        <v>332</v>
      </c>
      <c r="AE31">
        <v>2945</v>
      </c>
      <c r="AF31">
        <v>515</v>
      </c>
      <c r="AG31">
        <v>493</v>
      </c>
      <c r="AH31">
        <v>289</v>
      </c>
      <c r="AI31">
        <v>232</v>
      </c>
      <c r="AJ31">
        <v>5</v>
      </c>
      <c r="AK31">
        <v>66</v>
      </c>
      <c r="AL31">
        <v>4392</v>
      </c>
      <c r="AM31">
        <v>135</v>
      </c>
      <c r="AN31">
        <v>482</v>
      </c>
      <c r="AO31">
        <v>123</v>
      </c>
      <c r="AP31">
        <v>147</v>
      </c>
      <c r="AQ31">
        <v>1664</v>
      </c>
      <c r="AR31">
        <v>99</v>
      </c>
      <c r="AS31">
        <v>2494</v>
      </c>
      <c r="AT31">
        <v>21290</v>
      </c>
      <c r="AU31">
        <v>920</v>
      </c>
      <c r="AV31">
        <v>758</v>
      </c>
      <c r="AW31">
        <v>4434</v>
      </c>
      <c r="AX31">
        <v>13846</v>
      </c>
      <c r="AY31">
        <v>72019</v>
      </c>
      <c r="AZ31">
        <v>18379</v>
      </c>
      <c r="BA31">
        <v>1970</v>
      </c>
      <c r="BB31">
        <v>8047</v>
      </c>
      <c r="BC31">
        <v>757</v>
      </c>
      <c r="BD31">
        <v>477</v>
      </c>
      <c r="BE31">
        <v>6686</v>
      </c>
      <c r="BF31">
        <v>42</v>
      </c>
      <c r="BG31">
        <v>781</v>
      </c>
      <c r="BH31">
        <v>302</v>
      </c>
      <c r="BI31">
        <v>42412</v>
      </c>
      <c r="BJ31">
        <v>45684</v>
      </c>
      <c r="BK31">
        <v>202</v>
      </c>
      <c r="BL31">
        <v>196</v>
      </c>
      <c r="BM31">
        <v>67</v>
      </c>
      <c r="BN31">
        <v>190</v>
      </c>
      <c r="BO31">
        <v>8</v>
      </c>
      <c r="BP31">
        <v>31</v>
      </c>
      <c r="BQ31">
        <v>301</v>
      </c>
      <c r="BR31">
        <v>94</v>
      </c>
      <c r="BS31">
        <v>22</v>
      </c>
      <c r="BT31">
        <v>789</v>
      </c>
      <c r="BU31">
        <v>0</v>
      </c>
      <c r="BV31">
        <v>8</v>
      </c>
      <c r="BW31">
        <v>44</v>
      </c>
      <c r="BX31">
        <v>802</v>
      </c>
      <c r="BY31">
        <v>60</v>
      </c>
      <c r="BZ31">
        <v>164</v>
      </c>
      <c r="CA31">
        <v>75</v>
      </c>
      <c r="CB31">
        <v>12</v>
      </c>
      <c r="CC31">
        <v>0</v>
      </c>
      <c r="CD31">
        <v>0</v>
      </c>
      <c r="CE31">
        <v>57</v>
      </c>
      <c r="CF31">
        <v>27</v>
      </c>
      <c r="CG31">
        <v>2103</v>
      </c>
      <c r="CH31">
        <v>295895</v>
      </c>
    </row>
    <row r="32" spans="1:86" x14ac:dyDescent="0.55000000000000004">
      <c r="A32">
        <v>2009</v>
      </c>
      <c r="B32">
        <v>1082</v>
      </c>
      <c r="C32">
        <v>4330</v>
      </c>
      <c r="D32">
        <v>160</v>
      </c>
      <c r="E32">
        <v>245</v>
      </c>
      <c r="F32">
        <v>3061</v>
      </c>
      <c r="G32">
        <v>166</v>
      </c>
      <c r="H32">
        <v>276</v>
      </c>
      <c r="I32">
        <v>438</v>
      </c>
      <c r="J32">
        <v>1854</v>
      </c>
      <c r="K32">
        <v>686</v>
      </c>
      <c r="L32">
        <v>2767</v>
      </c>
      <c r="M32">
        <v>478</v>
      </c>
      <c r="N32">
        <v>4207</v>
      </c>
      <c r="O32">
        <v>6553</v>
      </c>
      <c r="P32">
        <v>3181</v>
      </c>
      <c r="Q32">
        <v>1322</v>
      </c>
      <c r="R32">
        <v>958</v>
      </c>
      <c r="S32">
        <v>4682</v>
      </c>
      <c r="T32">
        <v>2951</v>
      </c>
      <c r="U32">
        <v>4</v>
      </c>
      <c r="V32">
        <v>221</v>
      </c>
      <c r="W32">
        <v>249</v>
      </c>
      <c r="X32">
        <v>1399</v>
      </c>
      <c r="Y32">
        <v>752</v>
      </c>
      <c r="Z32">
        <v>2348</v>
      </c>
      <c r="AA32">
        <v>1108</v>
      </c>
      <c r="AB32">
        <v>270</v>
      </c>
      <c r="AC32">
        <v>12634</v>
      </c>
      <c r="AD32">
        <v>354</v>
      </c>
      <c r="AE32">
        <v>1440</v>
      </c>
      <c r="AF32">
        <v>689</v>
      </c>
      <c r="AG32">
        <v>1538</v>
      </c>
      <c r="AH32">
        <v>326</v>
      </c>
      <c r="AI32">
        <v>96</v>
      </c>
      <c r="AJ32">
        <v>7</v>
      </c>
      <c r="AK32">
        <v>266</v>
      </c>
      <c r="AL32">
        <v>7772</v>
      </c>
      <c r="AM32">
        <v>132</v>
      </c>
      <c r="AN32">
        <v>241</v>
      </c>
      <c r="AO32">
        <v>46</v>
      </c>
      <c r="AP32">
        <v>12</v>
      </c>
      <c r="AQ32">
        <v>3280</v>
      </c>
      <c r="AR32">
        <v>37</v>
      </c>
      <c r="AS32">
        <v>2576</v>
      </c>
      <c r="AT32">
        <v>32942</v>
      </c>
      <c r="AU32">
        <v>858</v>
      </c>
      <c r="AV32">
        <v>494</v>
      </c>
      <c r="AW32">
        <v>7899</v>
      </c>
      <c r="AX32">
        <v>8813</v>
      </c>
      <c r="AY32">
        <v>56430</v>
      </c>
      <c r="AZ32">
        <v>12460</v>
      </c>
      <c r="BA32">
        <v>336</v>
      </c>
      <c r="BB32">
        <v>2170</v>
      </c>
      <c r="BC32">
        <v>123</v>
      </c>
      <c r="BD32">
        <v>515</v>
      </c>
      <c r="BE32">
        <v>1149</v>
      </c>
      <c r="BF32">
        <v>22</v>
      </c>
      <c r="BG32">
        <v>732</v>
      </c>
      <c r="BH32">
        <v>839</v>
      </c>
      <c r="BI32">
        <v>71921</v>
      </c>
      <c r="BJ32">
        <v>21010</v>
      </c>
      <c r="BK32">
        <v>110</v>
      </c>
      <c r="BL32">
        <v>91</v>
      </c>
      <c r="BM32">
        <v>22</v>
      </c>
      <c r="BN32">
        <v>101</v>
      </c>
      <c r="BO32">
        <v>55</v>
      </c>
      <c r="BP32">
        <v>21</v>
      </c>
      <c r="BQ32">
        <v>502</v>
      </c>
      <c r="BR32">
        <v>286</v>
      </c>
      <c r="BS32">
        <v>42</v>
      </c>
      <c r="BT32">
        <v>1142</v>
      </c>
      <c r="BU32">
        <v>13</v>
      </c>
      <c r="BV32">
        <v>121</v>
      </c>
      <c r="BW32">
        <v>23</v>
      </c>
      <c r="BX32">
        <v>237</v>
      </c>
      <c r="BY32">
        <v>234</v>
      </c>
      <c r="BZ32">
        <v>322</v>
      </c>
      <c r="CA32">
        <v>31</v>
      </c>
      <c r="CB32">
        <v>57</v>
      </c>
      <c r="CC32">
        <v>26</v>
      </c>
      <c r="CD32">
        <v>0</v>
      </c>
      <c r="CE32">
        <v>6</v>
      </c>
      <c r="CF32">
        <v>12</v>
      </c>
      <c r="CG32">
        <v>1372</v>
      </c>
      <c r="CH32">
        <v>300733</v>
      </c>
    </row>
    <row r="33" spans="1:86" x14ac:dyDescent="0.55000000000000004">
      <c r="A33">
        <v>2010</v>
      </c>
      <c r="B33">
        <v>452</v>
      </c>
      <c r="C33">
        <v>1845</v>
      </c>
      <c r="D33">
        <v>81</v>
      </c>
      <c r="E33">
        <v>70</v>
      </c>
      <c r="F33">
        <v>258</v>
      </c>
      <c r="G33">
        <v>35</v>
      </c>
      <c r="H33">
        <v>28</v>
      </c>
      <c r="I33">
        <v>91</v>
      </c>
      <c r="J33">
        <v>582</v>
      </c>
      <c r="K33">
        <v>91</v>
      </c>
      <c r="L33">
        <v>1097</v>
      </c>
      <c r="M33">
        <v>301</v>
      </c>
      <c r="N33">
        <v>1803</v>
      </c>
      <c r="O33">
        <v>3810</v>
      </c>
      <c r="P33">
        <v>936</v>
      </c>
      <c r="Q33">
        <v>773</v>
      </c>
      <c r="R33">
        <v>377</v>
      </c>
      <c r="S33">
        <v>3578</v>
      </c>
      <c r="T33">
        <v>8093</v>
      </c>
      <c r="U33">
        <v>8</v>
      </c>
      <c r="V33">
        <v>339</v>
      </c>
      <c r="W33">
        <v>93</v>
      </c>
      <c r="X33">
        <v>1422</v>
      </c>
      <c r="Y33">
        <v>855</v>
      </c>
      <c r="Z33">
        <v>2709</v>
      </c>
      <c r="AA33">
        <v>975</v>
      </c>
      <c r="AB33">
        <v>284</v>
      </c>
      <c r="AC33">
        <v>9101</v>
      </c>
      <c r="AD33">
        <v>174</v>
      </c>
      <c r="AE33">
        <v>3327</v>
      </c>
      <c r="AF33">
        <v>1307</v>
      </c>
      <c r="AG33">
        <v>657</v>
      </c>
      <c r="AH33">
        <v>84</v>
      </c>
      <c r="AI33">
        <v>127</v>
      </c>
      <c r="AJ33">
        <v>5</v>
      </c>
      <c r="AK33">
        <v>7</v>
      </c>
      <c r="AL33">
        <v>1309</v>
      </c>
      <c r="AM33">
        <v>90</v>
      </c>
      <c r="AN33">
        <v>146</v>
      </c>
      <c r="AO33">
        <v>150</v>
      </c>
      <c r="AP33">
        <v>166</v>
      </c>
      <c r="AQ33">
        <v>476</v>
      </c>
      <c r="AR33">
        <v>243</v>
      </c>
      <c r="AS33">
        <v>6491</v>
      </c>
      <c r="AT33">
        <v>82586</v>
      </c>
      <c r="AU33">
        <v>2192</v>
      </c>
      <c r="AV33">
        <v>858</v>
      </c>
      <c r="AW33">
        <v>11062</v>
      </c>
      <c r="AX33">
        <v>14231</v>
      </c>
      <c r="AY33">
        <v>68349</v>
      </c>
      <c r="AZ33">
        <v>13083</v>
      </c>
      <c r="BA33">
        <v>1400</v>
      </c>
      <c r="BB33">
        <v>3647</v>
      </c>
      <c r="BC33">
        <v>356</v>
      </c>
      <c r="BD33">
        <v>273</v>
      </c>
      <c r="BE33">
        <v>6993</v>
      </c>
      <c r="BF33">
        <v>2</v>
      </c>
      <c r="BG33">
        <v>671</v>
      </c>
      <c r="BH33">
        <v>2003</v>
      </c>
      <c r="BI33">
        <v>104480</v>
      </c>
      <c r="BJ33">
        <v>88611</v>
      </c>
      <c r="BK33">
        <v>87</v>
      </c>
      <c r="BL33">
        <v>191</v>
      </c>
      <c r="BM33">
        <v>40</v>
      </c>
      <c r="BN33">
        <v>61</v>
      </c>
      <c r="BO33">
        <v>30</v>
      </c>
      <c r="BP33">
        <v>74</v>
      </c>
      <c r="BQ33">
        <v>251</v>
      </c>
      <c r="BR33">
        <v>146</v>
      </c>
      <c r="BS33">
        <v>34</v>
      </c>
      <c r="BT33">
        <v>1410</v>
      </c>
      <c r="BU33">
        <v>10</v>
      </c>
      <c r="BV33">
        <v>17</v>
      </c>
      <c r="BW33">
        <v>0</v>
      </c>
      <c r="BX33">
        <v>257</v>
      </c>
      <c r="BY33">
        <v>120</v>
      </c>
      <c r="BZ33">
        <v>150</v>
      </c>
      <c r="CA33">
        <v>10</v>
      </c>
      <c r="CB33">
        <v>45</v>
      </c>
      <c r="CC33">
        <v>5</v>
      </c>
      <c r="CD33">
        <v>0</v>
      </c>
      <c r="CE33">
        <v>18</v>
      </c>
      <c r="CF33">
        <v>0</v>
      </c>
      <c r="CG33">
        <v>1108</v>
      </c>
      <c r="CH33">
        <v>459707</v>
      </c>
    </row>
    <row r="34" spans="1:86" x14ac:dyDescent="0.55000000000000004">
      <c r="A34">
        <v>2011</v>
      </c>
      <c r="B34">
        <v>426</v>
      </c>
      <c r="C34">
        <v>1394</v>
      </c>
      <c r="D34">
        <v>57</v>
      </c>
      <c r="E34">
        <v>103</v>
      </c>
      <c r="F34">
        <v>509</v>
      </c>
      <c r="G34">
        <v>42</v>
      </c>
      <c r="H34">
        <v>20</v>
      </c>
      <c r="I34">
        <v>66</v>
      </c>
      <c r="J34">
        <v>85</v>
      </c>
      <c r="K34">
        <v>97</v>
      </c>
      <c r="L34">
        <v>840</v>
      </c>
      <c r="M34">
        <v>199</v>
      </c>
      <c r="N34">
        <v>1065</v>
      </c>
      <c r="O34">
        <v>3301</v>
      </c>
      <c r="P34">
        <v>722</v>
      </c>
      <c r="Q34">
        <v>878</v>
      </c>
      <c r="R34">
        <v>704</v>
      </c>
      <c r="S34">
        <v>4376</v>
      </c>
      <c r="T34">
        <v>6390</v>
      </c>
      <c r="U34">
        <v>5</v>
      </c>
      <c r="V34">
        <v>147</v>
      </c>
      <c r="W34">
        <v>132</v>
      </c>
      <c r="X34">
        <v>973</v>
      </c>
      <c r="Y34">
        <v>387</v>
      </c>
      <c r="Z34">
        <v>2010</v>
      </c>
      <c r="AA34">
        <v>610</v>
      </c>
      <c r="AB34">
        <v>206</v>
      </c>
      <c r="AC34">
        <v>11667</v>
      </c>
      <c r="AD34">
        <v>68</v>
      </c>
      <c r="AE34">
        <v>1646</v>
      </c>
      <c r="AF34">
        <v>573</v>
      </c>
      <c r="AG34">
        <v>1862</v>
      </c>
      <c r="AH34">
        <v>157</v>
      </c>
      <c r="AI34">
        <v>72</v>
      </c>
      <c r="AJ34">
        <v>39</v>
      </c>
      <c r="AK34">
        <v>90</v>
      </c>
      <c r="AL34">
        <v>1771</v>
      </c>
      <c r="AM34">
        <v>157</v>
      </c>
      <c r="AN34">
        <v>52</v>
      </c>
      <c r="AO34">
        <v>158</v>
      </c>
      <c r="AP34">
        <v>79</v>
      </c>
      <c r="AQ34">
        <v>1105</v>
      </c>
      <c r="AR34">
        <v>11</v>
      </c>
      <c r="AS34">
        <v>1741</v>
      </c>
      <c r="AT34">
        <v>27795</v>
      </c>
      <c r="AU34">
        <v>727</v>
      </c>
      <c r="AV34">
        <v>269</v>
      </c>
      <c r="AW34">
        <v>5665</v>
      </c>
      <c r="AX34">
        <v>22169</v>
      </c>
      <c r="AY34">
        <v>110914</v>
      </c>
      <c r="AZ34">
        <v>16171</v>
      </c>
      <c r="BA34">
        <v>606</v>
      </c>
      <c r="BB34">
        <v>2633</v>
      </c>
      <c r="BC34">
        <v>281</v>
      </c>
      <c r="BD34">
        <v>50</v>
      </c>
      <c r="BE34">
        <v>4356</v>
      </c>
      <c r="BF34">
        <v>16</v>
      </c>
      <c r="BG34">
        <v>1758</v>
      </c>
      <c r="BH34">
        <v>1252</v>
      </c>
      <c r="BI34">
        <v>126549</v>
      </c>
      <c r="BJ34">
        <v>57608</v>
      </c>
      <c r="BK34">
        <v>183</v>
      </c>
      <c r="BL34">
        <v>393</v>
      </c>
      <c r="BM34">
        <v>0</v>
      </c>
      <c r="BN34">
        <v>95</v>
      </c>
      <c r="BO34">
        <v>8</v>
      </c>
      <c r="BP34">
        <v>45</v>
      </c>
      <c r="BQ34">
        <v>643</v>
      </c>
      <c r="BR34">
        <v>168</v>
      </c>
      <c r="BS34">
        <v>70</v>
      </c>
      <c r="BT34">
        <v>1328</v>
      </c>
      <c r="BU34">
        <v>10</v>
      </c>
      <c r="BV34">
        <v>13</v>
      </c>
      <c r="BW34">
        <v>0</v>
      </c>
      <c r="BX34">
        <v>58</v>
      </c>
      <c r="BY34">
        <v>23</v>
      </c>
      <c r="BZ34">
        <v>99</v>
      </c>
      <c r="CA34">
        <v>8</v>
      </c>
      <c r="CB34">
        <v>43</v>
      </c>
      <c r="CC34">
        <v>49</v>
      </c>
      <c r="CD34">
        <v>0</v>
      </c>
      <c r="CE34">
        <v>3</v>
      </c>
      <c r="CF34">
        <v>4</v>
      </c>
      <c r="CG34">
        <v>1746</v>
      </c>
      <c r="CH34">
        <v>430800</v>
      </c>
    </row>
    <row r="35" spans="1:86" x14ac:dyDescent="0.55000000000000004">
      <c r="A35">
        <v>2012</v>
      </c>
      <c r="B35">
        <v>229</v>
      </c>
      <c r="C35">
        <v>983</v>
      </c>
      <c r="D35">
        <v>53</v>
      </c>
      <c r="E35">
        <v>43</v>
      </c>
      <c r="F35">
        <v>229</v>
      </c>
      <c r="G35">
        <v>6</v>
      </c>
      <c r="H35">
        <v>57</v>
      </c>
      <c r="I35">
        <v>39</v>
      </c>
      <c r="J35">
        <v>7</v>
      </c>
      <c r="K35">
        <v>45</v>
      </c>
      <c r="L35">
        <v>690</v>
      </c>
      <c r="M35">
        <v>177</v>
      </c>
      <c r="N35">
        <v>1998</v>
      </c>
      <c r="O35">
        <v>3344</v>
      </c>
      <c r="P35">
        <v>926</v>
      </c>
      <c r="Q35">
        <v>615</v>
      </c>
      <c r="R35">
        <v>172</v>
      </c>
      <c r="S35">
        <v>2638</v>
      </c>
      <c r="T35">
        <v>1702</v>
      </c>
      <c r="U35">
        <v>0</v>
      </c>
      <c r="V35">
        <v>93</v>
      </c>
      <c r="W35">
        <v>43</v>
      </c>
      <c r="X35">
        <v>819</v>
      </c>
      <c r="Y35">
        <v>527</v>
      </c>
      <c r="Z35">
        <v>2458</v>
      </c>
      <c r="AA35">
        <v>394</v>
      </c>
      <c r="AB35">
        <v>69</v>
      </c>
      <c r="AC35">
        <v>6119</v>
      </c>
      <c r="AD35">
        <v>83</v>
      </c>
      <c r="AE35">
        <v>1545</v>
      </c>
      <c r="AF35">
        <v>329</v>
      </c>
      <c r="AG35">
        <v>193</v>
      </c>
      <c r="AH35">
        <v>757</v>
      </c>
      <c r="AI35">
        <v>38</v>
      </c>
      <c r="AJ35">
        <v>8</v>
      </c>
      <c r="AK35">
        <v>68</v>
      </c>
      <c r="AL35">
        <v>3105</v>
      </c>
      <c r="AM35">
        <v>178</v>
      </c>
      <c r="AN35">
        <v>250</v>
      </c>
      <c r="AO35">
        <v>289</v>
      </c>
      <c r="AP35">
        <v>199</v>
      </c>
      <c r="AQ35">
        <v>358</v>
      </c>
      <c r="AR35">
        <v>20</v>
      </c>
      <c r="AS35">
        <v>524</v>
      </c>
      <c r="AT35">
        <v>6986</v>
      </c>
      <c r="AU35">
        <v>800</v>
      </c>
      <c r="AV35">
        <v>468</v>
      </c>
      <c r="AW35">
        <v>4059</v>
      </c>
      <c r="AX35">
        <v>9948</v>
      </c>
      <c r="AY35">
        <v>47206</v>
      </c>
      <c r="AZ35">
        <v>6105</v>
      </c>
      <c r="BA35">
        <v>1283</v>
      </c>
      <c r="BB35">
        <v>4344</v>
      </c>
      <c r="BC35">
        <v>897</v>
      </c>
      <c r="BD35">
        <v>748</v>
      </c>
      <c r="BE35">
        <v>8012</v>
      </c>
      <c r="BF35">
        <v>91</v>
      </c>
      <c r="BG35">
        <v>380</v>
      </c>
      <c r="BH35">
        <v>811</v>
      </c>
      <c r="BI35">
        <v>45133</v>
      </c>
      <c r="BJ35">
        <v>23251</v>
      </c>
      <c r="BK35">
        <v>106</v>
      </c>
      <c r="BL35">
        <v>205</v>
      </c>
      <c r="BM35">
        <v>30</v>
      </c>
      <c r="BN35">
        <v>141</v>
      </c>
      <c r="BO35">
        <v>0</v>
      </c>
      <c r="BP35">
        <v>26</v>
      </c>
      <c r="BQ35">
        <v>50</v>
      </c>
      <c r="BR35">
        <v>91</v>
      </c>
      <c r="BS35">
        <v>98</v>
      </c>
      <c r="BT35">
        <v>743</v>
      </c>
      <c r="BU35">
        <v>5</v>
      </c>
      <c r="BV35">
        <v>28</v>
      </c>
      <c r="BW35">
        <v>11</v>
      </c>
      <c r="BX35">
        <v>61</v>
      </c>
      <c r="BY35">
        <v>74</v>
      </c>
      <c r="BZ35">
        <v>93</v>
      </c>
      <c r="CA35">
        <v>4</v>
      </c>
      <c r="CB35">
        <v>23</v>
      </c>
      <c r="CC35">
        <v>5</v>
      </c>
      <c r="CD35">
        <v>0</v>
      </c>
      <c r="CE35">
        <v>34</v>
      </c>
      <c r="CF35">
        <v>3</v>
      </c>
      <c r="CG35">
        <v>570</v>
      </c>
      <c r="CH35">
        <v>195342</v>
      </c>
    </row>
    <row r="36" spans="1:86" x14ac:dyDescent="0.55000000000000004">
      <c r="A36">
        <v>2013</v>
      </c>
      <c r="B36">
        <v>439</v>
      </c>
      <c r="C36">
        <v>1561</v>
      </c>
      <c r="D36">
        <v>90</v>
      </c>
      <c r="E36">
        <v>73</v>
      </c>
      <c r="F36">
        <v>1182</v>
      </c>
      <c r="G36">
        <v>28</v>
      </c>
      <c r="H36">
        <v>81</v>
      </c>
      <c r="I36">
        <v>139</v>
      </c>
      <c r="J36">
        <v>333</v>
      </c>
      <c r="K36">
        <v>324</v>
      </c>
      <c r="L36">
        <v>1151</v>
      </c>
      <c r="M36">
        <v>258</v>
      </c>
      <c r="N36">
        <v>2125</v>
      </c>
      <c r="O36">
        <v>4245</v>
      </c>
      <c r="P36">
        <v>1317</v>
      </c>
      <c r="Q36">
        <v>646</v>
      </c>
      <c r="R36">
        <v>345</v>
      </c>
      <c r="S36">
        <v>2483</v>
      </c>
      <c r="T36">
        <v>1314</v>
      </c>
      <c r="U36">
        <v>0</v>
      </c>
      <c r="V36">
        <v>173</v>
      </c>
      <c r="W36">
        <v>109</v>
      </c>
      <c r="X36">
        <v>1531</v>
      </c>
      <c r="Y36">
        <v>608</v>
      </c>
      <c r="Z36">
        <v>2778</v>
      </c>
      <c r="AA36">
        <v>617</v>
      </c>
      <c r="AB36">
        <v>303</v>
      </c>
      <c r="AC36">
        <v>4695</v>
      </c>
      <c r="AD36">
        <v>243</v>
      </c>
      <c r="AE36">
        <v>1436</v>
      </c>
      <c r="AF36">
        <v>332</v>
      </c>
      <c r="AG36">
        <v>192</v>
      </c>
      <c r="AH36">
        <v>164</v>
      </c>
      <c r="AI36">
        <v>38</v>
      </c>
      <c r="AJ36">
        <v>2</v>
      </c>
      <c r="AK36">
        <v>43</v>
      </c>
      <c r="AL36">
        <v>2422</v>
      </c>
      <c r="AM36">
        <v>20</v>
      </c>
      <c r="AN36">
        <v>153</v>
      </c>
      <c r="AO36">
        <v>131</v>
      </c>
      <c r="AP36">
        <v>151</v>
      </c>
      <c r="AQ36">
        <v>850</v>
      </c>
      <c r="AR36">
        <v>218</v>
      </c>
      <c r="AS36">
        <v>2820</v>
      </c>
      <c r="AT36">
        <v>33514</v>
      </c>
      <c r="AU36">
        <v>1056</v>
      </c>
      <c r="AV36">
        <v>752</v>
      </c>
      <c r="AW36">
        <v>7201</v>
      </c>
      <c r="AX36">
        <v>19353</v>
      </c>
      <c r="AY36">
        <v>73468</v>
      </c>
      <c r="AZ36">
        <v>15512</v>
      </c>
      <c r="BA36">
        <v>299</v>
      </c>
      <c r="BB36">
        <v>2959</v>
      </c>
      <c r="BC36">
        <v>290</v>
      </c>
      <c r="BD36">
        <v>510</v>
      </c>
      <c r="BE36">
        <v>4042</v>
      </c>
      <c r="BF36">
        <v>37</v>
      </c>
      <c r="BG36">
        <v>1090</v>
      </c>
      <c r="BH36">
        <v>276</v>
      </c>
      <c r="BI36">
        <v>43577</v>
      </c>
      <c r="BJ36">
        <v>57578</v>
      </c>
      <c r="BK36">
        <v>121</v>
      </c>
      <c r="BL36">
        <v>170</v>
      </c>
      <c r="BM36">
        <v>32</v>
      </c>
      <c r="BN36">
        <v>147</v>
      </c>
      <c r="BO36">
        <v>0</v>
      </c>
      <c r="BP36">
        <v>35</v>
      </c>
      <c r="BQ36">
        <v>9</v>
      </c>
      <c r="BR36">
        <v>155</v>
      </c>
      <c r="BS36">
        <v>81</v>
      </c>
      <c r="BT36">
        <v>2167</v>
      </c>
      <c r="BU36">
        <v>7</v>
      </c>
      <c r="BV36">
        <v>34</v>
      </c>
      <c r="BW36">
        <v>17</v>
      </c>
      <c r="BX36">
        <v>98</v>
      </c>
      <c r="BY36">
        <v>126</v>
      </c>
      <c r="BZ36">
        <v>159</v>
      </c>
      <c r="CA36">
        <v>22</v>
      </c>
      <c r="CB36">
        <v>29</v>
      </c>
      <c r="CC36">
        <v>0</v>
      </c>
      <c r="CD36">
        <v>0</v>
      </c>
      <c r="CE36">
        <v>0</v>
      </c>
      <c r="CF36">
        <v>14</v>
      </c>
      <c r="CG36">
        <v>1362</v>
      </c>
      <c r="CH36">
        <v>304462</v>
      </c>
    </row>
    <row r="37" spans="1:86" x14ac:dyDescent="0.55000000000000004">
      <c r="A37">
        <v>2014</v>
      </c>
      <c r="B37">
        <v>954</v>
      </c>
      <c r="C37">
        <v>5030</v>
      </c>
      <c r="D37">
        <v>153</v>
      </c>
      <c r="E37">
        <v>167</v>
      </c>
      <c r="F37">
        <v>2315</v>
      </c>
      <c r="G37">
        <v>27</v>
      </c>
      <c r="H37">
        <v>112</v>
      </c>
      <c r="I37">
        <v>273</v>
      </c>
      <c r="J37">
        <v>538</v>
      </c>
      <c r="K37">
        <v>338</v>
      </c>
      <c r="L37">
        <v>1337</v>
      </c>
      <c r="M37">
        <v>560</v>
      </c>
      <c r="N37">
        <v>2494</v>
      </c>
      <c r="O37">
        <v>6258</v>
      </c>
      <c r="P37">
        <v>2033</v>
      </c>
      <c r="Q37">
        <v>1706</v>
      </c>
      <c r="R37">
        <v>1932</v>
      </c>
      <c r="S37">
        <v>4597</v>
      </c>
      <c r="T37">
        <v>6303</v>
      </c>
      <c r="U37">
        <v>18</v>
      </c>
      <c r="V37">
        <v>144</v>
      </c>
      <c r="W37">
        <v>133</v>
      </c>
      <c r="X37">
        <v>3674</v>
      </c>
      <c r="Y37">
        <v>1018</v>
      </c>
      <c r="Z37">
        <v>2473</v>
      </c>
      <c r="AA37">
        <v>301</v>
      </c>
      <c r="AB37">
        <v>226</v>
      </c>
      <c r="AC37">
        <v>15663</v>
      </c>
      <c r="AD37">
        <v>417</v>
      </c>
      <c r="AE37">
        <v>10763</v>
      </c>
      <c r="AF37">
        <v>626</v>
      </c>
      <c r="AG37">
        <v>363</v>
      </c>
      <c r="AH37">
        <v>1474</v>
      </c>
      <c r="AI37">
        <v>89</v>
      </c>
      <c r="AJ37">
        <v>27</v>
      </c>
      <c r="AK37">
        <v>73</v>
      </c>
      <c r="AL37">
        <v>3421</v>
      </c>
      <c r="AM37">
        <v>82</v>
      </c>
      <c r="AN37">
        <v>241</v>
      </c>
      <c r="AO37">
        <v>159</v>
      </c>
      <c r="AP37">
        <v>359</v>
      </c>
      <c r="AQ37">
        <v>515</v>
      </c>
      <c r="AR37">
        <v>114</v>
      </c>
      <c r="AS37">
        <v>2826</v>
      </c>
      <c r="AT37">
        <v>54493</v>
      </c>
      <c r="AU37">
        <v>1074</v>
      </c>
      <c r="AV37">
        <v>1034</v>
      </c>
      <c r="AW37">
        <v>6958</v>
      </c>
      <c r="AX37">
        <v>4711</v>
      </c>
      <c r="AY37">
        <v>41303</v>
      </c>
      <c r="AZ37">
        <v>6178</v>
      </c>
      <c r="BA37">
        <v>2923</v>
      </c>
      <c r="BB37">
        <v>16164</v>
      </c>
      <c r="BC37">
        <v>1437</v>
      </c>
      <c r="BD37">
        <v>1392</v>
      </c>
      <c r="BE37">
        <v>8914</v>
      </c>
      <c r="BF37">
        <v>2</v>
      </c>
      <c r="BG37">
        <v>404</v>
      </c>
      <c r="BH37">
        <v>474</v>
      </c>
      <c r="BI37">
        <v>46330</v>
      </c>
      <c r="BJ37">
        <v>67547</v>
      </c>
      <c r="BK37">
        <v>76</v>
      </c>
      <c r="BL37">
        <v>105</v>
      </c>
      <c r="BM37">
        <v>63</v>
      </c>
      <c r="BN37">
        <v>105</v>
      </c>
      <c r="BO37">
        <v>2</v>
      </c>
      <c r="BP37">
        <v>29</v>
      </c>
      <c r="BQ37">
        <v>385</v>
      </c>
      <c r="BR37">
        <v>310</v>
      </c>
      <c r="BS37">
        <v>41</v>
      </c>
      <c r="BT37">
        <v>1366</v>
      </c>
      <c r="BU37">
        <v>12</v>
      </c>
      <c r="BV37">
        <v>32</v>
      </c>
      <c r="BW37">
        <v>0</v>
      </c>
      <c r="BX37">
        <v>93</v>
      </c>
      <c r="BY37">
        <v>254</v>
      </c>
      <c r="BZ37">
        <v>318</v>
      </c>
      <c r="CA37">
        <v>10</v>
      </c>
      <c r="CB37">
        <v>55</v>
      </c>
      <c r="CC37">
        <v>17</v>
      </c>
      <c r="CD37">
        <v>0</v>
      </c>
      <c r="CE37">
        <v>10</v>
      </c>
      <c r="CF37">
        <v>50</v>
      </c>
      <c r="CG37">
        <v>1552</v>
      </c>
      <c r="CH37">
        <v>348549</v>
      </c>
    </row>
    <row r="38" spans="1:86" x14ac:dyDescent="0.55000000000000004">
      <c r="A38">
        <v>2015</v>
      </c>
      <c r="B38">
        <v>505</v>
      </c>
      <c r="C38">
        <v>1578</v>
      </c>
      <c r="D38">
        <v>60</v>
      </c>
      <c r="E38">
        <v>82</v>
      </c>
      <c r="F38">
        <v>990</v>
      </c>
      <c r="G38">
        <v>32</v>
      </c>
      <c r="H38">
        <v>24</v>
      </c>
      <c r="I38">
        <v>133</v>
      </c>
      <c r="J38">
        <v>957</v>
      </c>
      <c r="K38">
        <v>53</v>
      </c>
      <c r="L38">
        <v>1226</v>
      </c>
      <c r="M38">
        <v>379</v>
      </c>
      <c r="N38">
        <v>2926</v>
      </c>
      <c r="O38">
        <v>7752</v>
      </c>
      <c r="P38">
        <v>1124</v>
      </c>
      <c r="Q38">
        <v>949</v>
      </c>
      <c r="R38">
        <v>630</v>
      </c>
      <c r="S38">
        <v>5639</v>
      </c>
      <c r="T38">
        <v>8932</v>
      </c>
      <c r="U38">
        <v>6</v>
      </c>
      <c r="V38">
        <v>130</v>
      </c>
      <c r="W38">
        <v>544</v>
      </c>
      <c r="X38">
        <v>1985</v>
      </c>
      <c r="Y38">
        <v>787</v>
      </c>
      <c r="Z38">
        <v>4393</v>
      </c>
      <c r="AA38">
        <v>572</v>
      </c>
      <c r="AB38">
        <v>353</v>
      </c>
      <c r="AC38">
        <v>11764</v>
      </c>
      <c r="AD38">
        <v>280</v>
      </c>
      <c r="AE38">
        <v>4546</v>
      </c>
      <c r="AF38">
        <v>1122</v>
      </c>
      <c r="AG38">
        <v>828</v>
      </c>
      <c r="AH38">
        <v>562</v>
      </c>
      <c r="AI38">
        <v>93</v>
      </c>
      <c r="AJ38">
        <v>64</v>
      </c>
      <c r="AK38">
        <v>116</v>
      </c>
      <c r="AL38">
        <v>5966</v>
      </c>
      <c r="AM38">
        <v>64</v>
      </c>
      <c r="AN38">
        <v>145</v>
      </c>
      <c r="AO38">
        <v>164</v>
      </c>
      <c r="AP38">
        <v>107</v>
      </c>
      <c r="AQ38">
        <v>5095</v>
      </c>
      <c r="AR38">
        <v>157</v>
      </c>
      <c r="AS38">
        <v>3377</v>
      </c>
      <c r="AT38">
        <v>44575</v>
      </c>
      <c r="AU38">
        <v>939</v>
      </c>
      <c r="AV38">
        <v>203</v>
      </c>
      <c r="AW38">
        <v>14392</v>
      </c>
      <c r="AX38">
        <v>29627</v>
      </c>
      <c r="AY38">
        <v>115276</v>
      </c>
      <c r="AZ38">
        <v>16242</v>
      </c>
      <c r="BA38">
        <v>529</v>
      </c>
      <c r="BB38">
        <v>6734</v>
      </c>
      <c r="BC38">
        <v>177</v>
      </c>
      <c r="BD38">
        <v>446</v>
      </c>
      <c r="BE38">
        <v>5820</v>
      </c>
      <c r="BF38">
        <v>6</v>
      </c>
      <c r="BG38">
        <v>1301</v>
      </c>
      <c r="BH38">
        <v>695</v>
      </c>
      <c r="BI38">
        <v>103838</v>
      </c>
      <c r="BJ38">
        <v>39799</v>
      </c>
      <c r="BK38">
        <v>172</v>
      </c>
      <c r="BL38">
        <v>115</v>
      </c>
      <c r="BM38">
        <v>5</v>
      </c>
      <c r="BN38">
        <v>207</v>
      </c>
      <c r="BO38">
        <v>0</v>
      </c>
      <c r="BP38">
        <v>56</v>
      </c>
      <c r="BQ38">
        <v>51</v>
      </c>
      <c r="BR38">
        <v>233</v>
      </c>
      <c r="BS38">
        <v>98</v>
      </c>
      <c r="BT38">
        <v>1676</v>
      </c>
      <c r="BU38">
        <v>16</v>
      </c>
      <c r="BV38">
        <v>6</v>
      </c>
      <c r="BW38">
        <v>0</v>
      </c>
      <c r="BX38">
        <v>129</v>
      </c>
      <c r="BY38">
        <v>191</v>
      </c>
      <c r="BZ38">
        <v>239</v>
      </c>
      <c r="CA38">
        <v>5</v>
      </c>
      <c r="CB38">
        <v>72</v>
      </c>
      <c r="CC38">
        <v>22</v>
      </c>
      <c r="CD38">
        <v>0</v>
      </c>
      <c r="CE38">
        <v>5</v>
      </c>
      <c r="CF38">
        <v>0</v>
      </c>
      <c r="CG38">
        <v>351</v>
      </c>
      <c r="CH38">
        <v>461439</v>
      </c>
    </row>
    <row r="39" spans="1:86" x14ac:dyDescent="0.55000000000000004">
      <c r="A39">
        <v>2016</v>
      </c>
      <c r="B39">
        <v>307</v>
      </c>
      <c r="C39">
        <v>3401</v>
      </c>
      <c r="D39">
        <v>80</v>
      </c>
      <c r="E39">
        <v>60</v>
      </c>
      <c r="F39">
        <v>770</v>
      </c>
      <c r="G39">
        <v>9</v>
      </c>
      <c r="H39">
        <v>28</v>
      </c>
      <c r="I39">
        <v>76</v>
      </c>
      <c r="J39">
        <v>391</v>
      </c>
      <c r="K39">
        <v>149</v>
      </c>
      <c r="L39">
        <v>838</v>
      </c>
      <c r="M39">
        <v>221</v>
      </c>
      <c r="N39">
        <v>1587</v>
      </c>
      <c r="O39">
        <v>4015</v>
      </c>
      <c r="P39">
        <v>910</v>
      </c>
      <c r="Q39">
        <v>445</v>
      </c>
      <c r="R39">
        <v>370</v>
      </c>
      <c r="S39">
        <v>1998</v>
      </c>
      <c r="T39">
        <v>3577</v>
      </c>
      <c r="U39">
        <v>3</v>
      </c>
      <c r="V39">
        <v>56</v>
      </c>
      <c r="W39">
        <v>69</v>
      </c>
      <c r="X39">
        <v>537</v>
      </c>
      <c r="Y39">
        <v>442</v>
      </c>
      <c r="Z39">
        <v>1073</v>
      </c>
      <c r="AA39">
        <v>165</v>
      </c>
      <c r="AB39">
        <v>251</v>
      </c>
      <c r="AC39">
        <v>4708</v>
      </c>
      <c r="AD39">
        <v>140</v>
      </c>
      <c r="AE39">
        <v>1419</v>
      </c>
      <c r="AF39">
        <v>233</v>
      </c>
      <c r="AG39">
        <v>383</v>
      </c>
      <c r="AH39">
        <v>288</v>
      </c>
      <c r="AI39">
        <v>18</v>
      </c>
      <c r="AJ39">
        <v>29</v>
      </c>
      <c r="AK39">
        <v>2</v>
      </c>
      <c r="AL39">
        <v>802</v>
      </c>
      <c r="AM39">
        <v>48</v>
      </c>
      <c r="AN39">
        <v>40</v>
      </c>
      <c r="AO39">
        <v>73</v>
      </c>
      <c r="AP39">
        <v>196</v>
      </c>
      <c r="AQ39">
        <v>382</v>
      </c>
      <c r="AR39">
        <v>7</v>
      </c>
      <c r="AS39">
        <v>664</v>
      </c>
      <c r="AT39">
        <v>7770</v>
      </c>
      <c r="AU39">
        <v>311</v>
      </c>
      <c r="AV39">
        <v>103</v>
      </c>
      <c r="AW39">
        <v>3411</v>
      </c>
      <c r="AX39">
        <v>21101</v>
      </c>
      <c r="AY39">
        <v>67933</v>
      </c>
      <c r="AZ39">
        <v>6111</v>
      </c>
      <c r="BA39">
        <v>865</v>
      </c>
      <c r="BB39">
        <v>6444</v>
      </c>
      <c r="BC39">
        <v>692</v>
      </c>
      <c r="BD39">
        <v>445</v>
      </c>
      <c r="BE39">
        <v>2703</v>
      </c>
      <c r="BF39">
        <v>18</v>
      </c>
      <c r="BG39">
        <v>108</v>
      </c>
      <c r="BH39">
        <v>305</v>
      </c>
      <c r="BI39">
        <v>42369</v>
      </c>
      <c r="BJ39">
        <v>45448</v>
      </c>
      <c r="BK39">
        <v>50</v>
      </c>
      <c r="BL39">
        <v>160</v>
      </c>
      <c r="BM39">
        <v>9</v>
      </c>
      <c r="BN39">
        <v>108</v>
      </c>
      <c r="BO39">
        <v>0</v>
      </c>
      <c r="BP39">
        <v>10</v>
      </c>
      <c r="BQ39">
        <v>294</v>
      </c>
      <c r="BR39">
        <v>134</v>
      </c>
      <c r="BS39">
        <v>50</v>
      </c>
      <c r="BT39">
        <v>1335</v>
      </c>
      <c r="BU39">
        <v>0</v>
      </c>
      <c r="BV39">
        <v>26</v>
      </c>
      <c r="BW39">
        <v>0</v>
      </c>
      <c r="BX39">
        <v>43</v>
      </c>
      <c r="BY39">
        <v>110</v>
      </c>
      <c r="BZ39">
        <v>138</v>
      </c>
      <c r="CA39">
        <v>4</v>
      </c>
      <c r="CB39">
        <v>34</v>
      </c>
      <c r="CC39">
        <v>15</v>
      </c>
      <c r="CD39">
        <v>0</v>
      </c>
      <c r="CE39">
        <v>49</v>
      </c>
      <c r="CF39">
        <v>12</v>
      </c>
      <c r="CG39">
        <v>1470</v>
      </c>
      <c r="CH39">
        <v>241448</v>
      </c>
    </row>
    <row r="40" spans="1:86" x14ac:dyDescent="0.55000000000000004">
      <c r="A40">
        <v>2017</v>
      </c>
      <c r="B40">
        <v>198</v>
      </c>
      <c r="C40">
        <v>1251</v>
      </c>
      <c r="D40">
        <v>25</v>
      </c>
      <c r="E40">
        <v>78</v>
      </c>
      <c r="F40">
        <v>491</v>
      </c>
      <c r="G40">
        <v>7</v>
      </c>
      <c r="H40">
        <v>64</v>
      </c>
      <c r="I40">
        <v>48</v>
      </c>
      <c r="J40">
        <v>261</v>
      </c>
      <c r="K40">
        <v>190</v>
      </c>
      <c r="L40">
        <v>673</v>
      </c>
      <c r="M40">
        <v>149</v>
      </c>
      <c r="N40">
        <v>810</v>
      </c>
      <c r="O40">
        <v>2154</v>
      </c>
      <c r="P40">
        <v>539</v>
      </c>
      <c r="Q40">
        <v>338</v>
      </c>
      <c r="R40">
        <v>252</v>
      </c>
      <c r="S40">
        <v>1302</v>
      </c>
      <c r="T40">
        <v>553</v>
      </c>
      <c r="U40">
        <v>2</v>
      </c>
      <c r="V40">
        <v>35</v>
      </c>
      <c r="W40">
        <v>8</v>
      </c>
      <c r="X40">
        <v>1136</v>
      </c>
      <c r="Y40">
        <v>184</v>
      </c>
      <c r="Z40">
        <v>606</v>
      </c>
      <c r="AA40">
        <v>156</v>
      </c>
      <c r="AB40">
        <v>77</v>
      </c>
      <c r="AC40">
        <v>4068</v>
      </c>
      <c r="AD40">
        <v>111</v>
      </c>
      <c r="AE40">
        <v>718</v>
      </c>
      <c r="AF40">
        <v>53</v>
      </c>
      <c r="AG40">
        <v>584</v>
      </c>
      <c r="AH40">
        <v>451</v>
      </c>
      <c r="AI40">
        <v>23</v>
      </c>
      <c r="AJ40">
        <v>9</v>
      </c>
      <c r="AK40">
        <v>2</v>
      </c>
      <c r="AL40">
        <v>1597</v>
      </c>
      <c r="AM40">
        <v>23</v>
      </c>
      <c r="AN40">
        <v>32</v>
      </c>
      <c r="AO40">
        <v>12</v>
      </c>
      <c r="AP40">
        <v>32</v>
      </c>
      <c r="AQ40">
        <v>428</v>
      </c>
      <c r="AR40">
        <v>19</v>
      </c>
      <c r="AS40">
        <v>1002</v>
      </c>
      <c r="AT40">
        <v>16379</v>
      </c>
      <c r="AU40">
        <v>1036</v>
      </c>
      <c r="AV40">
        <v>250</v>
      </c>
      <c r="AW40">
        <v>5069</v>
      </c>
      <c r="AX40">
        <v>25742</v>
      </c>
      <c r="AY40">
        <v>52166</v>
      </c>
      <c r="AZ40">
        <v>11105</v>
      </c>
      <c r="BA40">
        <v>503</v>
      </c>
      <c r="BB40">
        <v>3539</v>
      </c>
      <c r="BC40">
        <v>188</v>
      </c>
      <c r="BD40">
        <v>175</v>
      </c>
      <c r="BE40">
        <v>2213</v>
      </c>
      <c r="BF40">
        <v>9</v>
      </c>
      <c r="BG40">
        <v>76</v>
      </c>
      <c r="BH40">
        <v>404</v>
      </c>
      <c r="BI40">
        <v>30636</v>
      </c>
      <c r="BJ40">
        <v>31783</v>
      </c>
      <c r="BK40">
        <v>75</v>
      </c>
      <c r="BL40">
        <v>83</v>
      </c>
      <c r="BM40">
        <v>5</v>
      </c>
      <c r="BN40">
        <v>106</v>
      </c>
      <c r="BO40">
        <v>0</v>
      </c>
      <c r="BP40">
        <v>29</v>
      </c>
      <c r="BQ40">
        <v>201</v>
      </c>
      <c r="BR40">
        <v>89</v>
      </c>
      <c r="BS40">
        <v>111</v>
      </c>
      <c r="BT40">
        <v>1046</v>
      </c>
      <c r="BU40">
        <v>31</v>
      </c>
      <c r="BV40">
        <v>2</v>
      </c>
      <c r="BW40">
        <v>0</v>
      </c>
      <c r="BX40">
        <v>38</v>
      </c>
      <c r="BY40">
        <v>73</v>
      </c>
      <c r="BZ40">
        <v>91</v>
      </c>
      <c r="CA40">
        <v>10</v>
      </c>
      <c r="CB40">
        <v>61</v>
      </c>
      <c r="CC40">
        <v>0</v>
      </c>
      <c r="CD40">
        <v>0</v>
      </c>
      <c r="CE40">
        <v>2</v>
      </c>
      <c r="CF40">
        <v>0</v>
      </c>
      <c r="CG40">
        <v>413</v>
      </c>
      <c r="CH40">
        <v>204490</v>
      </c>
    </row>
    <row r="41" spans="1:86" x14ac:dyDescent="0.55000000000000004">
      <c r="A41">
        <v>2018</v>
      </c>
      <c r="B41">
        <v>192</v>
      </c>
      <c r="C41">
        <v>1606</v>
      </c>
      <c r="D41">
        <v>33</v>
      </c>
      <c r="E41">
        <v>32</v>
      </c>
      <c r="F41">
        <v>888</v>
      </c>
      <c r="G41">
        <v>0</v>
      </c>
      <c r="H41">
        <v>73</v>
      </c>
      <c r="I41">
        <v>77</v>
      </c>
      <c r="J41">
        <v>326</v>
      </c>
      <c r="K41">
        <v>155</v>
      </c>
      <c r="L41">
        <v>901</v>
      </c>
      <c r="M41">
        <v>179</v>
      </c>
      <c r="N41">
        <v>895</v>
      </c>
      <c r="O41">
        <v>2677</v>
      </c>
      <c r="P41">
        <v>613</v>
      </c>
      <c r="Q41">
        <v>299</v>
      </c>
      <c r="R41">
        <v>277</v>
      </c>
      <c r="S41">
        <v>1211</v>
      </c>
      <c r="T41">
        <v>1905</v>
      </c>
      <c r="U41">
        <v>2</v>
      </c>
      <c r="V41">
        <v>82</v>
      </c>
      <c r="W41">
        <v>27</v>
      </c>
      <c r="X41">
        <v>1118</v>
      </c>
      <c r="Y41">
        <v>252</v>
      </c>
      <c r="Z41">
        <v>705</v>
      </c>
      <c r="AA41">
        <v>250</v>
      </c>
      <c r="AB41">
        <v>29</v>
      </c>
      <c r="AC41">
        <v>2683</v>
      </c>
      <c r="AD41">
        <v>85</v>
      </c>
      <c r="AE41">
        <v>1474</v>
      </c>
      <c r="AF41">
        <v>110</v>
      </c>
      <c r="AG41">
        <v>1257</v>
      </c>
      <c r="AH41">
        <v>65</v>
      </c>
      <c r="AI41">
        <v>46</v>
      </c>
      <c r="AJ41">
        <v>0</v>
      </c>
      <c r="AK41">
        <v>0</v>
      </c>
      <c r="AL41">
        <v>586</v>
      </c>
      <c r="AM41">
        <v>11</v>
      </c>
      <c r="AN41">
        <v>107</v>
      </c>
      <c r="AO41">
        <v>72</v>
      </c>
      <c r="AP41">
        <v>82</v>
      </c>
      <c r="AQ41">
        <v>191</v>
      </c>
      <c r="AR41">
        <v>13</v>
      </c>
      <c r="AS41">
        <v>2509</v>
      </c>
      <c r="AT41">
        <v>22357</v>
      </c>
      <c r="AU41">
        <v>838</v>
      </c>
      <c r="AV41">
        <v>242</v>
      </c>
      <c r="AW41">
        <v>4574</v>
      </c>
      <c r="AX41">
        <v>7569</v>
      </c>
      <c r="AY41">
        <v>25958</v>
      </c>
      <c r="AZ41">
        <v>12082</v>
      </c>
      <c r="BA41">
        <v>397</v>
      </c>
      <c r="BB41">
        <v>8</v>
      </c>
      <c r="BC41">
        <v>277</v>
      </c>
      <c r="BD41">
        <v>196</v>
      </c>
      <c r="BE41">
        <v>2653</v>
      </c>
      <c r="BF41">
        <v>13</v>
      </c>
      <c r="BG41">
        <v>0</v>
      </c>
      <c r="BH41">
        <v>186</v>
      </c>
      <c r="BI41">
        <v>47972</v>
      </c>
      <c r="BJ41">
        <v>31706</v>
      </c>
      <c r="BK41">
        <v>178</v>
      </c>
      <c r="BL41">
        <v>63</v>
      </c>
      <c r="BM41">
        <v>6</v>
      </c>
      <c r="BN41">
        <v>119</v>
      </c>
      <c r="BO41">
        <v>0</v>
      </c>
      <c r="BP41">
        <v>80</v>
      </c>
      <c r="BQ41">
        <v>267</v>
      </c>
      <c r="BR41">
        <v>105</v>
      </c>
      <c r="BS41">
        <v>21</v>
      </c>
      <c r="BT41">
        <v>1041</v>
      </c>
      <c r="BU41">
        <v>0</v>
      </c>
      <c r="BV41">
        <v>21</v>
      </c>
      <c r="BW41">
        <v>6</v>
      </c>
      <c r="BX41">
        <v>48</v>
      </c>
      <c r="BY41">
        <v>86</v>
      </c>
      <c r="BZ41">
        <v>108</v>
      </c>
      <c r="CA41">
        <v>2</v>
      </c>
      <c r="CB41">
        <v>10</v>
      </c>
      <c r="CC41">
        <v>2</v>
      </c>
      <c r="CD41">
        <v>0</v>
      </c>
      <c r="CE41">
        <v>13</v>
      </c>
      <c r="CF41">
        <v>0</v>
      </c>
      <c r="CG41">
        <v>337</v>
      </c>
      <c r="CH41">
        <v>183636</v>
      </c>
    </row>
    <row r="42" spans="1:86" x14ac:dyDescent="0.55000000000000004">
      <c r="A42">
        <v>2019</v>
      </c>
      <c r="B42">
        <v>2</v>
      </c>
      <c r="C42">
        <v>1139</v>
      </c>
      <c r="D42">
        <v>0</v>
      </c>
      <c r="E42">
        <v>0</v>
      </c>
      <c r="F42">
        <v>154</v>
      </c>
      <c r="G42">
        <v>25</v>
      </c>
      <c r="H42">
        <v>45</v>
      </c>
      <c r="I42">
        <v>11</v>
      </c>
      <c r="J42">
        <v>580</v>
      </c>
      <c r="K42">
        <v>0</v>
      </c>
      <c r="L42">
        <v>44</v>
      </c>
      <c r="M42">
        <v>325</v>
      </c>
      <c r="N42">
        <v>1941</v>
      </c>
      <c r="O42">
        <v>3654</v>
      </c>
      <c r="P42">
        <v>33</v>
      </c>
      <c r="Q42">
        <v>1892</v>
      </c>
      <c r="R42">
        <v>540</v>
      </c>
      <c r="S42">
        <v>2461</v>
      </c>
      <c r="T42">
        <v>3129</v>
      </c>
      <c r="U42">
        <v>0</v>
      </c>
      <c r="V42">
        <v>206</v>
      </c>
      <c r="W42">
        <v>92</v>
      </c>
      <c r="X42">
        <v>914</v>
      </c>
      <c r="Y42">
        <v>454</v>
      </c>
      <c r="Z42">
        <v>529</v>
      </c>
      <c r="AA42">
        <v>71</v>
      </c>
      <c r="AB42">
        <v>178</v>
      </c>
      <c r="AC42">
        <v>5326</v>
      </c>
      <c r="AD42">
        <v>77</v>
      </c>
      <c r="AE42">
        <v>2965</v>
      </c>
      <c r="AF42">
        <v>306</v>
      </c>
      <c r="AG42">
        <v>540</v>
      </c>
      <c r="AH42">
        <v>116</v>
      </c>
      <c r="AI42">
        <v>235</v>
      </c>
      <c r="AJ42">
        <v>19</v>
      </c>
      <c r="AK42">
        <v>29</v>
      </c>
      <c r="AL42">
        <v>872</v>
      </c>
      <c r="AM42">
        <v>162</v>
      </c>
      <c r="AN42">
        <v>112</v>
      </c>
      <c r="AO42">
        <v>94</v>
      </c>
      <c r="AP42">
        <v>91</v>
      </c>
      <c r="AQ42">
        <v>232</v>
      </c>
      <c r="AR42">
        <v>7</v>
      </c>
      <c r="AS42">
        <v>2266</v>
      </c>
      <c r="AT42">
        <v>35283</v>
      </c>
      <c r="AU42">
        <v>823</v>
      </c>
      <c r="AV42">
        <v>430</v>
      </c>
      <c r="AW42">
        <v>10296</v>
      </c>
      <c r="AX42">
        <v>40098</v>
      </c>
      <c r="AY42">
        <v>114153</v>
      </c>
      <c r="AZ42">
        <v>3963</v>
      </c>
      <c r="BA42">
        <v>462</v>
      </c>
      <c r="BB42">
        <v>989</v>
      </c>
      <c r="BC42">
        <v>335</v>
      </c>
      <c r="BD42">
        <v>300</v>
      </c>
      <c r="BE42">
        <v>4127</v>
      </c>
      <c r="BF42">
        <v>86</v>
      </c>
      <c r="BG42">
        <v>388</v>
      </c>
      <c r="BH42">
        <v>183</v>
      </c>
      <c r="BI42">
        <v>46225</v>
      </c>
      <c r="BJ42">
        <v>82494</v>
      </c>
      <c r="BK42">
        <v>18</v>
      </c>
      <c r="BL42">
        <v>298</v>
      </c>
      <c r="BM42">
        <v>11</v>
      </c>
      <c r="BN42">
        <v>85</v>
      </c>
      <c r="BO42">
        <v>2</v>
      </c>
      <c r="BP42">
        <v>36</v>
      </c>
      <c r="BQ42">
        <v>0</v>
      </c>
      <c r="BR42">
        <v>27</v>
      </c>
      <c r="BS42">
        <v>33</v>
      </c>
      <c r="BT42">
        <v>1757</v>
      </c>
      <c r="BU42">
        <v>0</v>
      </c>
      <c r="BV42">
        <v>26</v>
      </c>
      <c r="BW42">
        <v>0</v>
      </c>
      <c r="BX42">
        <v>24</v>
      </c>
      <c r="BY42">
        <v>93</v>
      </c>
      <c r="BZ42">
        <v>77</v>
      </c>
      <c r="CA42">
        <v>4</v>
      </c>
      <c r="CB42">
        <v>13</v>
      </c>
      <c r="CC42">
        <v>29</v>
      </c>
      <c r="CD42">
        <v>0</v>
      </c>
      <c r="CE42">
        <v>0</v>
      </c>
      <c r="CF42">
        <v>0</v>
      </c>
      <c r="CG42">
        <v>649</v>
      </c>
      <c r="CH42">
        <v>375685</v>
      </c>
    </row>
    <row r="43" spans="1:86" x14ac:dyDescent="0.55000000000000004">
      <c r="A43">
        <v>2020</v>
      </c>
      <c r="B43">
        <v>271</v>
      </c>
      <c r="C43">
        <v>4449</v>
      </c>
      <c r="D43">
        <v>18</v>
      </c>
      <c r="E43">
        <v>19</v>
      </c>
      <c r="F43">
        <v>533</v>
      </c>
      <c r="G43">
        <v>38</v>
      </c>
      <c r="H43">
        <v>43</v>
      </c>
      <c r="I43">
        <v>80</v>
      </c>
      <c r="J43">
        <v>555</v>
      </c>
      <c r="K43">
        <v>78</v>
      </c>
      <c r="L43">
        <v>607</v>
      </c>
      <c r="M43">
        <v>317</v>
      </c>
      <c r="N43">
        <v>1821</v>
      </c>
      <c r="O43">
        <v>4557</v>
      </c>
      <c r="P43">
        <v>1573</v>
      </c>
      <c r="Q43">
        <v>1614</v>
      </c>
      <c r="R43">
        <v>561</v>
      </c>
      <c r="S43">
        <v>3025</v>
      </c>
      <c r="T43">
        <v>1970</v>
      </c>
      <c r="U43">
        <v>0</v>
      </c>
      <c r="V43">
        <v>127</v>
      </c>
      <c r="W43">
        <v>16</v>
      </c>
      <c r="X43">
        <v>1217</v>
      </c>
      <c r="Y43">
        <v>423</v>
      </c>
      <c r="Z43">
        <v>421</v>
      </c>
      <c r="AA43">
        <v>296</v>
      </c>
      <c r="AB43">
        <v>227</v>
      </c>
      <c r="AC43">
        <v>6588</v>
      </c>
      <c r="AD43">
        <v>53</v>
      </c>
      <c r="AE43">
        <v>4328</v>
      </c>
      <c r="AF43">
        <v>512</v>
      </c>
      <c r="AG43">
        <v>1430</v>
      </c>
      <c r="AH43">
        <v>56</v>
      </c>
      <c r="AI43">
        <v>42</v>
      </c>
      <c r="AJ43">
        <v>30</v>
      </c>
      <c r="AK43">
        <v>19</v>
      </c>
      <c r="AL43">
        <v>4001</v>
      </c>
      <c r="AM43">
        <v>124</v>
      </c>
      <c r="AN43">
        <v>131</v>
      </c>
      <c r="AO43">
        <v>355</v>
      </c>
      <c r="AP43">
        <v>107</v>
      </c>
      <c r="AQ43">
        <v>1454</v>
      </c>
      <c r="AR43">
        <v>127</v>
      </c>
      <c r="AS43">
        <v>2348</v>
      </c>
      <c r="AT43">
        <v>31707</v>
      </c>
      <c r="AU43">
        <v>780</v>
      </c>
      <c r="AV43">
        <v>400</v>
      </c>
      <c r="AW43">
        <v>6473</v>
      </c>
      <c r="AX43">
        <v>27947</v>
      </c>
      <c r="AY43">
        <v>113292</v>
      </c>
      <c r="AZ43">
        <v>19597</v>
      </c>
      <c r="BA43">
        <v>445</v>
      </c>
      <c r="BB43">
        <v>3602</v>
      </c>
      <c r="BC43">
        <v>381</v>
      </c>
      <c r="BD43">
        <v>274</v>
      </c>
      <c r="BE43">
        <v>4298</v>
      </c>
      <c r="BF43">
        <v>73</v>
      </c>
      <c r="BG43">
        <v>51</v>
      </c>
      <c r="BH43">
        <v>221</v>
      </c>
      <c r="BI43">
        <v>43699</v>
      </c>
      <c r="BJ43">
        <v>45251</v>
      </c>
      <c r="BK43">
        <v>47</v>
      </c>
      <c r="BL43">
        <v>405</v>
      </c>
      <c r="BM43">
        <v>2</v>
      </c>
      <c r="BN43">
        <v>0</v>
      </c>
      <c r="BO43">
        <v>26</v>
      </c>
      <c r="BP43">
        <v>12</v>
      </c>
      <c r="BQ43">
        <v>0</v>
      </c>
      <c r="BR43">
        <v>115</v>
      </c>
      <c r="BS43">
        <v>69</v>
      </c>
      <c r="BT43">
        <v>2952</v>
      </c>
      <c r="BU43">
        <v>36</v>
      </c>
      <c r="BV43">
        <v>25</v>
      </c>
      <c r="BW43">
        <v>0</v>
      </c>
      <c r="BX43">
        <v>28</v>
      </c>
      <c r="BY43">
        <v>48</v>
      </c>
      <c r="BZ43">
        <v>330</v>
      </c>
      <c r="CA43">
        <v>10</v>
      </c>
      <c r="CB43">
        <v>23</v>
      </c>
      <c r="CC43">
        <v>30</v>
      </c>
      <c r="CD43">
        <v>0</v>
      </c>
      <c r="CE43">
        <v>77</v>
      </c>
      <c r="CF43">
        <v>48</v>
      </c>
      <c r="CG43">
        <v>1301</v>
      </c>
      <c r="CH43">
        <v>350636</v>
      </c>
    </row>
    <row r="44" spans="1:86" x14ac:dyDescent="0.55000000000000004">
      <c r="A44">
        <v>2021</v>
      </c>
      <c r="B44">
        <v>186</v>
      </c>
      <c r="C44">
        <v>2002</v>
      </c>
      <c r="D44">
        <v>29</v>
      </c>
      <c r="E44">
        <v>75</v>
      </c>
      <c r="F44">
        <v>192</v>
      </c>
      <c r="G44">
        <v>15</v>
      </c>
      <c r="H44">
        <v>50</v>
      </c>
      <c r="I44">
        <v>151</v>
      </c>
      <c r="J44">
        <v>485</v>
      </c>
      <c r="K44">
        <v>124</v>
      </c>
      <c r="L44">
        <v>926</v>
      </c>
      <c r="M44">
        <v>278</v>
      </c>
      <c r="N44">
        <v>2328</v>
      </c>
      <c r="O44">
        <v>4459</v>
      </c>
      <c r="P44">
        <v>1742</v>
      </c>
      <c r="Q44">
        <v>985</v>
      </c>
      <c r="R44">
        <v>487</v>
      </c>
      <c r="S44">
        <v>2732</v>
      </c>
      <c r="T44">
        <v>2886</v>
      </c>
      <c r="U44">
        <v>2</v>
      </c>
      <c r="V44">
        <v>76</v>
      </c>
      <c r="W44">
        <v>38</v>
      </c>
      <c r="X44">
        <v>1225</v>
      </c>
      <c r="Y44">
        <v>397</v>
      </c>
      <c r="Z44">
        <v>1862</v>
      </c>
      <c r="AA44">
        <v>175</v>
      </c>
      <c r="AB44">
        <v>268</v>
      </c>
      <c r="AC44">
        <v>5724</v>
      </c>
      <c r="AD44">
        <v>196</v>
      </c>
      <c r="AE44">
        <v>2561</v>
      </c>
      <c r="AF44">
        <v>124</v>
      </c>
      <c r="AG44">
        <v>220</v>
      </c>
      <c r="AH44">
        <v>355</v>
      </c>
      <c r="AI44">
        <v>28</v>
      </c>
      <c r="AJ44">
        <v>30</v>
      </c>
      <c r="AK44">
        <v>38</v>
      </c>
      <c r="AL44">
        <v>4136</v>
      </c>
      <c r="AM44">
        <v>34</v>
      </c>
      <c r="AN44">
        <v>111</v>
      </c>
      <c r="AO44">
        <v>30</v>
      </c>
      <c r="AP44">
        <v>139</v>
      </c>
      <c r="AQ44">
        <v>1939</v>
      </c>
      <c r="AR44">
        <v>0</v>
      </c>
      <c r="AS44">
        <v>2197</v>
      </c>
      <c r="AT44">
        <v>36495</v>
      </c>
      <c r="AU44">
        <v>2869</v>
      </c>
      <c r="AV44">
        <v>474</v>
      </c>
      <c r="AW44">
        <v>7880</v>
      </c>
      <c r="AX44">
        <v>45805</v>
      </c>
      <c r="AY44">
        <v>116851</v>
      </c>
      <c r="AZ44">
        <v>22204</v>
      </c>
      <c r="BA44">
        <v>637</v>
      </c>
      <c r="BB44">
        <v>1347</v>
      </c>
      <c r="BC44">
        <v>152</v>
      </c>
      <c r="BD44">
        <v>234</v>
      </c>
      <c r="BE44">
        <v>4292</v>
      </c>
      <c r="BF44">
        <v>31</v>
      </c>
      <c r="BG44">
        <v>37</v>
      </c>
      <c r="BH44">
        <v>139</v>
      </c>
      <c r="BI44">
        <v>36957</v>
      </c>
      <c r="BJ44">
        <v>66917</v>
      </c>
      <c r="BK44">
        <v>88</v>
      </c>
      <c r="BL44">
        <v>265</v>
      </c>
      <c r="BM44">
        <v>11</v>
      </c>
      <c r="BN44">
        <v>0</v>
      </c>
      <c r="BO44">
        <v>5</v>
      </c>
      <c r="BP44">
        <v>151</v>
      </c>
      <c r="BQ44">
        <v>344</v>
      </c>
      <c r="BR44">
        <v>14</v>
      </c>
      <c r="BS44">
        <v>64</v>
      </c>
      <c r="BT44">
        <v>2867</v>
      </c>
      <c r="BU44">
        <v>8</v>
      </c>
      <c r="BV44">
        <v>9</v>
      </c>
      <c r="BW44">
        <v>2</v>
      </c>
      <c r="BX44">
        <v>54</v>
      </c>
      <c r="BY44">
        <v>5</v>
      </c>
      <c r="BZ44">
        <v>29</v>
      </c>
      <c r="CA44">
        <v>9</v>
      </c>
      <c r="CB44">
        <v>38</v>
      </c>
      <c r="CC44">
        <v>3</v>
      </c>
      <c r="CD44">
        <v>0</v>
      </c>
      <c r="CE44">
        <v>3</v>
      </c>
      <c r="CF44">
        <v>0</v>
      </c>
      <c r="CG44">
        <v>623</v>
      </c>
      <c r="CH44">
        <v>389950</v>
      </c>
    </row>
    <row r="45" spans="1:86" x14ac:dyDescent="0.55000000000000004">
      <c r="A45">
        <v>2022</v>
      </c>
      <c r="B45">
        <v>404</v>
      </c>
      <c r="C45">
        <v>2830</v>
      </c>
      <c r="D45">
        <v>2</v>
      </c>
      <c r="E45">
        <v>133</v>
      </c>
      <c r="F45">
        <v>811</v>
      </c>
      <c r="G45">
        <v>43</v>
      </c>
      <c r="H45">
        <v>22</v>
      </c>
      <c r="I45">
        <v>113</v>
      </c>
      <c r="J45">
        <v>565</v>
      </c>
      <c r="K45">
        <v>215</v>
      </c>
      <c r="L45">
        <v>1055</v>
      </c>
      <c r="M45">
        <v>324</v>
      </c>
      <c r="N45">
        <v>2302</v>
      </c>
      <c r="O45">
        <v>6475</v>
      </c>
      <c r="P45">
        <v>1791</v>
      </c>
      <c r="Q45">
        <v>810</v>
      </c>
      <c r="R45">
        <v>571</v>
      </c>
      <c r="S45">
        <v>4948</v>
      </c>
      <c r="T45">
        <v>4279</v>
      </c>
      <c r="U45">
        <v>2</v>
      </c>
      <c r="V45">
        <v>154</v>
      </c>
      <c r="W45">
        <v>24</v>
      </c>
      <c r="X45">
        <v>784</v>
      </c>
      <c r="Y45">
        <v>518</v>
      </c>
      <c r="Z45">
        <v>1956</v>
      </c>
      <c r="AA45">
        <v>810</v>
      </c>
      <c r="AB45">
        <v>32</v>
      </c>
      <c r="AC45">
        <v>14166</v>
      </c>
      <c r="AD45">
        <v>273</v>
      </c>
      <c r="AE45">
        <v>4266</v>
      </c>
      <c r="AF45">
        <v>419</v>
      </c>
      <c r="AG45">
        <v>395</v>
      </c>
      <c r="AH45">
        <v>585</v>
      </c>
      <c r="AI45">
        <v>92</v>
      </c>
      <c r="AJ45">
        <v>0</v>
      </c>
      <c r="AK45">
        <v>19</v>
      </c>
      <c r="AL45">
        <v>6075</v>
      </c>
      <c r="AM45">
        <v>117</v>
      </c>
      <c r="AN45">
        <v>154</v>
      </c>
      <c r="AO45">
        <v>326</v>
      </c>
      <c r="AP45">
        <v>70</v>
      </c>
      <c r="AQ45">
        <v>3470</v>
      </c>
      <c r="AR45">
        <v>27</v>
      </c>
      <c r="AS45">
        <v>1969</v>
      </c>
      <c r="AT45">
        <v>40357</v>
      </c>
      <c r="AU45">
        <v>782</v>
      </c>
      <c r="AV45">
        <v>562</v>
      </c>
      <c r="AW45">
        <v>3820</v>
      </c>
      <c r="AX45">
        <v>28865</v>
      </c>
      <c r="AY45">
        <v>62332</v>
      </c>
      <c r="AZ45">
        <v>14934</v>
      </c>
      <c r="BA45">
        <v>1489</v>
      </c>
      <c r="BB45">
        <v>399</v>
      </c>
      <c r="BC45">
        <v>415</v>
      </c>
      <c r="BD45">
        <v>556</v>
      </c>
      <c r="BE45">
        <v>7744</v>
      </c>
      <c r="BF45">
        <v>88</v>
      </c>
      <c r="BG45">
        <v>42</v>
      </c>
      <c r="BH45">
        <v>280</v>
      </c>
      <c r="BI45">
        <v>83118</v>
      </c>
      <c r="BJ45">
        <v>109343</v>
      </c>
      <c r="BK45">
        <v>11</v>
      </c>
      <c r="BL45">
        <v>279</v>
      </c>
      <c r="BM45">
        <v>24</v>
      </c>
      <c r="BN45">
        <v>33</v>
      </c>
      <c r="BO45">
        <v>0</v>
      </c>
      <c r="BP45">
        <v>49</v>
      </c>
      <c r="BQ45">
        <v>585</v>
      </c>
      <c r="BR45">
        <v>14</v>
      </c>
      <c r="BS45">
        <v>13</v>
      </c>
      <c r="BT45">
        <v>3908</v>
      </c>
      <c r="BU45">
        <v>15</v>
      </c>
      <c r="BV45">
        <v>26</v>
      </c>
      <c r="BW45">
        <v>0</v>
      </c>
      <c r="BX45">
        <v>30</v>
      </c>
      <c r="BY45">
        <v>75</v>
      </c>
      <c r="BZ45">
        <v>89</v>
      </c>
      <c r="CA45">
        <v>0</v>
      </c>
      <c r="CB45">
        <v>66</v>
      </c>
      <c r="CC45">
        <v>13</v>
      </c>
      <c r="CD45">
        <v>0</v>
      </c>
      <c r="CE45">
        <v>0</v>
      </c>
      <c r="CF45">
        <v>5</v>
      </c>
      <c r="CG45">
        <v>818</v>
      </c>
      <c r="CH45">
        <v>425575</v>
      </c>
    </row>
    <row r="46" spans="1:86" x14ac:dyDescent="0.55000000000000004">
      <c r="A46">
        <v>2023</v>
      </c>
      <c r="B46">
        <v>159</v>
      </c>
      <c r="C46">
        <v>1621</v>
      </c>
      <c r="D46">
        <v>0</v>
      </c>
      <c r="E46">
        <v>12</v>
      </c>
      <c r="F46">
        <v>578</v>
      </c>
      <c r="G46">
        <v>9</v>
      </c>
      <c r="H46">
        <v>11</v>
      </c>
      <c r="I46">
        <v>102</v>
      </c>
      <c r="J46">
        <v>196</v>
      </c>
      <c r="K46">
        <v>117</v>
      </c>
      <c r="L46">
        <v>732</v>
      </c>
      <c r="M46">
        <v>236</v>
      </c>
      <c r="N46">
        <v>1697</v>
      </c>
      <c r="O46">
        <v>4981</v>
      </c>
      <c r="P46">
        <v>1068</v>
      </c>
      <c r="Q46">
        <v>876</v>
      </c>
      <c r="R46">
        <v>412</v>
      </c>
      <c r="S46">
        <v>3462</v>
      </c>
      <c r="T46">
        <v>4063</v>
      </c>
      <c r="U46">
        <v>2</v>
      </c>
      <c r="V46">
        <v>31</v>
      </c>
      <c r="W46">
        <v>34</v>
      </c>
      <c r="X46">
        <v>1164</v>
      </c>
      <c r="Y46">
        <v>685</v>
      </c>
      <c r="Z46">
        <v>1439</v>
      </c>
      <c r="AA46">
        <v>992</v>
      </c>
      <c r="AB46">
        <v>57</v>
      </c>
      <c r="AC46">
        <v>7469</v>
      </c>
      <c r="AD46">
        <v>138</v>
      </c>
      <c r="AE46">
        <v>1754</v>
      </c>
      <c r="AF46">
        <v>463</v>
      </c>
      <c r="AG46">
        <v>282</v>
      </c>
      <c r="AH46">
        <v>98</v>
      </c>
      <c r="AI46">
        <v>122</v>
      </c>
      <c r="AJ46">
        <v>41</v>
      </c>
      <c r="AK46">
        <v>23</v>
      </c>
      <c r="AL46">
        <v>4607</v>
      </c>
      <c r="AM46">
        <v>50</v>
      </c>
      <c r="AN46">
        <v>85</v>
      </c>
      <c r="AO46">
        <v>41</v>
      </c>
      <c r="AP46">
        <v>256</v>
      </c>
      <c r="AQ46">
        <v>2404</v>
      </c>
      <c r="AR46">
        <v>8</v>
      </c>
      <c r="AS46">
        <v>3851</v>
      </c>
      <c r="AT46">
        <v>79909</v>
      </c>
      <c r="AU46">
        <v>968</v>
      </c>
      <c r="AV46">
        <v>296</v>
      </c>
      <c r="AW46">
        <v>23044</v>
      </c>
      <c r="AX46">
        <v>215978</v>
      </c>
      <c r="AY46">
        <v>344599</v>
      </c>
      <c r="AZ46">
        <v>14533</v>
      </c>
      <c r="BA46">
        <v>749</v>
      </c>
      <c r="BB46">
        <v>4645</v>
      </c>
      <c r="BC46">
        <v>683</v>
      </c>
      <c r="BD46">
        <v>788</v>
      </c>
      <c r="BE46">
        <v>4750</v>
      </c>
      <c r="BF46">
        <v>110</v>
      </c>
      <c r="BG46">
        <v>82</v>
      </c>
      <c r="BH46">
        <v>442</v>
      </c>
      <c r="BI46">
        <v>147063</v>
      </c>
      <c r="BJ46">
        <v>126217</v>
      </c>
      <c r="BK46">
        <v>70</v>
      </c>
      <c r="BL46">
        <v>421</v>
      </c>
      <c r="BM46">
        <v>30</v>
      </c>
      <c r="BN46">
        <v>6</v>
      </c>
      <c r="BO46">
        <v>640</v>
      </c>
      <c r="BP46">
        <v>18</v>
      </c>
      <c r="BQ46">
        <v>8</v>
      </c>
      <c r="BR46">
        <v>6</v>
      </c>
      <c r="BS46">
        <v>84</v>
      </c>
      <c r="BT46">
        <v>2698</v>
      </c>
      <c r="BU46">
        <v>3</v>
      </c>
      <c r="BV46">
        <v>0</v>
      </c>
      <c r="BW46">
        <v>5</v>
      </c>
      <c r="BX46">
        <v>19</v>
      </c>
      <c r="BY46">
        <v>76</v>
      </c>
      <c r="BZ46">
        <v>5</v>
      </c>
      <c r="CA46">
        <v>16</v>
      </c>
      <c r="CB46">
        <v>53</v>
      </c>
      <c r="CC46">
        <v>0</v>
      </c>
      <c r="CD46">
        <v>0</v>
      </c>
      <c r="CE46">
        <v>39</v>
      </c>
      <c r="CF46">
        <v>35</v>
      </c>
      <c r="CG46">
        <v>1164</v>
      </c>
      <c r="CH46">
        <v>1016680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9A36-E323-4640-9A53-D32F12E0B207}">
  <dimension ref="A1:CM94"/>
  <sheetViews>
    <sheetView workbookViewId="0">
      <selection activeCell="A2" sqref="A2:XFD2"/>
    </sheetView>
  </sheetViews>
  <sheetFormatPr defaultRowHeight="14.4" x14ac:dyDescent="0.55000000000000004"/>
  <cols>
    <col min="1" max="1" width="4.68359375" bestFit="1" customWidth="1"/>
  </cols>
  <sheetData>
    <row r="1" spans="1:91" x14ac:dyDescent="0.55000000000000004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75</v>
      </c>
      <c r="BS1" t="s">
        <v>76</v>
      </c>
      <c r="BT1" t="s">
        <v>77</v>
      </c>
      <c r="BU1" t="s">
        <v>78</v>
      </c>
      <c r="BV1" t="s">
        <v>79</v>
      </c>
      <c r="BW1" t="s">
        <v>80</v>
      </c>
      <c r="BX1" t="s">
        <v>81</v>
      </c>
      <c r="BY1" t="s">
        <v>82</v>
      </c>
      <c r="BZ1" t="s">
        <v>83</v>
      </c>
      <c r="CA1" t="s">
        <v>84</v>
      </c>
      <c r="CB1" t="s">
        <v>85</v>
      </c>
      <c r="CC1" t="s">
        <v>86</v>
      </c>
      <c r="CD1" t="s">
        <v>87</v>
      </c>
      <c r="CE1" t="s">
        <v>88</v>
      </c>
      <c r="CF1" t="s">
        <v>89</v>
      </c>
      <c r="CG1" t="s">
        <v>90</v>
      </c>
      <c r="CI1" t="s">
        <v>1</v>
      </c>
      <c r="CJ1" t="s">
        <v>2</v>
      </c>
      <c r="CK1" t="s">
        <v>3</v>
      </c>
      <c r="CL1" t="s">
        <v>4</v>
      </c>
      <c r="CM1" t="s">
        <v>92</v>
      </c>
    </row>
    <row r="3" spans="1:91" x14ac:dyDescent="0.55000000000000004">
      <c r="A3">
        <v>1979</v>
      </c>
      <c r="B3">
        <v>350</v>
      </c>
      <c r="C3">
        <v>1800</v>
      </c>
      <c r="D3">
        <v>25</v>
      </c>
      <c r="E3">
        <v>20</v>
      </c>
      <c r="F3">
        <v>450</v>
      </c>
      <c r="G3">
        <v>10</v>
      </c>
      <c r="H3">
        <v>25</v>
      </c>
      <c r="I3">
        <v>15</v>
      </c>
      <c r="J3">
        <v>200</v>
      </c>
      <c r="K3">
        <v>200</v>
      </c>
      <c r="L3">
        <v>750</v>
      </c>
      <c r="M3">
        <v>215.99334071613271</v>
      </c>
      <c r="N3">
        <v>1500</v>
      </c>
      <c r="O3">
        <v>1592.2641661951334</v>
      </c>
      <c r="P3">
        <v>1559.9980446795582</v>
      </c>
      <c r="Q3">
        <v>832.72142725471929</v>
      </c>
      <c r="R3">
        <v>750</v>
      </c>
      <c r="S3">
        <v>750</v>
      </c>
      <c r="T3">
        <v>1800</v>
      </c>
      <c r="U3">
        <v>75</v>
      </c>
      <c r="V3">
        <v>75</v>
      </c>
      <c r="W3">
        <v>200</v>
      </c>
      <c r="X3">
        <v>2244.9461092441366</v>
      </c>
      <c r="Y3">
        <v>200</v>
      </c>
      <c r="Z3">
        <v>900</v>
      </c>
      <c r="AA3">
        <v>376.85039651209604</v>
      </c>
      <c r="AB3">
        <v>350</v>
      </c>
      <c r="AC3">
        <v>3823.2177323179958</v>
      </c>
      <c r="AD3">
        <v>145.66576457745742</v>
      </c>
      <c r="AE3">
        <v>2398.466155855052</v>
      </c>
      <c r="AF3">
        <v>200</v>
      </c>
      <c r="AG3">
        <v>1E-3</v>
      </c>
      <c r="AH3">
        <v>200</v>
      </c>
      <c r="AI3">
        <v>100</v>
      </c>
      <c r="AJ3">
        <v>20</v>
      </c>
      <c r="AK3">
        <v>260</v>
      </c>
      <c r="AL3">
        <v>1500</v>
      </c>
      <c r="AM3">
        <v>425</v>
      </c>
      <c r="AN3">
        <v>175</v>
      </c>
      <c r="AO3">
        <v>15</v>
      </c>
      <c r="AP3">
        <v>20</v>
      </c>
      <c r="AQ3">
        <v>1200</v>
      </c>
      <c r="AR3">
        <v>68.508642602948655</v>
      </c>
      <c r="AS3">
        <v>689.37785651803858</v>
      </c>
      <c r="AT3">
        <v>16453.490138332458</v>
      </c>
      <c r="AU3">
        <v>300</v>
      </c>
      <c r="AV3">
        <v>300</v>
      </c>
      <c r="AW3">
        <v>1000</v>
      </c>
      <c r="AX3">
        <v>700</v>
      </c>
      <c r="AY3">
        <v>6000</v>
      </c>
      <c r="AZ3">
        <v>2978.8280368741812</v>
      </c>
      <c r="BA3">
        <v>50</v>
      </c>
      <c r="BB3">
        <v>0</v>
      </c>
      <c r="BC3">
        <v>300</v>
      </c>
      <c r="BD3">
        <v>50</v>
      </c>
      <c r="BE3">
        <v>3017</v>
      </c>
      <c r="BF3">
        <v>25</v>
      </c>
      <c r="BG3">
        <v>75</v>
      </c>
      <c r="BH3">
        <v>241</v>
      </c>
      <c r="BI3">
        <v>78000</v>
      </c>
      <c r="BJ3">
        <v>50</v>
      </c>
      <c r="BK3">
        <v>250</v>
      </c>
      <c r="BL3">
        <v>15</v>
      </c>
      <c r="BM3">
        <v>0</v>
      </c>
      <c r="BN3">
        <v>27.46571702295369</v>
      </c>
      <c r="BO3">
        <v>22.349101953301908</v>
      </c>
      <c r="BP3">
        <v>10</v>
      </c>
      <c r="BQ3">
        <v>280.73009570554791</v>
      </c>
      <c r="BR3">
        <v>125.39236012601799</v>
      </c>
      <c r="BS3">
        <v>75</v>
      </c>
      <c r="BT3">
        <v>562.6749637168748</v>
      </c>
      <c r="BU3">
        <v>4.5066561869341664</v>
      </c>
      <c r="BV3">
        <v>16.921316502416882</v>
      </c>
      <c r="BW3">
        <v>25</v>
      </c>
      <c r="BX3">
        <v>75</v>
      </c>
      <c r="BY3">
        <v>102.60921194862698</v>
      </c>
      <c r="BZ3">
        <v>128.65540826380146</v>
      </c>
      <c r="CA3">
        <v>25</v>
      </c>
      <c r="CB3">
        <v>19.982343470368477</v>
      </c>
      <c r="CC3">
        <v>20.719518485823201</v>
      </c>
      <c r="CD3">
        <v>3.2704326465414858E-2</v>
      </c>
      <c r="CE3">
        <v>12.3567504534834</v>
      </c>
      <c r="CF3">
        <v>31.363780861747298</v>
      </c>
      <c r="CG3">
        <v>397.25945357539422</v>
      </c>
      <c r="CI3">
        <v>18124.065706663929</v>
      </c>
      <c r="CJ3">
        <v>12379.525250106128</v>
      </c>
      <c r="CK3">
        <v>3505.5086426029488</v>
      </c>
      <c r="CL3">
        <v>27936.518499201116</v>
      </c>
      <c r="CM3">
        <v>78330.730095705498</v>
      </c>
    </row>
    <row r="4" spans="1:91" x14ac:dyDescent="0.55000000000000004">
      <c r="A4">
        <v>1980</v>
      </c>
      <c r="B4">
        <v>350</v>
      </c>
      <c r="C4">
        <v>4000</v>
      </c>
      <c r="D4">
        <v>20</v>
      </c>
      <c r="E4">
        <v>12</v>
      </c>
      <c r="F4">
        <v>500</v>
      </c>
      <c r="G4">
        <v>4</v>
      </c>
      <c r="H4">
        <v>0</v>
      </c>
      <c r="I4">
        <v>85</v>
      </c>
      <c r="J4">
        <v>407.10585140440759</v>
      </c>
      <c r="K4">
        <v>250</v>
      </c>
      <c r="L4">
        <v>550</v>
      </c>
      <c r="M4">
        <v>232.56384948685897</v>
      </c>
      <c r="N4">
        <v>1900</v>
      </c>
      <c r="O4">
        <v>2358.9098758446421</v>
      </c>
      <c r="P4">
        <v>823.1479044266606</v>
      </c>
      <c r="Q4">
        <v>555.14761816981286</v>
      </c>
      <c r="R4">
        <v>500</v>
      </c>
      <c r="S4">
        <v>1800</v>
      </c>
      <c r="T4">
        <v>2038</v>
      </c>
      <c r="U4">
        <v>50</v>
      </c>
      <c r="V4">
        <v>50</v>
      </c>
      <c r="W4">
        <v>200</v>
      </c>
      <c r="X4">
        <v>1122.4730546220683</v>
      </c>
      <c r="Y4">
        <v>300</v>
      </c>
      <c r="Z4">
        <v>1000</v>
      </c>
      <c r="AA4">
        <v>500.52325085773788</v>
      </c>
      <c r="AB4">
        <v>350</v>
      </c>
      <c r="AC4">
        <v>5691.0793954649935</v>
      </c>
      <c r="AD4">
        <v>156.84090461428644</v>
      </c>
      <c r="AE4">
        <v>2238.568412131382</v>
      </c>
      <c r="AF4">
        <v>250</v>
      </c>
      <c r="AG4">
        <v>1E-3</v>
      </c>
      <c r="AH4">
        <v>75</v>
      </c>
      <c r="AI4">
        <v>75</v>
      </c>
      <c r="AJ4">
        <v>75</v>
      </c>
      <c r="AK4">
        <v>150</v>
      </c>
      <c r="AL4">
        <v>2500</v>
      </c>
      <c r="AM4">
        <v>600</v>
      </c>
      <c r="AN4">
        <v>200</v>
      </c>
      <c r="AO4">
        <v>15</v>
      </c>
      <c r="AP4">
        <v>45</v>
      </c>
      <c r="AQ4">
        <v>750</v>
      </c>
      <c r="AR4">
        <v>68.508642602948655</v>
      </c>
      <c r="AS4">
        <v>689.37785651803858</v>
      </c>
      <c r="AT4">
        <v>5722.5817857792035</v>
      </c>
      <c r="AU4">
        <v>250</v>
      </c>
      <c r="AV4">
        <v>360</v>
      </c>
      <c r="AW4">
        <v>350</v>
      </c>
      <c r="AX4">
        <v>400</v>
      </c>
      <c r="AY4">
        <v>3000</v>
      </c>
      <c r="AZ4">
        <v>1226.774822872633</v>
      </c>
      <c r="BA4">
        <v>250</v>
      </c>
      <c r="BB4">
        <v>75</v>
      </c>
      <c r="BC4">
        <v>710</v>
      </c>
      <c r="BD4">
        <v>200</v>
      </c>
      <c r="BE4">
        <v>6180</v>
      </c>
      <c r="BF4">
        <v>200</v>
      </c>
      <c r="BG4">
        <v>100</v>
      </c>
      <c r="BH4">
        <v>340</v>
      </c>
      <c r="BI4">
        <v>52000</v>
      </c>
      <c r="BJ4">
        <v>50</v>
      </c>
      <c r="BK4">
        <v>200</v>
      </c>
      <c r="BL4">
        <v>20</v>
      </c>
      <c r="BM4">
        <v>10</v>
      </c>
      <c r="BN4">
        <v>11.311243790783161</v>
      </c>
      <c r="BO4">
        <v>24.063673285488282</v>
      </c>
      <c r="BP4">
        <v>21.363533095046325</v>
      </c>
      <c r="BQ4">
        <v>187.21334377288622</v>
      </c>
      <c r="BR4">
        <v>135.01217153483822</v>
      </c>
      <c r="BS4">
        <v>20</v>
      </c>
      <c r="BT4">
        <v>747.33078330936598</v>
      </c>
      <c r="BU4">
        <v>5.9856277877367807</v>
      </c>
      <c r="BV4">
        <v>18.219480707784864</v>
      </c>
      <c r="BW4">
        <v>2.5818061636996719</v>
      </c>
      <c r="BX4">
        <v>25</v>
      </c>
      <c r="BY4">
        <v>110.48115300437749</v>
      </c>
      <c r="BZ4">
        <v>138.5255531671969</v>
      </c>
      <c r="CA4">
        <v>8.9997937146923235</v>
      </c>
      <c r="CB4">
        <v>0</v>
      </c>
      <c r="CC4">
        <v>22.309071949167151</v>
      </c>
      <c r="CD4">
        <v>4.3437066674432381E-2</v>
      </c>
      <c r="CE4">
        <v>5.0888974325488077</v>
      </c>
      <c r="CF4">
        <v>33.769937478102193</v>
      </c>
      <c r="CG4">
        <v>527.63004889433012</v>
      </c>
      <c r="CI4">
        <v>19514.502044922116</v>
      </c>
      <c r="CJ4">
        <v>16442.175143259232</v>
      </c>
      <c r="CK4">
        <v>7528.5086426029484</v>
      </c>
      <c r="CL4">
        <v>11505.134606393207</v>
      </c>
      <c r="CM4">
        <v>52237.213343772943</v>
      </c>
    </row>
    <row r="5" spans="1:91" x14ac:dyDescent="0.55000000000000004">
      <c r="A5">
        <v>1981</v>
      </c>
      <c r="B5">
        <v>300</v>
      </c>
      <c r="C5">
        <v>1800</v>
      </c>
      <c r="D5">
        <v>20</v>
      </c>
      <c r="E5">
        <v>5</v>
      </c>
      <c r="F5">
        <v>400</v>
      </c>
      <c r="G5">
        <v>10</v>
      </c>
      <c r="H5">
        <v>10</v>
      </c>
      <c r="I5">
        <v>20</v>
      </c>
      <c r="J5">
        <v>150</v>
      </c>
      <c r="K5">
        <v>140</v>
      </c>
      <c r="L5">
        <v>510</v>
      </c>
      <c r="M5">
        <v>10</v>
      </c>
      <c r="N5">
        <v>1335</v>
      </c>
      <c r="O5">
        <v>1486.1132217821246</v>
      </c>
      <c r="P5">
        <v>730.21185070106981</v>
      </c>
      <c r="Q5">
        <v>488.5299039894353</v>
      </c>
      <c r="R5">
        <v>175</v>
      </c>
      <c r="S5">
        <v>140</v>
      </c>
      <c r="T5">
        <v>2814</v>
      </c>
      <c r="U5">
        <v>25</v>
      </c>
      <c r="V5">
        <v>32</v>
      </c>
      <c r="W5">
        <v>150</v>
      </c>
      <c r="X5">
        <v>2095.2830352945275</v>
      </c>
      <c r="Y5">
        <v>300</v>
      </c>
      <c r="Z5">
        <v>800</v>
      </c>
      <c r="AA5">
        <v>300</v>
      </c>
      <c r="AB5">
        <v>200</v>
      </c>
      <c r="AC5">
        <v>4155.0052492596551</v>
      </c>
      <c r="AD5">
        <v>114.2449271206747</v>
      </c>
      <c r="AE5">
        <v>959.38646234202088</v>
      </c>
      <c r="AF5">
        <v>200</v>
      </c>
      <c r="AG5">
        <v>1E-3</v>
      </c>
      <c r="AH5">
        <v>400</v>
      </c>
      <c r="AI5">
        <v>100</v>
      </c>
      <c r="AJ5">
        <v>30</v>
      </c>
      <c r="AK5">
        <v>200</v>
      </c>
      <c r="AL5">
        <v>3000</v>
      </c>
      <c r="AM5">
        <v>1000</v>
      </c>
      <c r="AN5">
        <v>200</v>
      </c>
      <c r="AO5">
        <v>100</v>
      </c>
      <c r="AP5">
        <v>110</v>
      </c>
      <c r="AQ5">
        <v>2250</v>
      </c>
      <c r="AR5">
        <v>54.806914082358922</v>
      </c>
      <c r="AS5">
        <v>689.37785651803858</v>
      </c>
      <c r="AT5">
        <v>8247.7248755065393</v>
      </c>
      <c r="AU5">
        <v>250</v>
      </c>
      <c r="AV5">
        <v>300</v>
      </c>
      <c r="AW5">
        <v>700</v>
      </c>
      <c r="AX5">
        <v>400</v>
      </c>
      <c r="AY5">
        <v>6000</v>
      </c>
      <c r="AZ5">
        <v>1917.4467001159867</v>
      </c>
      <c r="BA5">
        <v>25</v>
      </c>
      <c r="BB5">
        <v>25</v>
      </c>
      <c r="BC5">
        <v>200</v>
      </c>
      <c r="BD5">
        <v>100</v>
      </c>
      <c r="BE5">
        <v>3258</v>
      </c>
      <c r="BF5">
        <v>30</v>
      </c>
      <c r="BG5">
        <v>20</v>
      </c>
      <c r="BH5">
        <v>135</v>
      </c>
      <c r="BI5">
        <v>104000</v>
      </c>
      <c r="BJ5">
        <v>50</v>
      </c>
      <c r="BK5">
        <v>325</v>
      </c>
      <c r="BL5">
        <v>0</v>
      </c>
      <c r="BM5">
        <v>15</v>
      </c>
      <c r="BN5">
        <v>0</v>
      </c>
      <c r="BO5">
        <v>0</v>
      </c>
      <c r="BP5">
        <v>0</v>
      </c>
      <c r="BQ5">
        <v>374.2468476382096</v>
      </c>
      <c r="BR5">
        <v>98.344597892587203</v>
      </c>
      <c r="BS5">
        <v>100</v>
      </c>
      <c r="BT5">
        <v>713.63525795501175</v>
      </c>
      <c r="BU5">
        <v>5.7157488032390678</v>
      </c>
      <c r="BV5">
        <v>13.271303495451919</v>
      </c>
      <c r="BW5">
        <v>2</v>
      </c>
      <c r="BX5">
        <v>13</v>
      </c>
      <c r="BY5">
        <v>80.475889272851745</v>
      </c>
      <c r="BZ5">
        <v>100.90379014873398</v>
      </c>
      <c r="CA5">
        <v>8.5940125210494021</v>
      </c>
      <c r="CB5">
        <v>25</v>
      </c>
      <c r="CC5">
        <v>16.250214223326612</v>
      </c>
      <c r="CD5">
        <v>4.147858347778715E-2</v>
      </c>
      <c r="CE5">
        <v>7.9539369469783265</v>
      </c>
      <c r="CF5">
        <v>24.598455712452594</v>
      </c>
      <c r="CG5">
        <v>503.84035350468048</v>
      </c>
      <c r="CI5">
        <v>14214.613651975256</v>
      </c>
      <c r="CJ5">
        <v>15700.833100627113</v>
      </c>
      <c r="CK5">
        <v>3772.8069140823591</v>
      </c>
      <c r="CL5">
        <v>17982.503369087543</v>
      </c>
      <c r="CM5">
        <v>104424.24684763818</v>
      </c>
    </row>
    <row r="6" spans="1:91" x14ac:dyDescent="0.55000000000000004">
      <c r="A6">
        <v>1982</v>
      </c>
      <c r="B6">
        <v>570</v>
      </c>
      <c r="C6">
        <v>1800</v>
      </c>
      <c r="D6">
        <v>15</v>
      </c>
      <c r="E6">
        <v>40</v>
      </c>
      <c r="F6">
        <v>900</v>
      </c>
      <c r="G6">
        <v>40</v>
      </c>
      <c r="H6">
        <v>20</v>
      </c>
      <c r="I6">
        <v>50</v>
      </c>
      <c r="J6">
        <v>368.21943846014699</v>
      </c>
      <c r="K6">
        <v>175</v>
      </c>
      <c r="L6">
        <v>300</v>
      </c>
      <c r="M6">
        <v>80</v>
      </c>
      <c r="N6">
        <v>1800</v>
      </c>
      <c r="O6">
        <v>1651.2369130912496</v>
      </c>
      <c r="P6">
        <v>1548.9342287598452</v>
      </c>
      <c r="Q6">
        <v>499.63285635283154</v>
      </c>
      <c r="R6">
        <v>300</v>
      </c>
      <c r="S6">
        <v>600</v>
      </c>
      <c r="T6">
        <v>1590</v>
      </c>
      <c r="U6">
        <v>12.223195747639609</v>
      </c>
      <c r="V6">
        <v>65</v>
      </c>
      <c r="W6">
        <v>150</v>
      </c>
      <c r="X6">
        <v>2244.9461092441366</v>
      </c>
      <c r="Y6">
        <v>325</v>
      </c>
      <c r="Z6">
        <v>1000</v>
      </c>
      <c r="AA6">
        <v>400</v>
      </c>
      <c r="AB6">
        <v>365</v>
      </c>
      <c r="AC6">
        <v>6018.0588426205231</v>
      </c>
      <c r="AD6">
        <v>141.85959161585455</v>
      </c>
      <c r="AE6">
        <v>879.4375904801858</v>
      </c>
      <c r="AF6">
        <v>297.5037897595941</v>
      </c>
      <c r="AG6">
        <v>1E-3</v>
      </c>
      <c r="AH6">
        <v>80</v>
      </c>
      <c r="AI6">
        <v>150</v>
      </c>
      <c r="AJ6">
        <v>50</v>
      </c>
      <c r="AK6">
        <v>250</v>
      </c>
      <c r="AL6">
        <v>3000</v>
      </c>
      <c r="AM6">
        <v>850</v>
      </c>
      <c r="AN6">
        <v>375</v>
      </c>
      <c r="AO6">
        <v>0</v>
      </c>
      <c r="AP6">
        <v>150</v>
      </c>
      <c r="AQ6">
        <v>2500</v>
      </c>
      <c r="AR6">
        <v>13.701728520589731</v>
      </c>
      <c r="AS6">
        <v>689.37785651803858</v>
      </c>
      <c r="AT6">
        <v>2894.0016513637815</v>
      </c>
      <c r="AU6">
        <v>400</v>
      </c>
      <c r="AV6">
        <v>700</v>
      </c>
      <c r="AW6">
        <v>500</v>
      </c>
      <c r="AX6">
        <v>100</v>
      </c>
      <c r="AY6">
        <v>3500</v>
      </c>
      <c r="AZ6">
        <v>924.49352820342835</v>
      </c>
      <c r="BA6">
        <v>600</v>
      </c>
      <c r="BB6">
        <v>150</v>
      </c>
      <c r="BC6">
        <v>800</v>
      </c>
      <c r="BD6">
        <v>200</v>
      </c>
      <c r="BE6">
        <v>4737</v>
      </c>
      <c r="BF6">
        <v>16</v>
      </c>
      <c r="BG6">
        <v>50</v>
      </c>
      <c r="BH6">
        <v>475</v>
      </c>
      <c r="BI6">
        <v>114400</v>
      </c>
      <c r="BJ6">
        <v>56</v>
      </c>
      <c r="BK6">
        <v>300</v>
      </c>
      <c r="BL6">
        <v>65.687009288376217</v>
      </c>
      <c r="BM6">
        <v>5</v>
      </c>
      <c r="BN6">
        <v>8.5241166394526982</v>
      </c>
      <c r="BO6">
        <v>0</v>
      </c>
      <c r="BP6">
        <v>20</v>
      </c>
      <c r="BQ6">
        <v>411.67512920018186</v>
      </c>
      <c r="BR6">
        <v>122.11592099780106</v>
      </c>
      <c r="BS6">
        <v>20</v>
      </c>
      <c r="BT6">
        <v>805.37906861467263</v>
      </c>
      <c r="BU6">
        <v>25</v>
      </c>
      <c r="BV6">
        <v>16.479171036506973</v>
      </c>
      <c r="BW6">
        <v>2.7823457696420082</v>
      </c>
      <c r="BX6">
        <v>15</v>
      </c>
      <c r="BY6">
        <v>99.928084991561036</v>
      </c>
      <c r="BZ6">
        <v>125.2937073334688</v>
      </c>
      <c r="CA6">
        <v>9.6988450650541385</v>
      </c>
      <c r="CB6">
        <v>25</v>
      </c>
      <c r="CC6">
        <v>20.178127917717294</v>
      </c>
      <c r="CD6">
        <v>4.6811004019790325E-2</v>
      </c>
      <c r="CE6">
        <v>3.8349766023612508</v>
      </c>
      <c r="CF6">
        <v>30.544261086212519</v>
      </c>
      <c r="CG6">
        <v>568.61326582839308</v>
      </c>
      <c r="CI6">
        <v>17650.493010655886</v>
      </c>
      <c r="CJ6">
        <v>17719.30716440954</v>
      </c>
      <c r="CK6">
        <v>6650.7017285205893</v>
      </c>
      <c r="CL6">
        <v>8670.2321293270634</v>
      </c>
      <c r="CM6">
        <v>114867.67512920024</v>
      </c>
    </row>
    <row r="7" spans="1:91" x14ac:dyDescent="0.55000000000000004">
      <c r="A7">
        <v>1983</v>
      </c>
      <c r="B7">
        <v>700</v>
      </c>
      <c r="C7">
        <v>4300</v>
      </c>
      <c r="D7">
        <v>100</v>
      </c>
      <c r="E7">
        <v>45</v>
      </c>
      <c r="F7">
        <v>1100</v>
      </c>
      <c r="G7">
        <v>15</v>
      </c>
      <c r="H7">
        <v>10</v>
      </c>
      <c r="I7">
        <v>10</v>
      </c>
      <c r="J7">
        <v>609.26383803971703</v>
      </c>
      <c r="K7">
        <v>125</v>
      </c>
      <c r="L7">
        <v>1000</v>
      </c>
      <c r="M7">
        <v>75</v>
      </c>
      <c r="N7">
        <v>2000</v>
      </c>
      <c r="O7">
        <v>5071.6562330659808</v>
      </c>
      <c r="P7">
        <v>857.44573377777147</v>
      </c>
      <c r="Q7">
        <v>866.03028434490807</v>
      </c>
      <c r="R7">
        <v>250</v>
      </c>
      <c r="S7">
        <v>475</v>
      </c>
      <c r="T7">
        <v>1114</v>
      </c>
      <c r="U7">
        <v>0</v>
      </c>
      <c r="V7">
        <v>50</v>
      </c>
      <c r="W7">
        <v>75</v>
      </c>
      <c r="X7">
        <v>5687.1968100851454</v>
      </c>
      <c r="Y7">
        <v>900</v>
      </c>
      <c r="Z7">
        <v>1500</v>
      </c>
      <c r="AA7">
        <v>700</v>
      </c>
      <c r="AB7">
        <v>300</v>
      </c>
      <c r="AC7">
        <v>6778.5555483115686</v>
      </c>
      <c r="AD7">
        <v>234.72394508031073</v>
      </c>
      <c r="AE7">
        <v>1598.9774372367015</v>
      </c>
      <c r="AF7">
        <v>330.48018750396608</v>
      </c>
      <c r="AG7">
        <v>1E-3</v>
      </c>
      <c r="AH7">
        <v>210</v>
      </c>
      <c r="AI7">
        <v>70</v>
      </c>
      <c r="AJ7">
        <v>24</v>
      </c>
      <c r="AK7">
        <v>300</v>
      </c>
      <c r="AL7">
        <v>4000</v>
      </c>
      <c r="AM7">
        <v>700</v>
      </c>
      <c r="AN7">
        <v>175</v>
      </c>
      <c r="AO7">
        <v>65</v>
      </c>
      <c r="AP7">
        <v>20</v>
      </c>
      <c r="AQ7">
        <v>2500</v>
      </c>
      <c r="AR7">
        <v>13.701728520589731</v>
      </c>
      <c r="AS7">
        <v>426.26581142709978</v>
      </c>
      <c r="AT7">
        <v>5396</v>
      </c>
      <c r="AU7">
        <v>250</v>
      </c>
      <c r="AV7">
        <v>300</v>
      </c>
      <c r="AW7">
        <v>250</v>
      </c>
      <c r="AX7">
        <v>100</v>
      </c>
      <c r="AY7">
        <v>3000</v>
      </c>
      <c r="AZ7">
        <v>1102.483726467389</v>
      </c>
      <c r="BA7">
        <v>162</v>
      </c>
      <c r="BB7">
        <v>32</v>
      </c>
      <c r="BC7">
        <v>547</v>
      </c>
      <c r="BD7">
        <v>102</v>
      </c>
      <c r="BE7">
        <v>2407</v>
      </c>
      <c r="BF7">
        <v>30</v>
      </c>
      <c r="BG7">
        <v>50</v>
      </c>
      <c r="BH7">
        <v>640</v>
      </c>
      <c r="BI7">
        <v>31200</v>
      </c>
      <c r="BJ7">
        <v>100</v>
      </c>
      <c r="BK7">
        <v>300</v>
      </c>
      <c r="BL7">
        <v>108.68714469759897</v>
      </c>
      <c r="BM7">
        <v>10</v>
      </c>
      <c r="BN7">
        <v>10.165241389811642</v>
      </c>
      <c r="BO7">
        <v>0</v>
      </c>
      <c r="BP7">
        <v>0</v>
      </c>
      <c r="BQ7">
        <v>112.57978213431967</v>
      </c>
      <c r="BR7">
        <v>202.0556411253331</v>
      </c>
      <c r="BS7">
        <v>75</v>
      </c>
      <c r="BT7">
        <v>894.65020201129448</v>
      </c>
      <c r="BU7">
        <v>15</v>
      </c>
      <c r="BV7">
        <v>27.266792419764776</v>
      </c>
      <c r="BW7">
        <v>0</v>
      </c>
      <c r="BX7">
        <v>10</v>
      </c>
      <c r="BY7">
        <v>165.34316831431195</v>
      </c>
      <c r="BZ7">
        <v>207.31367505052646</v>
      </c>
      <c r="CA7">
        <v>0</v>
      </c>
      <c r="CB7">
        <v>15</v>
      </c>
      <c r="CC7">
        <v>33.387166389194796</v>
      </c>
      <c r="CD7">
        <v>5.1999705275049615E-2</v>
      </c>
      <c r="CE7">
        <v>4.5733141082152997</v>
      </c>
      <c r="CF7">
        <v>50.539194283973558</v>
      </c>
      <c r="CG7">
        <v>631.6404199760276</v>
      </c>
      <c r="CI7">
        <v>29204.887063911243</v>
      </c>
      <c r="CJ7">
        <v>19683.379357508133</v>
      </c>
      <c r="CK7">
        <v>3283.7017285205898</v>
      </c>
      <c r="CL7">
        <v>10339.488093392516</v>
      </c>
      <c r="CM7">
        <v>31412.579782134293</v>
      </c>
    </row>
    <row r="8" spans="1:91" x14ac:dyDescent="0.55000000000000004">
      <c r="A8">
        <v>1984</v>
      </c>
      <c r="B8">
        <v>1200</v>
      </c>
      <c r="C8">
        <v>5814</v>
      </c>
      <c r="D8">
        <v>250</v>
      </c>
      <c r="E8">
        <v>60</v>
      </c>
      <c r="F8">
        <v>1750</v>
      </c>
      <c r="G8">
        <v>12</v>
      </c>
      <c r="H8">
        <v>45</v>
      </c>
      <c r="I8">
        <v>130</v>
      </c>
      <c r="J8">
        <v>150</v>
      </c>
      <c r="K8">
        <v>400</v>
      </c>
      <c r="L8">
        <v>1500</v>
      </c>
      <c r="M8">
        <v>200</v>
      </c>
      <c r="N8">
        <v>1800</v>
      </c>
      <c r="O8">
        <v>5805.2772044536641</v>
      </c>
      <c r="P8">
        <v>1604.253308358411</v>
      </c>
      <c r="Q8">
        <v>388.60333271886901</v>
      </c>
      <c r="R8">
        <v>755.00563057557508</v>
      </c>
      <c r="S8">
        <v>500</v>
      </c>
      <c r="T8">
        <v>2099</v>
      </c>
      <c r="U8">
        <v>0</v>
      </c>
      <c r="V8">
        <v>300</v>
      </c>
      <c r="W8">
        <v>150</v>
      </c>
      <c r="X8">
        <v>6061.3544949591687</v>
      </c>
      <c r="Y8">
        <v>900</v>
      </c>
      <c r="Z8">
        <v>1800</v>
      </c>
      <c r="AA8">
        <v>600</v>
      </c>
      <c r="AB8">
        <v>250</v>
      </c>
      <c r="AC8">
        <v>4815.5793936241125</v>
      </c>
      <c r="AD8">
        <v>292.33491422316672</v>
      </c>
      <c r="AE8">
        <v>1519.0285653748663</v>
      </c>
      <c r="AF8">
        <v>300</v>
      </c>
      <c r="AG8">
        <v>1E-3</v>
      </c>
      <c r="AH8">
        <v>582</v>
      </c>
      <c r="AI8">
        <v>138</v>
      </c>
      <c r="AJ8">
        <v>157</v>
      </c>
      <c r="AK8">
        <v>400</v>
      </c>
      <c r="AL8">
        <v>2800</v>
      </c>
      <c r="AM8">
        <v>1500</v>
      </c>
      <c r="AN8">
        <v>500</v>
      </c>
      <c r="AO8">
        <v>75</v>
      </c>
      <c r="AP8">
        <v>100</v>
      </c>
      <c r="AQ8">
        <v>1200</v>
      </c>
      <c r="AR8">
        <v>137.01728520589731</v>
      </c>
      <c r="AS8">
        <v>948.08896061752603</v>
      </c>
      <c r="AT8">
        <v>7582</v>
      </c>
      <c r="AU8">
        <v>775</v>
      </c>
      <c r="AV8">
        <v>850</v>
      </c>
      <c r="AW8">
        <v>650</v>
      </c>
      <c r="AX8">
        <v>250</v>
      </c>
      <c r="AY8">
        <v>6000</v>
      </c>
      <c r="AZ8">
        <v>1848.1896789072709</v>
      </c>
      <c r="BA8">
        <v>1626</v>
      </c>
      <c r="BB8">
        <v>818</v>
      </c>
      <c r="BC8">
        <v>598</v>
      </c>
      <c r="BD8">
        <v>256</v>
      </c>
      <c r="BE8">
        <v>4679</v>
      </c>
      <c r="BF8">
        <v>50</v>
      </c>
      <c r="BG8">
        <v>30</v>
      </c>
      <c r="BH8">
        <v>350</v>
      </c>
      <c r="BI8">
        <v>122401</v>
      </c>
      <c r="BJ8">
        <v>658</v>
      </c>
      <c r="BK8">
        <v>0.01</v>
      </c>
      <c r="BL8">
        <v>15</v>
      </c>
      <c r="BM8">
        <v>11</v>
      </c>
      <c r="BN8">
        <v>17.040881211416774</v>
      </c>
      <c r="BO8">
        <v>44.85215054776436</v>
      </c>
      <c r="BP8">
        <v>15</v>
      </c>
      <c r="BQ8">
        <v>442.61838369543909</v>
      </c>
      <c r="BR8">
        <v>251.64845664327572</v>
      </c>
      <c r="BS8">
        <v>50</v>
      </c>
      <c r="BT8">
        <v>762.684393513705</v>
      </c>
      <c r="BU8">
        <v>6.1086001019163332</v>
      </c>
      <c r="BV8">
        <v>33.959191596091912</v>
      </c>
      <c r="BW8">
        <v>0</v>
      </c>
      <c r="BX8">
        <v>0</v>
      </c>
      <c r="BY8">
        <v>205.9252238198919</v>
      </c>
      <c r="BZ8">
        <v>258.19702967436541</v>
      </c>
      <c r="CA8">
        <v>0</v>
      </c>
      <c r="CB8">
        <v>27.085302338685633</v>
      </c>
      <c r="CC8">
        <v>41.581758602431442</v>
      </c>
      <c r="CD8">
        <v>4.4329463729436386E-2</v>
      </c>
      <c r="CE8">
        <v>7.6666455298055087</v>
      </c>
      <c r="CF8">
        <v>62.943603903974598</v>
      </c>
      <c r="CG8">
        <v>538.46999592146381</v>
      </c>
      <c r="CI8">
        <v>36372.974865451521</v>
      </c>
      <c r="CJ8">
        <v>16779.973014963616</v>
      </c>
      <c r="CK8">
        <v>8214.0172852058968</v>
      </c>
      <c r="CL8">
        <v>17332.986166266022</v>
      </c>
      <c r="CM8">
        <v>123501.61838369544</v>
      </c>
    </row>
    <row r="9" spans="1:91" x14ac:dyDescent="0.55000000000000004">
      <c r="A9">
        <v>1985</v>
      </c>
      <c r="B9">
        <v>1200</v>
      </c>
      <c r="C9">
        <v>6050</v>
      </c>
      <c r="D9">
        <v>325</v>
      </c>
      <c r="E9">
        <v>100</v>
      </c>
      <c r="F9">
        <v>2400</v>
      </c>
      <c r="G9">
        <v>5</v>
      </c>
      <c r="H9">
        <v>50</v>
      </c>
      <c r="I9">
        <v>85</v>
      </c>
      <c r="J9">
        <v>400</v>
      </c>
      <c r="K9">
        <v>500</v>
      </c>
      <c r="L9">
        <v>1500</v>
      </c>
      <c r="M9">
        <v>450</v>
      </c>
      <c r="N9">
        <v>5000</v>
      </c>
      <c r="O9">
        <v>8681.3577332890218</v>
      </c>
      <c r="P9">
        <v>4203.1905762183269</v>
      </c>
      <c r="Q9">
        <v>1554.413330875476</v>
      </c>
      <c r="R9">
        <v>350</v>
      </c>
      <c r="S9">
        <v>3000</v>
      </c>
      <c r="T9">
        <v>2591</v>
      </c>
      <c r="U9">
        <v>30</v>
      </c>
      <c r="V9">
        <v>300</v>
      </c>
      <c r="W9">
        <v>175</v>
      </c>
      <c r="X9">
        <v>7483.1536974804549</v>
      </c>
      <c r="Y9">
        <v>1500</v>
      </c>
      <c r="Z9">
        <v>2000</v>
      </c>
      <c r="AA9">
        <v>1150</v>
      </c>
      <c r="AB9">
        <v>250</v>
      </c>
      <c r="AC9">
        <v>5144.5394443433779</v>
      </c>
      <c r="AD9">
        <v>419.79558318570082</v>
      </c>
      <c r="AE9">
        <v>2398.466155855052</v>
      </c>
      <c r="AF9">
        <v>400</v>
      </c>
      <c r="AG9">
        <v>1E-3</v>
      </c>
      <c r="AH9">
        <v>956</v>
      </c>
      <c r="AI9">
        <v>225</v>
      </c>
      <c r="AJ9">
        <v>114</v>
      </c>
      <c r="AK9">
        <v>250</v>
      </c>
      <c r="AL9">
        <v>3800</v>
      </c>
      <c r="AM9">
        <v>1300</v>
      </c>
      <c r="AN9">
        <v>525</v>
      </c>
      <c r="AO9">
        <v>50</v>
      </c>
      <c r="AP9">
        <v>250</v>
      </c>
      <c r="AQ9">
        <v>1500</v>
      </c>
      <c r="AR9">
        <v>274.03457041179462</v>
      </c>
      <c r="AS9">
        <v>1204.1153910842427</v>
      </c>
      <c r="AT9">
        <v>10539</v>
      </c>
      <c r="AU9">
        <v>1250</v>
      </c>
      <c r="AV9">
        <v>1670</v>
      </c>
      <c r="AW9">
        <v>750</v>
      </c>
      <c r="AX9">
        <v>450</v>
      </c>
      <c r="AY9">
        <v>7000</v>
      </c>
      <c r="AZ9">
        <v>2408.0261156112438</v>
      </c>
      <c r="BA9">
        <v>1501</v>
      </c>
      <c r="BB9">
        <v>800</v>
      </c>
      <c r="BC9">
        <v>2061</v>
      </c>
      <c r="BD9">
        <v>100</v>
      </c>
      <c r="BE9">
        <v>7088</v>
      </c>
      <c r="BF9">
        <v>240</v>
      </c>
      <c r="BG9">
        <v>200</v>
      </c>
      <c r="BH9">
        <v>283</v>
      </c>
      <c r="BI9">
        <v>175417</v>
      </c>
      <c r="BJ9">
        <v>1492</v>
      </c>
      <c r="BK9">
        <v>0.01</v>
      </c>
      <c r="BL9">
        <v>75</v>
      </c>
      <c r="BM9">
        <v>25</v>
      </c>
      <c r="BN9">
        <v>22.20274653540006</v>
      </c>
      <c r="BO9">
        <v>64.408094210593845</v>
      </c>
      <c r="BP9">
        <v>57.180981304574033</v>
      </c>
      <c r="BQ9">
        <v>636.30596414058652</v>
      </c>
      <c r="BR9">
        <v>361.3694617869005</v>
      </c>
      <c r="BS9">
        <v>30</v>
      </c>
      <c r="BT9">
        <v>1029.0317268659808</v>
      </c>
      <c r="BU9">
        <v>8.241866970227596</v>
      </c>
      <c r="BV9">
        <v>48.765706547502816</v>
      </c>
      <c r="BW9">
        <v>5</v>
      </c>
      <c r="BX9">
        <v>0</v>
      </c>
      <c r="BY9">
        <v>295.71048554304656</v>
      </c>
      <c r="BZ9">
        <v>100</v>
      </c>
      <c r="CA9">
        <v>0</v>
      </c>
      <c r="CB9">
        <v>36.544127132141227</v>
      </c>
      <c r="CC9">
        <v>59.711781771879146</v>
      </c>
      <c r="CD9">
        <v>5.9810355371753242E-2</v>
      </c>
      <c r="CE9">
        <v>9.9889545243110991</v>
      </c>
      <c r="CF9">
        <v>90.387585002957508</v>
      </c>
      <c r="CG9">
        <v>726.51638670068667</v>
      </c>
      <c r="CI9">
        <v>52231.921173071489</v>
      </c>
      <c r="CJ9">
        <v>22639.934362367785</v>
      </c>
      <c r="CK9">
        <v>12074.034570411794</v>
      </c>
      <c r="CL9">
        <v>22583.333207755193</v>
      </c>
      <c r="CM9">
        <v>177545.30596414048</v>
      </c>
    </row>
    <row r="10" spans="1:91" x14ac:dyDescent="0.55000000000000004">
      <c r="A10">
        <v>1986</v>
      </c>
      <c r="B10">
        <v>900</v>
      </c>
      <c r="C10">
        <v>6500</v>
      </c>
      <c r="D10">
        <v>175</v>
      </c>
      <c r="E10">
        <v>125</v>
      </c>
      <c r="F10">
        <v>3000</v>
      </c>
      <c r="G10">
        <v>40</v>
      </c>
      <c r="H10">
        <v>50</v>
      </c>
      <c r="I10">
        <v>150</v>
      </c>
      <c r="J10">
        <v>1000</v>
      </c>
      <c r="K10">
        <v>1000</v>
      </c>
      <c r="L10">
        <v>3000</v>
      </c>
      <c r="M10">
        <v>450</v>
      </c>
      <c r="N10">
        <v>5500</v>
      </c>
      <c r="O10">
        <v>12994.55893493009</v>
      </c>
      <c r="P10">
        <v>4204.2500494910082</v>
      </c>
      <c r="Q10">
        <v>1609.9280926924573</v>
      </c>
      <c r="R10">
        <v>450</v>
      </c>
      <c r="S10">
        <v>3065</v>
      </c>
      <c r="T10">
        <v>2685</v>
      </c>
      <c r="U10">
        <v>75</v>
      </c>
      <c r="V10">
        <v>300</v>
      </c>
      <c r="W10">
        <v>150</v>
      </c>
      <c r="X10">
        <v>5243.8922184882731</v>
      </c>
      <c r="Y10">
        <v>1473</v>
      </c>
      <c r="Z10">
        <v>9000</v>
      </c>
      <c r="AA10">
        <v>1400</v>
      </c>
      <c r="AB10">
        <v>250</v>
      </c>
      <c r="AC10">
        <v>8551.3881104812972</v>
      </c>
      <c r="AD10">
        <v>488.00296520492043</v>
      </c>
      <c r="AE10">
        <v>5276.6255428811146</v>
      </c>
      <c r="AF10">
        <v>400</v>
      </c>
      <c r="AG10">
        <v>1E-3</v>
      </c>
      <c r="AH10">
        <v>836</v>
      </c>
      <c r="AI10">
        <v>98</v>
      </c>
      <c r="AJ10">
        <v>105</v>
      </c>
      <c r="AK10">
        <v>500</v>
      </c>
      <c r="AL10">
        <v>6070</v>
      </c>
      <c r="AM10">
        <v>1499</v>
      </c>
      <c r="AN10">
        <v>700</v>
      </c>
      <c r="AO10">
        <v>5</v>
      </c>
      <c r="AP10">
        <v>150</v>
      </c>
      <c r="AQ10">
        <v>2652</v>
      </c>
      <c r="AR10">
        <v>315.13975597356381</v>
      </c>
      <c r="AS10">
        <v>1556.3988304094689</v>
      </c>
      <c r="AT10">
        <v>20762.996806371386</v>
      </c>
      <c r="AU10">
        <v>1295</v>
      </c>
      <c r="AV10">
        <v>871</v>
      </c>
      <c r="AW10">
        <v>2500</v>
      </c>
      <c r="AX10">
        <v>350</v>
      </c>
      <c r="AY10">
        <v>6500</v>
      </c>
      <c r="AZ10">
        <v>3799.0952812384785</v>
      </c>
      <c r="BA10">
        <v>1026</v>
      </c>
      <c r="BB10">
        <v>1379</v>
      </c>
      <c r="BC10">
        <v>2234</v>
      </c>
      <c r="BD10">
        <v>484</v>
      </c>
      <c r="BE10">
        <v>8180</v>
      </c>
      <c r="BF10">
        <v>112.89300586490901</v>
      </c>
      <c r="BG10">
        <v>110</v>
      </c>
      <c r="BH10">
        <v>223</v>
      </c>
      <c r="BI10">
        <v>163327</v>
      </c>
      <c r="BJ10">
        <v>4469</v>
      </c>
      <c r="BK10">
        <v>300</v>
      </c>
      <c r="BL10">
        <v>20</v>
      </c>
      <c r="BM10">
        <v>25</v>
      </c>
      <c r="BN10">
        <v>35.028835047231695</v>
      </c>
      <c r="BO10">
        <v>74.872967265269423</v>
      </c>
      <c r="BP10">
        <v>66.471610344731559</v>
      </c>
      <c r="BQ10">
        <v>603.52834258818859</v>
      </c>
      <c r="BR10">
        <v>420.08390738237881</v>
      </c>
      <c r="BS10">
        <v>25</v>
      </c>
      <c r="BT10">
        <v>1752.4265059517161</v>
      </c>
      <c r="BU10">
        <v>14.035783115398411</v>
      </c>
      <c r="BV10">
        <v>56.689041878192363</v>
      </c>
      <c r="BW10">
        <v>6.0541137278750146</v>
      </c>
      <c r="BX10">
        <v>125</v>
      </c>
      <c r="BY10">
        <v>343.75681776374847</v>
      </c>
      <c r="BZ10">
        <v>100</v>
      </c>
      <c r="CA10">
        <v>2</v>
      </c>
      <c r="CB10">
        <v>62.234132681483523</v>
      </c>
      <c r="CC10">
        <v>69.413609217169821</v>
      </c>
      <c r="CD10">
        <v>0.10185619096805815</v>
      </c>
      <c r="CE10">
        <v>15.75937642527736</v>
      </c>
      <c r="CF10">
        <v>100</v>
      </c>
      <c r="CG10">
        <v>1237.2471516890023</v>
      </c>
      <c r="CI10">
        <v>60718.43876340425</v>
      </c>
      <c r="CJ10">
        <v>38555.488653837732</v>
      </c>
      <c r="CK10">
        <v>13768.139755973563</v>
      </c>
      <c r="CL10">
        <v>35629.279129491842</v>
      </c>
      <c r="CM10">
        <v>168399.52834258816</v>
      </c>
    </row>
    <row r="11" spans="1:91" x14ac:dyDescent="0.55000000000000004">
      <c r="A11">
        <v>1987</v>
      </c>
      <c r="B11">
        <v>1000</v>
      </c>
      <c r="C11">
        <v>3500</v>
      </c>
      <c r="D11">
        <v>200</v>
      </c>
      <c r="E11">
        <v>110</v>
      </c>
      <c r="F11">
        <v>3000</v>
      </c>
      <c r="G11">
        <v>15</v>
      </c>
      <c r="H11">
        <v>105</v>
      </c>
      <c r="I11">
        <v>160</v>
      </c>
      <c r="J11">
        <v>2000</v>
      </c>
      <c r="K11">
        <v>500</v>
      </c>
      <c r="L11">
        <v>2800</v>
      </c>
      <c r="M11">
        <v>295</v>
      </c>
      <c r="N11">
        <v>3750</v>
      </c>
      <c r="O11">
        <v>14631.315855181021</v>
      </c>
      <c r="P11">
        <v>4148.9309698924426</v>
      </c>
      <c r="Q11">
        <v>1776.4723781434011</v>
      </c>
      <c r="R11">
        <v>700</v>
      </c>
      <c r="S11">
        <v>5052</v>
      </c>
      <c r="T11">
        <v>2042</v>
      </c>
      <c r="U11">
        <v>50</v>
      </c>
      <c r="V11">
        <v>500</v>
      </c>
      <c r="W11">
        <v>175</v>
      </c>
      <c r="X11">
        <v>7483.1536974804549</v>
      </c>
      <c r="Y11">
        <v>2700</v>
      </c>
      <c r="Z11">
        <v>4756</v>
      </c>
      <c r="AA11">
        <v>1179</v>
      </c>
      <c r="AB11">
        <v>250</v>
      </c>
      <c r="AC11">
        <v>10007.429675958681</v>
      </c>
      <c r="AD11">
        <v>498.13576779030956</v>
      </c>
      <c r="AE11">
        <v>6076.1142614994651</v>
      </c>
      <c r="AF11">
        <v>450</v>
      </c>
      <c r="AG11">
        <v>1E-3</v>
      </c>
      <c r="AH11">
        <v>600</v>
      </c>
      <c r="AI11">
        <v>50</v>
      </c>
      <c r="AJ11">
        <v>65</v>
      </c>
      <c r="AK11">
        <v>300</v>
      </c>
      <c r="AL11">
        <v>3516</v>
      </c>
      <c r="AM11">
        <v>1542</v>
      </c>
      <c r="AN11">
        <v>650</v>
      </c>
      <c r="AO11">
        <v>50</v>
      </c>
      <c r="AP11">
        <v>25</v>
      </c>
      <c r="AQ11">
        <v>2743</v>
      </c>
      <c r="AR11">
        <v>0</v>
      </c>
      <c r="AS11">
        <v>2562.7452013876273</v>
      </c>
      <c r="AT11">
        <v>16851.490138332458</v>
      </c>
      <c r="AU11">
        <v>1175</v>
      </c>
      <c r="AV11">
        <v>641</v>
      </c>
      <c r="AW11">
        <v>2000</v>
      </c>
      <c r="AX11">
        <v>200</v>
      </c>
      <c r="AY11">
        <v>8500</v>
      </c>
      <c r="AZ11">
        <v>3600.5104397243699</v>
      </c>
      <c r="BA11">
        <v>541</v>
      </c>
      <c r="BB11">
        <v>520</v>
      </c>
      <c r="BC11">
        <v>709</v>
      </c>
      <c r="BD11">
        <v>475</v>
      </c>
      <c r="BE11">
        <v>4823</v>
      </c>
      <c r="BF11">
        <v>75</v>
      </c>
      <c r="BG11">
        <v>4</v>
      </c>
      <c r="BH11">
        <v>113</v>
      </c>
      <c r="BI11">
        <v>79954</v>
      </c>
      <c r="BJ11">
        <v>17271</v>
      </c>
      <c r="BK11">
        <v>350</v>
      </c>
      <c r="BL11">
        <v>50</v>
      </c>
      <c r="BM11">
        <v>0</v>
      </c>
      <c r="BN11">
        <v>33.19782130808413</v>
      </c>
      <c r="BO11">
        <v>76.427615598118592</v>
      </c>
      <c r="BP11">
        <v>67.851814468846342</v>
      </c>
      <c r="BQ11">
        <v>349.69870025588591</v>
      </c>
      <c r="BR11">
        <v>428.80645131408852</v>
      </c>
      <c r="BS11">
        <v>71.762169334174615</v>
      </c>
      <c r="BT11">
        <v>1530.9236825783817</v>
      </c>
      <c r="BU11">
        <v>0</v>
      </c>
      <c r="BV11">
        <v>57.866122574547084</v>
      </c>
      <c r="BW11">
        <v>5.288887181030872</v>
      </c>
      <c r="BX11">
        <v>10</v>
      </c>
      <c r="BY11">
        <v>150</v>
      </c>
      <c r="BZ11">
        <v>100</v>
      </c>
      <c r="CA11">
        <v>18.436277005919862</v>
      </c>
      <c r="CB11">
        <v>54.367876349294079</v>
      </c>
      <c r="CC11">
        <v>70.8549004573605</v>
      </c>
      <c r="CD11">
        <v>8.8981794352363475E-2</v>
      </c>
      <c r="CE11">
        <v>14.935608386283965</v>
      </c>
      <c r="CF11">
        <v>107.25527103567147</v>
      </c>
      <c r="CG11">
        <v>1080.8618559981592</v>
      </c>
      <c r="CI11">
        <v>61979.185105435718</v>
      </c>
      <c r="CJ11">
        <v>33682.160406199997</v>
      </c>
      <c r="CK11">
        <v>7093</v>
      </c>
      <c r="CL11">
        <v>33766.879209138824</v>
      </c>
      <c r="CM11">
        <v>97574.698700255918</v>
      </c>
    </row>
    <row r="12" spans="1:91" x14ac:dyDescent="0.55000000000000004">
      <c r="A12">
        <v>1988</v>
      </c>
      <c r="B12">
        <v>1500</v>
      </c>
      <c r="C12">
        <v>4000</v>
      </c>
      <c r="D12">
        <v>180</v>
      </c>
      <c r="E12">
        <v>140</v>
      </c>
      <c r="F12">
        <v>2700</v>
      </c>
      <c r="G12">
        <v>75</v>
      </c>
      <c r="H12">
        <v>70</v>
      </c>
      <c r="I12">
        <v>110</v>
      </c>
      <c r="J12">
        <v>1800</v>
      </c>
      <c r="K12">
        <v>800</v>
      </c>
      <c r="L12">
        <v>2000</v>
      </c>
      <c r="M12">
        <v>205</v>
      </c>
      <c r="N12">
        <v>5066</v>
      </c>
      <c r="O12">
        <v>6968.2197732450732</v>
      </c>
      <c r="P12">
        <v>3164.2513530379692</v>
      </c>
      <c r="Q12">
        <v>1998.5314254113262</v>
      </c>
      <c r="R12">
        <v>1200</v>
      </c>
      <c r="S12">
        <v>3065</v>
      </c>
      <c r="T12">
        <v>2801</v>
      </c>
      <c r="U12">
        <v>50</v>
      </c>
      <c r="V12">
        <v>300</v>
      </c>
      <c r="W12">
        <v>250</v>
      </c>
      <c r="X12">
        <v>5986.5229579843635</v>
      </c>
      <c r="Y12">
        <v>1153</v>
      </c>
      <c r="Z12">
        <v>6300</v>
      </c>
      <c r="AA12">
        <v>1981</v>
      </c>
      <c r="AB12">
        <v>250</v>
      </c>
      <c r="AC12">
        <v>8975.5341787296347</v>
      </c>
      <c r="AD12">
        <v>425.25451225137141</v>
      </c>
      <c r="AE12">
        <v>5894.5130609771513</v>
      </c>
      <c r="AF12">
        <v>300</v>
      </c>
      <c r="AG12">
        <v>1E-3</v>
      </c>
      <c r="AH12">
        <v>638</v>
      </c>
      <c r="AI12">
        <v>125</v>
      </c>
      <c r="AJ12">
        <v>75</v>
      </c>
      <c r="AK12">
        <v>700</v>
      </c>
      <c r="AL12">
        <v>6740</v>
      </c>
      <c r="AM12">
        <v>1857</v>
      </c>
      <c r="AN12">
        <v>800</v>
      </c>
      <c r="AO12">
        <v>100</v>
      </c>
      <c r="AP12">
        <v>80</v>
      </c>
      <c r="AQ12">
        <v>2258</v>
      </c>
      <c r="AR12">
        <v>68.508642602948655</v>
      </c>
      <c r="AS12">
        <v>2421.3895694367229</v>
      </c>
      <c r="AT12">
        <v>24624.955313719438</v>
      </c>
      <c r="AU12">
        <v>1259</v>
      </c>
      <c r="AV12">
        <v>1252</v>
      </c>
      <c r="AW12">
        <v>1600</v>
      </c>
      <c r="AX12">
        <v>400</v>
      </c>
      <c r="AY12">
        <v>12000</v>
      </c>
      <c r="AZ12">
        <v>4914.9303003343894</v>
      </c>
      <c r="BA12">
        <v>1287</v>
      </c>
      <c r="BB12">
        <v>863</v>
      </c>
      <c r="BC12">
        <v>279</v>
      </c>
      <c r="BD12">
        <v>222</v>
      </c>
      <c r="BE12">
        <v>3701</v>
      </c>
      <c r="BF12">
        <v>50</v>
      </c>
      <c r="BG12">
        <v>67</v>
      </c>
      <c r="BH12">
        <v>501</v>
      </c>
      <c r="BI12">
        <v>35581</v>
      </c>
      <c r="BJ12">
        <v>14782</v>
      </c>
      <c r="BK12">
        <v>850</v>
      </c>
      <c r="BL12">
        <v>55</v>
      </c>
      <c r="BM12">
        <v>10</v>
      </c>
      <c r="BN12">
        <v>45.317179489883692</v>
      </c>
      <c r="BO12">
        <v>65.245642845294753</v>
      </c>
      <c r="BP12">
        <v>57.92455015891575</v>
      </c>
      <c r="BQ12">
        <v>181.14554529171699</v>
      </c>
      <c r="BR12">
        <v>366.06863047139234</v>
      </c>
      <c r="BS12">
        <v>80.066726933286901</v>
      </c>
      <c r="BT12">
        <v>1708.0872775446053</v>
      </c>
      <c r="BU12">
        <v>13.680655073615947</v>
      </c>
      <c r="BV12">
        <v>49.399845027140813</v>
      </c>
      <c r="BW12">
        <v>5.9009348467800313</v>
      </c>
      <c r="BX12">
        <v>100</v>
      </c>
      <c r="BY12">
        <v>299.5558393990932</v>
      </c>
      <c r="BZ12">
        <v>375.59472569569607</v>
      </c>
      <c r="CA12">
        <v>125</v>
      </c>
      <c r="CB12">
        <v>60.659508345278255</v>
      </c>
      <c r="CC12">
        <v>60.488260596653475</v>
      </c>
      <c r="CD12">
        <v>9.9279064394890773E-2</v>
      </c>
      <c r="CE12">
        <v>20.388074257964114</v>
      </c>
      <c r="CF12">
        <v>91.56296519920447</v>
      </c>
      <c r="CG12">
        <v>1205.9427952047381</v>
      </c>
      <c r="CI12">
        <v>54064.133542300639</v>
      </c>
      <c r="CJ12">
        <v>37579.972355742335</v>
      </c>
      <c r="CK12">
        <v>6500.5086426029484</v>
      </c>
      <c r="CL12">
        <v>46093.980437238395</v>
      </c>
      <c r="CM12">
        <v>50544.145545291627</v>
      </c>
    </row>
    <row r="13" spans="1:91" x14ac:dyDescent="0.55000000000000004">
      <c r="A13">
        <v>1989</v>
      </c>
      <c r="B13">
        <v>850</v>
      </c>
      <c r="C13">
        <v>5000</v>
      </c>
      <c r="D13">
        <v>100</v>
      </c>
      <c r="E13">
        <v>60</v>
      </c>
      <c r="F13">
        <v>1500</v>
      </c>
      <c r="G13">
        <v>33.896908200969882</v>
      </c>
      <c r="H13">
        <v>20</v>
      </c>
      <c r="I13">
        <v>50</v>
      </c>
      <c r="J13">
        <v>400</v>
      </c>
      <c r="K13">
        <v>75</v>
      </c>
      <c r="L13">
        <v>1900</v>
      </c>
      <c r="M13">
        <v>135</v>
      </c>
      <c r="N13">
        <v>2000</v>
      </c>
      <c r="O13">
        <v>7076.7296275339268</v>
      </c>
      <c r="P13">
        <v>1659.5723879569769</v>
      </c>
      <c r="Q13">
        <v>1332.3542836075508</v>
      </c>
      <c r="R13">
        <v>450</v>
      </c>
      <c r="S13">
        <v>1659</v>
      </c>
      <c r="T13">
        <v>2928</v>
      </c>
      <c r="U13">
        <v>13.754552503726135</v>
      </c>
      <c r="V13">
        <v>200</v>
      </c>
      <c r="W13">
        <v>50</v>
      </c>
      <c r="X13">
        <v>3142.9245529417913</v>
      </c>
      <c r="Y13">
        <v>800</v>
      </c>
      <c r="Z13">
        <v>3000</v>
      </c>
      <c r="AA13">
        <v>1160</v>
      </c>
      <c r="AB13">
        <v>400</v>
      </c>
      <c r="AC13">
        <v>3490.285794542966</v>
      </c>
      <c r="AD13">
        <v>305.01475004794997</v>
      </c>
      <c r="AE13">
        <v>4157.3413368154233</v>
      </c>
      <c r="AF13">
        <v>200</v>
      </c>
      <c r="AG13">
        <v>1E-3</v>
      </c>
      <c r="AH13">
        <v>750</v>
      </c>
      <c r="AI13">
        <v>330</v>
      </c>
      <c r="AJ13">
        <v>115</v>
      </c>
      <c r="AK13">
        <v>180</v>
      </c>
      <c r="AL13">
        <v>2491</v>
      </c>
      <c r="AM13">
        <v>1141</v>
      </c>
      <c r="AN13">
        <v>812</v>
      </c>
      <c r="AO13">
        <v>260</v>
      </c>
      <c r="AP13">
        <v>325</v>
      </c>
      <c r="AQ13">
        <v>1578</v>
      </c>
      <c r="AR13">
        <v>260.33284189120491</v>
      </c>
      <c r="AS13">
        <v>2496.8439060320079</v>
      </c>
      <c r="AT13">
        <v>18442.260126793866</v>
      </c>
      <c r="AU13">
        <v>1004</v>
      </c>
      <c r="AV13">
        <v>1613</v>
      </c>
      <c r="AW13">
        <v>1250</v>
      </c>
      <c r="AX13">
        <v>400</v>
      </c>
      <c r="AY13">
        <v>10000</v>
      </c>
      <c r="AZ13">
        <v>3901.8698634862162</v>
      </c>
      <c r="BA13">
        <v>644</v>
      </c>
      <c r="BB13">
        <v>1062</v>
      </c>
      <c r="BC13">
        <v>1200</v>
      </c>
      <c r="BD13">
        <v>661</v>
      </c>
      <c r="BE13">
        <v>4972</v>
      </c>
      <c r="BF13">
        <v>51</v>
      </c>
      <c r="BG13">
        <v>50</v>
      </c>
      <c r="BH13">
        <v>509</v>
      </c>
      <c r="BI13">
        <v>76083</v>
      </c>
      <c r="BJ13">
        <v>3333</v>
      </c>
      <c r="BK13">
        <v>375</v>
      </c>
      <c r="BL13">
        <v>20</v>
      </c>
      <c r="BM13">
        <v>10</v>
      </c>
      <c r="BN13">
        <v>35.976448524151543</v>
      </c>
      <c r="BO13">
        <v>46.79758326094332</v>
      </c>
      <c r="BP13">
        <v>41.546513157085613</v>
      </c>
      <c r="BQ13">
        <v>285.64332198016393</v>
      </c>
      <c r="BR13">
        <v>262.56354396452855</v>
      </c>
      <c r="BS13">
        <v>42.481911933761261</v>
      </c>
      <c r="BT13">
        <v>906.279250808999</v>
      </c>
      <c r="BU13">
        <v>7.2587004151895362</v>
      </c>
      <c r="BV13">
        <v>35.432149334735783</v>
      </c>
      <c r="BW13">
        <v>3.1309259674951631</v>
      </c>
      <c r="BX13">
        <v>70.038089435869693</v>
      </c>
      <c r="BY13">
        <v>25</v>
      </c>
      <c r="BZ13">
        <v>269.39615707048057</v>
      </c>
      <c r="CA13">
        <v>10.91394398216632</v>
      </c>
      <c r="CB13">
        <v>32.184803727727193</v>
      </c>
      <c r="CC13">
        <v>43.385340202616561</v>
      </c>
      <c r="CD13">
        <v>5.2675619848980677E-2</v>
      </c>
      <c r="CE13">
        <v>16.185705119003813</v>
      </c>
      <c r="CF13">
        <v>65.673741581314459</v>
      </c>
      <c r="CG13">
        <v>639.85075430556822</v>
      </c>
      <c r="CI13">
        <v>37950.628875676288</v>
      </c>
      <c r="CJ13">
        <v>19939.232403243321</v>
      </c>
      <c r="CK13">
        <v>9124.332841891206</v>
      </c>
      <c r="CL13">
        <v>36593.136049955247</v>
      </c>
      <c r="CM13">
        <v>79701.643321980198</v>
      </c>
    </row>
    <row r="14" spans="1:91" x14ac:dyDescent="0.55000000000000004">
      <c r="A14">
        <v>1990</v>
      </c>
      <c r="B14">
        <v>1200</v>
      </c>
      <c r="C14">
        <v>6000</v>
      </c>
      <c r="D14">
        <v>100</v>
      </c>
      <c r="E14">
        <v>20</v>
      </c>
      <c r="F14">
        <v>2100</v>
      </c>
      <c r="G14">
        <v>40</v>
      </c>
      <c r="H14">
        <v>70</v>
      </c>
      <c r="I14">
        <v>100</v>
      </c>
      <c r="J14">
        <v>1000</v>
      </c>
      <c r="K14">
        <v>200</v>
      </c>
      <c r="L14">
        <v>2000</v>
      </c>
      <c r="M14">
        <v>486</v>
      </c>
      <c r="N14">
        <v>5000</v>
      </c>
      <c r="O14">
        <v>7666.4570964950872</v>
      </c>
      <c r="P14">
        <v>1670.9747870824704</v>
      </c>
      <c r="Q14">
        <v>1998.5314254113262</v>
      </c>
      <c r="R14">
        <v>700</v>
      </c>
      <c r="S14">
        <v>6064</v>
      </c>
      <c r="T14">
        <v>2628</v>
      </c>
      <c r="U14">
        <v>0</v>
      </c>
      <c r="V14">
        <v>75</v>
      </c>
      <c r="W14">
        <v>425</v>
      </c>
      <c r="X14">
        <v>7483.1536974804549</v>
      </c>
      <c r="Y14">
        <v>1000</v>
      </c>
      <c r="Z14">
        <v>6195</v>
      </c>
      <c r="AA14">
        <v>2500</v>
      </c>
      <c r="AB14">
        <v>1000</v>
      </c>
      <c r="AC14">
        <v>7606.9346785980788</v>
      </c>
      <c r="AD14">
        <v>411.16315521966374</v>
      </c>
      <c r="AE14">
        <v>4317.2390805390942</v>
      </c>
      <c r="AF14">
        <v>250</v>
      </c>
      <c r="AG14">
        <v>1E-3</v>
      </c>
      <c r="AH14">
        <v>375</v>
      </c>
      <c r="AI14">
        <v>175</v>
      </c>
      <c r="AJ14">
        <v>60</v>
      </c>
      <c r="AK14">
        <v>500</v>
      </c>
      <c r="AL14">
        <v>7320</v>
      </c>
      <c r="AM14">
        <v>1100</v>
      </c>
      <c r="AN14">
        <v>550</v>
      </c>
      <c r="AO14">
        <v>100</v>
      </c>
      <c r="AP14">
        <v>50</v>
      </c>
      <c r="AQ14">
        <v>1500</v>
      </c>
      <c r="AR14">
        <v>274.03457041179462</v>
      </c>
      <c r="AS14">
        <v>5406.1227366196954</v>
      </c>
      <c r="AT14">
        <v>22344.781229464086</v>
      </c>
      <c r="AU14">
        <v>1477</v>
      </c>
      <c r="AV14">
        <v>1055</v>
      </c>
      <c r="AW14">
        <v>1397</v>
      </c>
      <c r="AX14">
        <v>400</v>
      </c>
      <c r="AY14">
        <v>6000</v>
      </c>
      <c r="AZ14">
        <v>4252.5935087665548</v>
      </c>
      <c r="BA14">
        <v>532</v>
      </c>
      <c r="BB14">
        <v>584</v>
      </c>
      <c r="BC14">
        <v>411</v>
      </c>
      <c r="BD14">
        <v>107</v>
      </c>
      <c r="BE14">
        <v>3419</v>
      </c>
      <c r="BF14">
        <v>50</v>
      </c>
      <c r="BG14">
        <v>25</v>
      </c>
      <c r="BH14">
        <v>353</v>
      </c>
      <c r="BI14">
        <v>178852</v>
      </c>
      <c r="BJ14">
        <v>1795</v>
      </c>
      <c r="BK14">
        <v>450</v>
      </c>
      <c r="BL14">
        <v>30</v>
      </c>
      <c r="BM14">
        <v>0</v>
      </c>
      <c r="BN14">
        <v>39.210229150386276</v>
      </c>
      <c r="BO14">
        <v>63.083644273595027</v>
      </c>
      <c r="BP14">
        <v>56.005145440858684</v>
      </c>
      <c r="BQ14">
        <v>649.75079562998224</v>
      </c>
      <c r="BR14">
        <v>300</v>
      </c>
      <c r="BS14">
        <v>82.176671506572461</v>
      </c>
      <c r="BT14">
        <v>1719</v>
      </c>
      <c r="BU14">
        <v>14.041172170257335</v>
      </c>
      <c r="BV14">
        <v>47.762917414302237</v>
      </c>
      <c r="BW14">
        <v>6.0564382117127487</v>
      </c>
      <c r="BX14">
        <v>0</v>
      </c>
      <c r="BY14">
        <v>300</v>
      </c>
      <c r="BZ14">
        <v>100</v>
      </c>
      <c r="CA14">
        <v>0</v>
      </c>
      <c r="CB14">
        <v>62.258027547367433</v>
      </c>
      <c r="CC14">
        <v>58.483904024910437</v>
      </c>
      <c r="CD14">
        <v>0.10189529876819547</v>
      </c>
      <c r="CE14">
        <v>17.640574117555616</v>
      </c>
      <c r="CF14">
        <v>279</v>
      </c>
      <c r="CG14">
        <v>1237.7221941372704</v>
      </c>
      <c r="CI14">
        <v>51157.854853381767</v>
      </c>
      <c r="CJ14">
        <v>38570.292077470025</v>
      </c>
      <c r="CK14">
        <v>5377.0345704117944</v>
      </c>
      <c r="CL14">
        <v>39882.348278118276</v>
      </c>
      <c r="CM14">
        <v>181296.75079562992</v>
      </c>
    </row>
    <row r="15" spans="1:91" x14ac:dyDescent="0.55000000000000004">
      <c r="A15">
        <v>1991</v>
      </c>
      <c r="B15">
        <v>600</v>
      </c>
      <c r="C15">
        <v>4027</v>
      </c>
      <c r="D15">
        <v>50</v>
      </c>
      <c r="E15">
        <v>55</v>
      </c>
      <c r="F15">
        <v>1500</v>
      </c>
      <c r="G15">
        <v>14</v>
      </c>
      <c r="H15">
        <v>42</v>
      </c>
      <c r="I15">
        <v>107</v>
      </c>
      <c r="J15">
        <v>1000</v>
      </c>
      <c r="K15">
        <v>100</v>
      </c>
      <c r="L15">
        <v>2000</v>
      </c>
      <c r="M15">
        <v>665</v>
      </c>
      <c r="N15">
        <v>2500</v>
      </c>
      <c r="O15">
        <v>4953.7107392737489</v>
      </c>
      <c r="P15">
        <v>1438.2960695627132</v>
      </c>
      <c r="Q15">
        <v>610.66237998679412</v>
      </c>
      <c r="R15">
        <v>300</v>
      </c>
      <c r="S15">
        <v>7500</v>
      </c>
      <c r="T15">
        <v>2371</v>
      </c>
      <c r="U15">
        <v>22.672643452253226</v>
      </c>
      <c r="V15">
        <v>200</v>
      </c>
      <c r="W15">
        <v>150</v>
      </c>
      <c r="X15">
        <v>3741.5768487402274</v>
      </c>
      <c r="Y15">
        <v>1000</v>
      </c>
      <c r="Z15">
        <v>4984</v>
      </c>
      <c r="AA15">
        <v>1782</v>
      </c>
      <c r="AB15">
        <v>500</v>
      </c>
      <c r="AC15">
        <v>8290.7641260321361</v>
      </c>
      <c r="AD15">
        <v>279.4302852337305</v>
      </c>
      <c r="AE15">
        <v>5020.789152923242</v>
      </c>
      <c r="AF15">
        <v>600</v>
      </c>
      <c r="AG15">
        <v>1E-3</v>
      </c>
      <c r="AH15">
        <v>198</v>
      </c>
      <c r="AI15">
        <v>135.42587986491455</v>
      </c>
      <c r="AJ15">
        <v>35</v>
      </c>
      <c r="AK15">
        <v>20</v>
      </c>
      <c r="AL15">
        <v>2444</v>
      </c>
      <c r="AM15">
        <v>460</v>
      </c>
      <c r="AN15">
        <v>446</v>
      </c>
      <c r="AO15">
        <v>50</v>
      </c>
      <c r="AP15">
        <v>10</v>
      </c>
      <c r="AQ15">
        <v>2183</v>
      </c>
      <c r="AR15">
        <v>246.63111337061514</v>
      </c>
      <c r="AS15">
        <v>6594.7752829671035</v>
      </c>
      <c r="AT15">
        <v>16621.490138332458</v>
      </c>
      <c r="AU15">
        <v>907</v>
      </c>
      <c r="AV15">
        <v>643</v>
      </c>
      <c r="AW15">
        <v>2488</v>
      </c>
      <c r="AX15">
        <v>250</v>
      </c>
      <c r="AY15">
        <v>8000</v>
      </c>
      <c r="AZ15">
        <v>4071.2569019122593</v>
      </c>
      <c r="BA15">
        <v>522</v>
      </c>
      <c r="BB15">
        <v>2292</v>
      </c>
      <c r="BC15">
        <v>399</v>
      </c>
      <c r="BD15">
        <v>326</v>
      </c>
      <c r="BE15">
        <v>3599</v>
      </c>
      <c r="BF15">
        <v>64.642485966203438</v>
      </c>
      <c r="BG15">
        <v>127.29781491182942</v>
      </c>
      <c r="BH15">
        <v>265</v>
      </c>
      <c r="BI15">
        <v>92077</v>
      </c>
      <c r="BJ15">
        <v>9353</v>
      </c>
      <c r="BK15">
        <v>150</v>
      </c>
      <c r="BL15">
        <v>0</v>
      </c>
      <c r="BM15">
        <v>0</v>
      </c>
      <c r="BN15">
        <v>12</v>
      </c>
      <c r="BO15">
        <v>42.872228430916614</v>
      </c>
      <c r="BP15">
        <v>50</v>
      </c>
      <c r="BQ15">
        <v>364.82323648191834</v>
      </c>
      <c r="BR15">
        <v>400</v>
      </c>
      <c r="BS15">
        <v>70.026068982125295</v>
      </c>
      <c r="BT15">
        <v>675</v>
      </c>
      <c r="BU15">
        <v>11.965051309065229</v>
      </c>
      <c r="BV15">
        <v>32.460120677747199</v>
      </c>
      <c r="BW15">
        <v>5.1609362149141864</v>
      </c>
      <c r="BX15">
        <v>115.44894895172479</v>
      </c>
      <c r="BY15">
        <v>300</v>
      </c>
      <c r="BZ15">
        <v>300</v>
      </c>
      <c r="CA15">
        <v>17.99025889780766</v>
      </c>
      <c r="CB15">
        <v>53.052585993025076</v>
      </c>
      <c r="CC15">
        <v>39.746202391437635</v>
      </c>
      <c r="CD15">
        <v>8.6829109644885563E-2</v>
      </c>
      <c r="CE15">
        <v>16.888355066558884</v>
      </c>
      <c r="CF15">
        <v>60.165065261755686</v>
      </c>
      <c r="CG15">
        <v>1054.7131948564249</v>
      </c>
      <c r="CI15">
        <v>34767.351578448506</v>
      </c>
      <c r="CJ15">
        <v>32867.307523664036</v>
      </c>
      <c r="CK15">
        <v>7394.6311133706149</v>
      </c>
      <c r="CL15">
        <v>38181.708493190206</v>
      </c>
      <c r="CM15">
        <v>101794.8232364819</v>
      </c>
    </row>
    <row r="16" spans="1:91" x14ac:dyDescent="0.55000000000000004">
      <c r="A16">
        <v>1992</v>
      </c>
      <c r="B16">
        <v>980</v>
      </c>
      <c r="C16">
        <v>3224</v>
      </c>
      <c r="D16">
        <v>90</v>
      </c>
      <c r="E16">
        <v>74</v>
      </c>
      <c r="F16">
        <v>2150</v>
      </c>
      <c r="G16">
        <v>15</v>
      </c>
      <c r="H16">
        <v>50</v>
      </c>
      <c r="I16">
        <v>100</v>
      </c>
      <c r="J16">
        <v>1800</v>
      </c>
      <c r="K16">
        <v>500</v>
      </c>
      <c r="L16">
        <v>2600</v>
      </c>
      <c r="M16">
        <v>556</v>
      </c>
      <c r="N16">
        <v>1725</v>
      </c>
      <c r="O16">
        <v>5508.0545600972391</v>
      </c>
      <c r="P16">
        <v>5626.8519004213085</v>
      </c>
      <c r="Q16">
        <v>777.20666543773802</v>
      </c>
      <c r="R16">
        <v>300</v>
      </c>
      <c r="S16">
        <v>15025</v>
      </c>
      <c r="T16">
        <v>2451</v>
      </c>
      <c r="U16">
        <v>30.36248417286189</v>
      </c>
      <c r="V16">
        <v>10</v>
      </c>
      <c r="W16">
        <v>150</v>
      </c>
      <c r="X16">
        <v>3741.5768487402274</v>
      </c>
      <c r="Y16">
        <v>2200</v>
      </c>
      <c r="Z16">
        <v>3551</v>
      </c>
      <c r="AA16">
        <v>1069</v>
      </c>
      <c r="AB16">
        <v>400</v>
      </c>
      <c r="AC16">
        <v>12318.176647608772</v>
      </c>
      <c r="AD16">
        <v>341.4488651390829</v>
      </c>
      <c r="AE16">
        <v>3975.0579089704397</v>
      </c>
      <c r="AF16">
        <v>540</v>
      </c>
      <c r="AG16">
        <v>1E-3</v>
      </c>
      <c r="AH16">
        <v>897</v>
      </c>
      <c r="AI16">
        <v>50</v>
      </c>
      <c r="AJ16">
        <v>58.86170253602679</v>
      </c>
      <c r="AK16">
        <v>250</v>
      </c>
      <c r="AL16">
        <v>2370</v>
      </c>
      <c r="AM16">
        <v>630</v>
      </c>
      <c r="AN16">
        <v>280</v>
      </c>
      <c r="AO16">
        <v>172.98880149390305</v>
      </c>
      <c r="AP16">
        <v>6</v>
      </c>
      <c r="AQ16">
        <v>2020</v>
      </c>
      <c r="AR16">
        <v>109.61382816471784</v>
      </c>
      <c r="AS16">
        <v>6574.7752829671035</v>
      </c>
      <c r="AT16">
        <v>23130.627126953408</v>
      </c>
      <c r="AU16">
        <v>1474</v>
      </c>
      <c r="AV16">
        <v>300</v>
      </c>
      <c r="AW16">
        <v>1245</v>
      </c>
      <c r="AX16">
        <v>600</v>
      </c>
      <c r="AY16">
        <v>12000</v>
      </c>
      <c r="AZ16">
        <v>5225.8039476261911</v>
      </c>
      <c r="BA16">
        <v>379</v>
      </c>
      <c r="BB16">
        <v>1936</v>
      </c>
      <c r="BC16">
        <v>1424</v>
      </c>
      <c r="BD16">
        <v>320</v>
      </c>
      <c r="BE16">
        <v>5745</v>
      </c>
      <c r="BF16">
        <v>100</v>
      </c>
      <c r="BG16">
        <v>163.39755503465477</v>
      </c>
      <c r="BH16">
        <v>738</v>
      </c>
      <c r="BI16">
        <v>132383</v>
      </c>
      <c r="BJ16">
        <v>38177</v>
      </c>
      <c r="BK16">
        <v>300</v>
      </c>
      <c r="BL16">
        <v>40</v>
      </c>
      <c r="BM16">
        <v>48.888139552624772</v>
      </c>
      <c r="BN16">
        <v>48.183530793388215</v>
      </c>
      <c r="BO16">
        <v>52.387570414836851</v>
      </c>
      <c r="BP16">
        <v>46.509258210439796</v>
      </c>
      <c r="BQ16">
        <v>613.46989267826075</v>
      </c>
      <c r="BR16">
        <v>250</v>
      </c>
      <c r="BS16">
        <v>93.776688000014133</v>
      </c>
      <c r="BT16">
        <v>2000.5659509043994</v>
      </c>
      <c r="BU16">
        <v>16.023216779465102</v>
      </c>
      <c r="BV16">
        <v>39.664531560792163</v>
      </c>
      <c r="BW16">
        <v>6.9113619006304656</v>
      </c>
      <c r="BX16">
        <v>154.60556651465018</v>
      </c>
      <c r="BY16">
        <v>200</v>
      </c>
      <c r="BZ16">
        <v>400</v>
      </c>
      <c r="CA16">
        <v>24.091983460185723</v>
      </c>
      <c r="CB16">
        <v>71.046338550458472</v>
      </c>
      <c r="CC16">
        <v>48.567733768703427</v>
      </c>
      <c r="CD16">
        <v>0.11627878649829537</v>
      </c>
      <c r="CE16">
        <v>21.677637816047163</v>
      </c>
      <c r="CF16">
        <v>73.518492233087144</v>
      </c>
      <c r="CG16">
        <v>1412.4384195947939</v>
      </c>
      <c r="CI16">
        <v>42483.844334993897</v>
      </c>
      <c r="CJ16">
        <v>44014.854579855288</v>
      </c>
      <c r="CK16">
        <v>9919.6138281647181</v>
      </c>
      <c r="CL16">
        <v>49009.465081190792</v>
      </c>
      <c r="CM16">
        <v>171173.4698926782</v>
      </c>
    </row>
    <row r="17" spans="1:91" x14ac:dyDescent="0.55000000000000004">
      <c r="A17">
        <v>1993</v>
      </c>
      <c r="B17">
        <v>1000</v>
      </c>
      <c r="C17">
        <v>3300</v>
      </c>
      <c r="D17">
        <v>130</v>
      </c>
      <c r="E17">
        <v>80</v>
      </c>
      <c r="F17">
        <v>2100</v>
      </c>
      <c r="G17">
        <v>39.083941447267321</v>
      </c>
      <c r="H17">
        <v>60</v>
      </c>
      <c r="I17">
        <v>55</v>
      </c>
      <c r="J17">
        <v>912.86617361827678</v>
      </c>
      <c r="K17">
        <v>150</v>
      </c>
      <c r="L17">
        <v>1000</v>
      </c>
      <c r="M17">
        <v>718</v>
      </c>
      <c r="N17">
        <v>1300</v>
      </c>
      <c r="O17">
        <v>7241.8533188430511</v>
      </c>
      <c r="P17">
        <v>2624.6268954247462</v>
      </c>
      <c r="Q17">
        <v>666.17714180377538</v>
      </c>
      <c r="R17">
        <v>50</v>
      </c>
      <c r="S17">
        <v>1038</v>
      </c>
      <c r="T17">
        <v>685</v>
      </c>
      <c r="U17">
        <v>16.880672737061033</v>
      </c>
      <c r="V17">
        <v>20</v>
      </c>
      <c r="W17">
        <v>25</v>
      </c>
      <c r="X17">
        <v>4789.2183663874912</v>
      </c>
      <c r="Y17">
        <v>4470</v>
      </c>
      <c r="Z17">
        <v>5086</v>
      </c>
      <c r="AA17">
        <v>2480</v>
      </c>
      <c r="AB17">
        <v>200</v>
      </c>
      <c r="AC17">
        <v>7150.0578312628613</v>
      </c>
      <c r="AD17">
        <v>351.68926206331281</v>
      </c>
      <c r="AE17">
        <v>5276.6255428811146</v>
      </c>
      <c r="AF17">
        <v>450</v>
      </c>
      <c r="AG17">
        <v>1E-3</v>
      </c>
      <c r="AH17">
        <v>950</v>
      </c>
      <c r="AI17">
        <v>330</v>
      </c>
      <c r="AJ17">
        <v>150</v>
      </c>
      <c r="AK17">
        <v>100</v>
      </c>
      <c r="AL17">
        <v>2700</v>
      </c>
      <c r="AM17">
        <v>1300</v>
      </c>
      <c r="AN17">
        <v>190</v>
      </c>
      <c r="AO17">
        <v>50</v>
      </c>
      <c r="AP17">
        <v>20</v>
      </c>
      <c r="AQ17">
        <v>2400</v>
      </c>
      <c r="AR17">
        <v>342.54321301474329</v>
      </c>
      <c r="AS17">
        <v>3407.4658966367738</v>
      </c>
      <c r="AT17">
        <v>9415.5553073374376</v>
      </c>
      <c r="AU17">
        <v>1192</v>
      </c>
      <c r="AV17">
        <v>2055</v>
      </c>
      <c r="AW17">
        <v>885</v>
      </c>
      <c r="AX17">
        <v>2997.5339619604824</v>
      </c>
      <c r="AY17">
        <v>4000</v>
      </c>
      <c r="AZ17">
        <v>2499.7838843736758</v>
      </c>
      <c r="BA17">
        <v>1708</v>
      </c>
      <c r="BB17">
        <v>3721.8473264887416</v>
      </c>
      <c r="BC17">
        <v>1594</v>
      </c>
      <c r="BD17">
        <v>965</v>
      </c>
      <c r="BE17">
        <v>5202</v>
      </c>
      <c r="BF17">
        <v>200</v>
      </c>
      <c r="BG17">
        <v>78.161863498004379</v>
      </c>
      <c r="BH17">
        <v>268</v>
      </c>
      <c r="BI17">
        <v>120486</v>
      </c>
      <c r="BJ17">
        <v>20182</v>
      </c>
      <c r="BK17">
        <v>175</v>
      </c>
      <c r="BL17">
        <v>6</v>
      </c>
      <c r="BM17">
        <v>4</v>
      </c>
      <c r="BN17">
        <v>150</v>
      </c>
      <c r="BO17">
        <v>53.958726654367624</v>
      </c>
      <c r="BP17">
        <v>6</v>
      </c>
      <c r="BQ17">
        <v>505.95440234090989</v>
      </c>
      <c r="BR17">
        <v>300</v>
      </c>
      <c r="BS17">
        <v>52.137156218219495</v>
      </c>
      <c r="BT17">
        <v>1112.257446191081</v>
      </c>
      <c r="BU17">
        <v>8.908450214719057</v>
      </c>
      <c r="BV17">
        <v>40.854110992636826</v>
      </c>
      <c r="BW17">
        <v>3.8425195299472152</v>
      </c>
      <c r="BX17">
        <v>85.9562727740974</v>
      </c>
      <c r="BY17">
        <v>250</v>
      </c>
      <c r="BZ17">
        <v>250</v>
      </c>
      <c r="CA17">
        <v>13.394453696960101</v>
      </c>
      <c r="CB17">
        <v>39.499732084131665</v>
      </c>
      <c r="CC17">
        <v>50.024329242521326</v>
      </c>
      <c r="CD17">
        <v>6.4647679352097656E-2</v>
      </c>
      <c r="CE17">
        <v>10.369583361132303</v>
      </c>
      <c r="CF17">
        <v>101</v>
      </c>
      <c r="CG17">
        <v>325</v>
      </c>
      <c r="CI17">
        <v>43757.977809358563</v>
      </c>
      <c r="CJ17">
        <v>24471.00018238843</v>
      </c>
      <c r="CK17">
        <v>13553.390539503485</v>
      </c>
      <c r="CL17">
        <v>23443.870497167503</v>
      </c>
      <c r="CM17">
        <v>141173.95440234093</v>
      </c>
    </row>
    <row r="18" spans="1:91" x14ac:dyDescent="0.55000000000000004">
      <c r="A18">
        <v>1994</v>
      </c>
      <c r="B18">
        <v>886</v>
      </c>
      <c r="C18">
        <v>4240</v>
      </c>
      <c r="D18">
        <v>188.20807372816191</v>
      </c>
      <c r="E18">
        <v>90</v>
      </c>
      <c r="F18">
        <v>1877</v>
      </c>
      <c r="G18">
        <v>58.784371058061815</v>
      </c>
      <c r="H18">
        <v>43</v>
      </c>
      <c r="I18">
        <v>293</v>
      </c>
      <c r="J18">
        <v>1231</v>
      </c>
      <c r="K18">
        <v>240</v>
      </c>
      <c r="L18">
        <v>1921</v>
      </c>
      <c r="M18">
        <v>728</v>
      </c>
      <c r="N18">
        <v>2473</v>
      </c>
      <c r="O18">
        <v>10737.757754844812</v>
      </c>
      <c r="P18">
        <v>1836.5934426723877</v>
      </c>
      <c r="Q18">
        <v>1299.0454265173621</v>
      </c>
      <c r="R18">
        <v>771</v>
      </c>
      <c r="S18">
        <v>2420</v>
      </c>
      <c r="T18">
        <v>1138</v>
      </c>
      <c r="U18">
        <v>10</v>
      </c>
      <c r="V18">
        <v>200</v>
      </c>
      <c r="W18">
        <v>119</v>
      </c>
      <c r="X18">
        <v>9204.27904790096</v>
      </c>
      <c r="Y18">
        <v>4690</v>
      </c>
      <c r="Z18">
        <v>1746</v>
      </c>
      <c r="AA18">
        <v>2010</v>
      </c>
      <c r="AB18">
        <v>4154</v>
      </c>
      <c r="AC18">
        <v>6415.0119390041582</v>
      </c>
      <c r="AD18">
        <v>528.95975463885054</v>
      </c>
      <c r="AE18">
        <v>10879.442482958517</v>
      </c>
      <c r="AF18">
        <v>508</v>
      </c>
      <c r="AG18">
        <v>1E-3</v>
      </c>
      <c r="AH18">
        <v>615</v>
      </c>
      <c r="AI18">
        <v>36</v>
      </c>
      <c r="AJ18">
        <v>69</v>
      </c>
      <c r="AK18">
        <v>180</v>
      </c>
      <c r="AL18">
        <v>5450</v>
      </c>
      <c r="AM18">
        <v>1841</v>
      </c>
      <c r="AN18">
        <v>1028</v>
      </c>
      <c r="AO18">
        <v>44</v>
      </c>
      <c r="AP18">
        <v>510</v>
      </c>
      <c r="AQ18">
        <v>4164</v>
      </c>
      <c r="AR18">
        <v>274.03457041179462</v>
      </c>
      <c r="AS18">
        <v>5281.1227366196954</v>
      </c>
      <c r="AT18">
        <v>29064.31794737744</v>
      </c>
      <c r="AU18">
        <v>1200</v>
      </c>
      <c r="AV18">
        <v>1261</v>
      </c>
      <c r="AW18">
        <v>1168</v>
      </c>
      <c r="AX18">
        <v>491</v>
      </c>
      <c r="AY18">
        <v>2118</v>
      </c>
      <c r="AZ18">
        <v>4574.4789943478545</v>
      </c>
      <c r="BA18">
        <v>1563</v>
      </c>
      <c r="BB18">
        <v>4503</v>
      </c>
      <c r="BC18">
        <v>365</v>
      </c>
      <c r="BD18">
        <v>379</v>
      </c>
      <c r="BE18">
        <v>9653</v>
      </c>
      <c r="BF18">
        <v>35</v>
      </c>
      <c r="BG18">
        <v>143.03228569708531</v>
      </c>
      <c r="BH18">
        <v>371</v>
      </c>
      <c r="BI18">
        <v>99657</v>
      </c>
      <c r="BJ18">
        <v>8237</v>
      </c>
      <c r="BK18">
        <v>396.4119332879884</v>
      </c>
      <c r="BL18">
        <v>48</v>
      </c>
      <c r="BM18">
        <v>4</v>
      </c>
      <c r="BN18">
        <v>42.178113013212091</v>
      </c>
      <c r="BO18">
        <v>81.156856038956448</v>
      </c>
      <c r="BP18">
        <v>72.050395602891228</v>
      </c>
      <c r="BQ18">
        <v>388.07293973163854</v>
      </c>
      <c r="BR18">
        <v>250</v>
      </c>
      <c r="BS18">
        <v>57.340849016935323</v>
      </c>
      <c r="BT18">
        <v>797</v>
      </c>
      <c r="BU18">
        <v>9.797582679789187</v>
      </c>
      <c r="BV18">
        <v>61.446802213606318</v>
      </c>
      <c r="BW18">
        <v>5</v>
      </c>
      <c r="BX18">
        <v>30</v>
      </c>
      <c r="BY18">
        <v>350</v>
      </c>
      <c r="BZ18">
        <v>250</v>
      </c>
      <c r="CA18">
        <v>14.731324122993172</v>
      </c>
      <c r="CB18">
        <v>43.442111882084134</v>
      </c>
      <c r="CC18">
        <v>75.239308606850628</v>
      </c>
      <c r="CD18">
        <v>7.1100019446946217E-2</v>
      </c>
      <c r="CE18">
        <v>18.975816894476761</v>
      </c>
      <c r="CF18">
        <v>218</v>
      </c>
      <c r="CG18">
        <v>734</v>
      </c>
      <c r="CI18">
        <v>65814.375650069414</v>
      </c>
      <c r="CJ18">
        <v>26913.395906725404</v>
      </c>
      <c r="CK18">
        <v>17247.034570411794</v>
      </c>
      <c r="CL18">
        <v>42901.105893949767</v>
      </c>
      <c r="CM18">
        <v>108282.07293973165</v>
      </c>
    </row>
    <row r="19" spans="1:91" x14ac:dyDescent="0.55000000000000004">
      <c r="A19">
        <v>1995</v>
      </c>
      <c r="B19">
        <v>1646</v>
      </c>
      <c r="C19">
        <v>5862</v>
      </c>
      <c r="D19">
        <v>172</v>
      </c>
      <c r="E19">
        <v>131</v>
      </c>
      <c r="F19">
        <v>2803</v>
      </c>
      <c r="G19">
        <v>23</v>
      </c>
      <c r="H19">
        <v>0</v>
      </c>
      <c r="I19">
        <v>400</v>
      </c>
      <c r="J19">
        <v>314</v>
      </c>
      <c r="K19">
        <v>91</v>
      </c>
      <c r="L19">
        <v>1422</v>
      </c>
      <c r="M19">
        <v>666</v>
      </c>
      <c r="N19">
        <v>4652</v>
      </c>
      <c r="O19">
        <v>8109.2602598739204</v>
      </c>
      <c r="P19">
        <v>1814.0449657032175</v>
      </c>
      <c r="Q19">
        <v>884.33503126783762</v>
      </c>
      <c r="R19">
        <v>901</v>
      </c>
      <c r="S19">
        <v>3730</v>
      </c>
      <c r="T19">
        <v>1736</v>
      </c>
      <c r="U19">
        <v>23.652246852779651</v>
      </c>
      <c r="V19">
        <v>125</v>
      </c>
      <c r="W19">
        <v>200</v>
      </c>
      <c r="X19">
        <v>9054.6159739513496</v>
      </c>
      <c r="Y19">
        <v>2100</v>
      </c>
      <c r="Z19">
        <v>3232</v>
      </c>
      <c r="AA19">
        <v>817</v>
      </c>
      <c r="AB19">
        <v>185</v>
      </c>
      <c r="AC19">
        <v>11566.321218120469</v>
      </c>
      <c r="AD19">
        <v>289</v>
      </c>
      <c r="AE19">
        <v>5983.3735701397363</v>
      </c>
      <c r="AF19">
        <v>786</v>
      </c>
      <c r="AG19">
        <v>1E-3</v>
      </c>
      <c r="AH19">
        <v>865</v>
      </c>
      <c r="AI19">
        <v>10</v>
      </c>
      <c r="AJ19">
        <v>45.853017514336194</v>
      </c>
      <c r="AK19">
        <v>130</v>
      </c>
      <c r="AL19">
        <v>5100</v>
      </c>
      <c r="AM19">
        <v>810</v>
      </c>
      <c r="AN19">
        <v>1371</v>
      </c>
      <c r="AO19">
        <v>21</v>
      </c>
      <c r="AP19">
        <v>800</v>
      </c>
      <c r="AQ19">
        <v>2833.4845467722816</v>
      </c>
      <c r="AR19">
        <v>352.36738574909373</v>
      </c>
      <c r="AS19">
        <v>4035.8236993381379</v>
      </c>
      <c r="AT19">
        <v>16770.490138332458</v>
      </c>
      <c r="AU19">
        <v>700</v>
      </c>
      <c r="AV19">
        <v>669</v>
      </c>
      <c r="AW19">
        <v>1900</v>
      </c>
      <c r="AX19">
        <v>150</v>
      </c>
      <c r="AY19">
        <v>5500</v>
      </c>
      <c r="AZ19">
        <v>3414.1804484378417</v>
      </c>
      <c r="BA19">
        <v>888</v>
      </c>
      <c r="BB19">
        <v>4385</v>
      </c>
      <c r="BC19">
        <v>1130</v>
      </c>
      <c r="BD19">
        <v>650</v>
      </c>
      <c r="BE19">
        <v>10774</v>
      </c>
      <c r="BF19">
        <v>97.289893160870861</v>
      </c>
      <c r="BG19">
        <v>106.75271083892747</v>
      </c>
      <c r="BH19">
        <v>162</v>
      </c>
      <c r="BI19">
        <v>28835</v>
      </c>
      <c r="BJ19">
        <v>31825</v>
      </c>
      <c r="BK19">
        <v>315.17171865540359</v>
      </c>
      <c r="BL19">
        <v>35</v>
      </c>
      <c r="BM19">
        <v>38.083654100521201</v>
      </c>
      <c r="BN19">
        <v>128</v>
      </c>
      <c r="BO19">
        <v>64.524661470987354</v>
      </c>
      <c r="BP19">
        <v>57.28446876867276</v>
      </c>
      <c r="BQ19">
        <v>218.18177585520226</v>
      </c>
      <c r="BR19">
        <v>250</v>
      </c>
      <c r="BS19">
        <v>73.051643633129245</v>
      </c>
      <c r="BT19">
        <v>1558.432420966056</v>
      </c>
      <c r="BU19">
        <v>12.482018153911397</v>
      </c>
      <c r="BV19">
        <v>8</v>
      </c>
      <c r="BW19">
        <v>5.3839217118050433</v>
      </c>
      <c r="BX19">
        <v>120.43708292112622</v>
      </c>
      <c r="BY19">
        <v>250</v>
      </c>
      <c r="BZ19">
        <v>125</v>
      </c>
      <c r="CA19">
        <v>18.767553297984527</v>
      </c>
      <c r="CB19">
        <v>55.344797474890157</v>
      </c>
      <c r="CC19">
        <v>0</v>
      </c>
      <c r="CD19">
        <v>9.0580683264959355E-2</v>
      </c>
      <c r="CE19">
        <v>14.16267581823166</v>
      </c>
      <c r="CF19">
        <v>90.551170547391251</v>
      </c>
      <c r="CG19">
        <v>1003</v>
      </c>
      <c r="CI19">
        <v>52326.451713539391</v>
      </c>
      <c r="CJ19">
        <v>34287.385702202562</v>
      </c>
      <c r="CK19">
        <v>18979.367385749094</v>
      </c>
      <c r="CL19">
        <v>32019.409672765596</v>
      </c>
      <c r="CM19">
        <v>60878.181775855192</v>
      </c>
    </row>
    <row r="20" spans="1:91" x14ac:dyDescent="0.55000000000000004">
      <c r="A20">
        <v>1996</v>
      </c>
      <c r="B20">
        <v>1508</v>
      </c>
      <c r="C20">
        <v>2837</v>
      </c>
      <c r="D20">
        <v>22</v>
      </c>
      <c r="E20">
        <v>29</v>
      </c>
      <c r="F20">
        <v>2774</v>
      </c>
      <c r="G20">
        <v>0</v>
      </c>
      <c r="H20">
        <v>75</v>
      </c>
      <c r="I20">
        <v>442</v>
      </c>
      <c r="J20">
        <v>500</v>
      </c>
      <c r="K20">
        <v>328</v>
      </c>
      <c r="L20">
        <v>738</v>
      </c>
      <c r="M20">
        <v>640</v>
      </c>
      <c r="N20">
        <v>1994</v>
      </c>
      <c r="O20">
        <v>3745.9999999999991</v>
      </c>
      <c r="P20">
        <v>2935.3338340328924</v>
      </c>
      <c r="Q20">
        <v>1340</v>
      </c>
      <c r="R20">
        <v>1020</v>
      </c>
      <c r="S20">
        <v>7415</v>
      </c>
      <c r="T20">
        <v>2005</v>
      </c>
      <c r="U20">
        <v>20</v>
      </c>
      <c r="V20">
        <v>167</v>
      </c>
      <c r="W20">
        <v>320</v>
      </c>
      <c r="X20">
        <v>6906.9508627744599</v>
      </c>
      <c r="Y20">
        <v>1900</v>
      </c>
      <c r="Z20">
        <v>3538</v>
      </c>
      <c r="AA20">
        <v>1850</v>
      </c>
      <c r="AB20">
        <v>400</v>
      </c>
      <c r="AC20">
        <v>18472.323467432532</v>
      </c>
      <c r="AD20">
        <v>732</v>
      </c>
      <c r="AE20">
        <v>3653.6634440858625</v>
      </c>
      <c r="AF20">
        <v>1250</v>
      </c>
      <c r="AG20">
        <v>1E-3</v>
      </c>
      <c r="AH20">
        <v>1887</v>
      </c>
      <c r="AI20">
        <v>300</v>
      </c>
      <c r="AJ20">
        <v>66.773705061020024</v>
      </c>
      <c r="AK20">
        <v>415</v>
      </c>
      <c r="AL20">
        <v>7780</v>
      </c>
      <c r="AM20">
        <v>1569</v>
      </c>
      <c r="AN20">
        <v>870</v>
      </c>
      <c r="AO20">
        <v>5</v>
      </c>
      <c r="AP20">
        <v>420</v>
      </c>
      <c r="AQ20">
        <v>2375</v>
      </c>
      <c r="AR20">
        <v>550</v>
      </c>
      <c r="AS20">
        <v>6445.7752829671035</v>
      </c>
      <c r="AT20">
        <v>35155.335868631308</v>
      </c>
      <c r="AU20">
        <v>780</v>
      </c>
      <c r="AV20">
        <v>659</v>
      </c>
      <c r="AW20">
        <v>2200</v>
      </c>
      <c r="AX20">
        <v>3000</v>
      </c>
      <c r="AY20">
        <v>21600</v>
      </c>
      <c r="AZ20">
        <v>8205.7968374025641</v>
      </c>
      <c r="BA20">
        <v>1988</v>
      </c>
      <c r="BB20">
        <v>4673</v>
      </c>
      <c r="BC20">
        <v>1593</v>
      </c>
      <c r="BD20">
        <v>684</v>
      </c>
      <c r="BE20">
        <v>17983</v>
      </c>
      <c r="BF20">
        <v>10</v>
      </c>
      <c r="BG20">
        <v>100</v>
      </c>
      <c r="BH20">
        <v>292</v>
      </c>
      <c r="BI20">
        <v>38641</v>
      </c>
      <c r="BJ20">
        <v>24268</v>
      </c>
      <c r="BK20">
        <v>247.74929229169598</v>
      </c>
      <c r="BL20">
        <v>0</v>
      </c>
      <c r="BM20">
        <v>17</v>
      </c>
      <c r="BN20">
        <v>220</v>
      </c>
      <c r="BO20">
        <v>50.721363207962128</v>
      </c>
      <c r="BP20">
        <v>45.030013026840201</v>
      </c>
      <c r="BQ20">
        <v>226.2709748973775</v>
      </c>
      <c r="BR20">
        <v>150</v>
      </c>
      <c r="BS20">
        <v>106.38185163399994</v>
      </c>
      <c r="BT20">
        <v>2269.4756523402893</v>
      </c>
      <c r="BU20">
        <v>18.177006529940765</v>
      </c>
      <c r="BV20">
        <v>14</v>
      </c>
      <c r="BW20">
        <v>0</v>
      </c>
      <c r="BX20">
        <v>20</v>
      </c>
      <c r="BY20">
        <v>150</v>
      </c>
      <c r="BZ20">
        <v>150</v>
      </c>
      <c r="CA20">
        <v>27.330351121270905</v>
      </c>
      <c r="CB20">
        <v>80.59616102898265</v>
      </c>
      <c r="CC20">
        <v>49</v>
      </c>
      <c r="CD20">
        <v>0.13190861052206654</v>
      </c>
      <c r="CE20">
        <v>30</v>
      </c>
      <c r="CF20">
        <v>71.180207776920781</v>
      </c>
      <c r="CG20">
        <v>1030</v>
      </c>
      <c r="CI20">
        <v>41132.629017196632</v>
      </c>
      <c r="CJ20">
        <v>49931.191103758567</v>
      </c>
      <c r="CK20">
        <v>27891</v>
      </c>
      <c r="CL20">
        <v>76956.907989000974</v>
      </c>
      <c r="CM20">
        <v>63135.270974897343</v>
      </c>
    </row>
    <row r="21" spans="1:91" x14ac:dyDescent="0.55000000000000004">
      <c r="A21">
        <v>1997</v>
      </c>
      <c r="B21">
        <v>1195</v>
      </c>
      <c r="C21">
        <v>2335</v>
      </c>
      <c r="D21">
        <v>111</v>
      </c>
      <c r="E21">
        <v>45</v>
      </c>
      <c r="F21">
        <v>2668</v>
      </c>
      <c r="G21">
        <v>36.960322323896101</v>
      </c>
      <c r="H21">
        <v>0</v>
      </c>
      <c r="I21">
        <v>229</v>
      </c>
      <c r="J21">
        <v>549</v>
      </c>
      <c r="K21">
        <v>94</v>
      </c>
      <c r="L21">
        <v>1042</v>
      </c>
      <c r="M21">
        <v>665</v>
      </c>
      <c r="N21">
        <v>2857</v>
      </c>
      <c r="O21">
        <v>6414.9999999999982</v>
      </c>
      <c r="P21">
        <v>1818.5198839752074</v>
      </c>
      <c r="Q21">
        <v>1869</v>
      </c>
      <c r="R21">
        <v>560</v>
      </c>
      <c r="S21">
        <v>6258</v>
      </c>
      <c r="T21">
        <v>2021</v>
      </c>
      <c r="U21">
        <v>33.626311737634758</v>
      </c>
      <c r="V21">
        <v>67</v>
      </c>
      <c r="W21">
        <v>186</v>
      </c>
      <c r="X21">
        <v>2249.436001462625</v>
      </c>
      <c r="Y21">
        <v>3329</v>
      </c>
      <c r="Z21">
        <v>3662</v>
      </c>
      <c r="AA21">
        <v>1800</v>
      </c>
      <c r="AB21">
        <v>115</v>
      </c>
      <c r="AC21">
        <v>17708.018111646692</v>
      </c>
      <c r="AD21">
        <v>358</v>
      </c>
      <c r="AE21">
        <v>6395.9097489468058</v>
      </c>
      <c r="AF21">
        <v>806</v>
      </c>
      <c r="AG21">
        <v>1E-3</v>
      </c>
      <c r="AH21">
        <v>1968</v>
      </c>
      <c r="AI21">
        <v>32</v>
      </c>
      <c r="AJ21">
        <v>65.1890651507847</v>
      </c>
      <c r="AK21">
        <v>260</v>
      </c>
      <c r="AL21">
        <v>7830</v>
      </c>
      <c r="AM21">
        <v>725</v>
      </c>
      <c r="AN21">
        <v>1230</v>
      </c>
      <c r="AO21">
        <v>191.58430295216218</v>
      </c>
      <c r="AP21">
        <v>480</v>
      </c>
      <c r="AQ21">
        <v>2130</v>
      </c>
      <c r="AR21">
        <v>95.891624564150007</v>
      </c>
      <c r="AS21">
        <v>4952.2215787978694</v>
      </c>
      <c r="AT21">
        <v>22853.791506021036</v>
      </c>
      <c r="AU21">
        <v>915</v>
      </c>
      <c r="AV21">
        <v>563</v>
      </c>
      <c r="AW21">
        <v>3397</v>
      </c>
      <c r="AX21">
        <v>1358</v>
      </c>
      <c r="AY21">
        <v>27000</v>
      </c>
      <c r="AZ21">
        <v>7163.2181955428396</v>
      </c>
      <c r="BA21">
        <v>1569</v>
      </c>
      <c r="BB21">
        <v>9561</v>
      </c>
      <c r="BC21">
        <v>505</v>
      </c>
      <c r="BD21">
        <v>636</v>
      </c>
      <c r="BE21">
        <v>9747</v>
      </c>
      <c r="BF21">
        <v>31</v>
      </c>
      <c r="BG21">
        <v>100</v>
      </c>
      <c r="BH21">
        <v>573</v>
      </c>
      <c r="BI21">
        <v>71955</v>
      </c>
      <c r="BJ21">
        <v>82805</v>
      </c>
      <c r="BK21">
        <v>249.24163623170224</v>
      </c>
      <c r="BL21">
        <v>0</v>
      </c>
      <c r="BM21">
        <v>54.14338996474148</v>
      </c>
      <c r="BN21">
        <v>275</v>
      </c>
      <c r="BO21">
        <v>51.02688867813437</v>
      </c>
      <c r="BP21">
        <v>45.301256050129602</v>
      </c>
      <c r="BQ21">
        <v>556.64048188841252</v>
      </c>
      <c r="BR21">
        <v>292</v>
      </c>
      <c r="BS21">
        <v>103.85725115436627</v>
      </c>
      <c r="BT21">
        <v>2215.61760012169</v>
      </c>
      <c r="BU21">
        <v>17.745638973360968</v>
      </c>
      <c r="BV21">
        <v>45</v>
      </c>
      <c r="BW21">
        <v>7.6543015544800239</v>
      </c>
      <c r="BX21">
        <v>48</v>
      </c>
      <c r="BY21">
        <v>251</v>
      </c>
      <c r="BZ21">
        <v>358</v>
      </c>
      <c r="CA21">
        <v>11</v>
      </c>
      <c r="CB21">
        <v>78.683493561128827</v>
      </c>
      <c r="CC21">
        <v>34</v>
      </c>
      <c r="CD21">
        <v>0.12877822186764129</v>
      </c>
      <c r="CE21">
        <v>80</v>
      </c>
      <c r="CF21">
        <v>90</v>
      </c>
      <c r="CG21">
        <v>2182</v>
      </c>
      <c r="CI21">
        <v>41380.395737668499</v>
      </c>
      <c r="CJ21">
        <v>48746.249245038904</v>
      </c>
      <c r="CK21">
        <v>22593.891624564152</v>
      </c>
      <c r="CL21">
        <v>67179.231280361753</v>
      </c>
      <c r="CM21">
        <v>155316.64048188849</v>
      </c>
    </row>
    <row r="22" spans="1:91" x14ac:dyDescent="0.55000000000000004">
      <c r="A22">
        <v>1998</v>
      </c>
      <c r="B22">
        <v>1098</v>
      </c>
      <c r="C22">
        <v>1289</v>
      </c>
      <c r="D22">
        <v>57</v>
      </c>
      <c r="E22">
        <v>161</v>
      </c>
      <c r="F22">
        <v>1262</v>
      </c>
      <c r="G22">
        <v>20</v>
      </c>
      <c r="H22">
        <v>88</v>
      </c>
      <c r="I22">
        <v>186</v>
      </c>
      <c r="J22">
        <v>1788</v>
      </c>
      <c r="K22">
        <v>392</v>
      </c>
      <c r="L22">
        <v>2293</v>
      </c>
      <c r="M22">
        <v>435</v>
      </c>
      <c r="N22">
        <v>2049</v>
      </c>
      <c r="O22">
        <v>7081.9999999999982</v>
      </c>
      <c r="P22">
        <v>2528</v>
      </c>
      <c r="Q22">
        <v>1588</v>
      </c>
      <c r="R22">
        <v>1197</v>
      </c>
      <c r="S22">
        <v>4642</v>
      </c>
      <c r="T22">
        <v>1919</v>
      </c>
      <c r="U22">
        <v>15</v>
      </c>
      <c r="V22">
        <v>191</v>
      </c>
      <c r="W22">
        <v>39</v>
      </c>
      <c r="X22">
        <v>1351.4575577649703</v>
      </c>
      <c r="Y22">
        <v>2026</v>
      </c>
      <c r="Z22">
        <v>5191</v>
      </c>
      <c r="AA22">
        <v>480</v>
      </c>
      <c r="AB22">
        <v>22</v>
      </c>
      <c r="AC22">
        <v>15895.071125452758</v>
      </c>
      <c r="AD22">
        <v>589</v>
      </c>
      <c r="AE22">
        <v>2334.5070583655838</v>
      </c>
      <c r="AF22">
        <v>651</v>
      </c>
      <c r="AG22">
        <v>1E-3</v>
      </c>
      <c r="AH22">
        <v>488</v>
      </c>
      <c r="AI22">
        <v>170.9252119595667</v>
      </c>
      <c r="AJ22">
        <v>55.475616577225082</v>
      </c>
      <c r="AK22">
        <v>341</v>
      </c>
      <c r="AL22">
        <v>7007</v>
      </c>
      <c r="AM22">
        <v>369</v>
      </c>
      <c r="AN22">
        <v>405</v>
      </c>
      <c r="AO22">
        <v>163.03742519095078</v>
      </c>
      <c r="AP22">
        <v>158</v>
      </c>
      <c r="AQ22">
        <v>2156</v>
      </c>
      <c r="AR22">
        <v>167</v>
      </c>
      <c r="AS22">
        <v>5795.7394106830116</v>
      </c>
      <c r="AT22">
        <v>34643.800623849245</v>
      </c>
      <c r="AU22">
        <v>956.91115783666601</v>
      </c>
      <c r="AV22">
        <v>284</v>
      </c>
      <c r="AW22">
        <v>4182</v>
      </c>
      <c r="AX22">
        <v>1246</v>
      </c>
      <c r="AY22">
        <v>41306</v>
      </c>
      <c r="AZ22">
        <v>10451.514531790139</v>
      </c>
      <c r="BA22">
        <v>765</v>
      </c>
      <c r="BB22">
        <v>1961</v>
      </c>
      <c r="BC22">
        <v>398</v>
      </c>
      <c r="BD22">
        <v>446</v>
      </c>
      <c r="BE22">
        <v>1724</v>
      </c>
      <c r="BF22">
        <v>8</v>
      </c>
      <c r="BG22">
        <v>176</v>
      </c>
      <c r="BH22">
        <v>567</v>
      </c>
      <c r="BI22">
        <v>201261</v>
      </c>
      <c r="BJ22">
        <v>81512</v>
      </c>
      <c r="BK22">
        <v>208.18234074038577</v>
      </c>
      <c r="BL22">
        <v>110</v>
      </c>
      <c r="BM22">
        <v>46.075794075703485</v>
      </c>
      <c r="BN22">
        <v>100</v>
      </c>
      <c r="BO22">
        <v>42.62087701846793</v>
      </c>
      <c r="BP22">
        <v>37.83846738282638</v>
      </c>
      <c r="BQ22">
        <v>891</v>
      </c>
      <c r="BR22">
        <v>360</v>
      </c>
      <c r="BS22">
        <v>88.382078044492957</v>
      </c>
      <c r="BT22">
        <v>1324</v>
      </c>
      <c r="BU22">
        <v>15.101463126169483</v>
      </c>
      <c r="BV22">
        <v>18</v>
      </c>
      <c r="BW22">
        <v>0</v>
      </c>
      <c r="BX22">
        <v>145.71170657902525</v>
      </c>
      <c r="BY22">
        <v>125</v>
      </c>
      <c r="BZ22">
        <v>880</v>
      </c>
      <c r="CA22">
        <v>2</v>
      </c>
      <c r="CB22">
        <v>66.959317634902419</v>
      </c>
      <c r="CC22">
        <v>25</v>
      </c>
      <c r="CD22">
        <v>0.10958971789673065</v>
      </c>
      <c r="CE22">
        <v>117</v>
      </c>
      <c r="CF22">
        <v>18</v>
      </c>
      <c r="CG22">
        <v>703</v>
      </c>
      <c r="CI22">
        <v>34563.517459108894</v>
      </c>
      <c r="CJ22">
        <v>41482.850328358691</v>
      </c>
      <c r="CK22">
        <v>5619</v>
      </c>
      <c r="CL22">
        <v>98018.054566322389</v>
      </c>
      <c r="CM22">
        <v>283664.00000000012</v>
      </c>
    </row>
    <row r="23" spans="1:91" x14ac:dyDescent="0.55000000000000004">
      <c r="A23">
        <v>1999</v>
      </c>
      <c r="B23">
        <v>375</v>
      </c>
      <c r="C23">
        <v>2081</v>
      </c>
      <c r="D23">
        <v>14</v>
      </c>
      <c r="E23">
        <v>46</v>
      </c>
      <c r="F23">
        <v>523</v>
      </c>
      <c r="G23">
        <v>21.033179354507453</v>
      </c>
      <c r="H23">
        <v>38.273379856808724</v>
      </c>
      <c r="I23">
        <v>86</v>
      </c>
      <c r="J23">
        <v>591</v>
      </c>
      <c r="K23">
        <v>206</v>
      </c>
      <c r="L23">
        <v>1503</v>
      </c>
      <c r="M23">
        <v>342</v>
      </c>
      <c r="N23">
        <v>1235</v>
      </c>
      <c r="O23">
        <v>3429.9999999999991</v>
      </c>
      <c r="P23">
        <v>1740</v>
      </c>
      <c r="Q23">
        <v>716</v>
      </c>
      <c r="R23">
        <v>858</v>
      </c>
      <c r="S23">
        <v>3875</v>
      </c>
      <c r="T23">
        <v>1876</v>
      </c>
      <c r="U23">
        <v>18</v>
      </c>
      <c r="V23">
        <v>171</v>
      </c>
      <c r="W23">
        <v>115</v>
      </c>
      <c r="X23">
        <v>625.16123915708511</v>
      </c>
      <c r="Y23">
        <v>709</v>
      </c>
      <c r="Z23">
        <v>1770</v>
      </c>
      <c r="AA23">
        <v>364</v>
      </c>
      <c r="AB23">
        <v>22</v>
      </c>
      <c r="AC23">
        <v>9921.8476847580096</v>
      </c>
      <c r="AD23">
        <v>277</v>
      </c>
      <c r="AE23">
        <v>4630.6386582374871</v>
      </c>
      <c r="AF23">
        <v>417</v>
      </c>
      <c r="AG23">
        <v>1E-3</v>
      </c>
      <c r="AH23">
        <v>906</v>
      </c>
      <c r="AI23">
        <v>120.48132655581315</v>
      </c>
      <c r="AJ23">
        <v>39.103510828506799</v>
      </c>
      <c r="AK23">
        <v>91</v>
      </c>
      <c r="AL23">
        <v>3837</v>
      </c>
      <c r="AM23">
        <v>524</v>
      </c>
      <c r="AN23">
        <v>1095</v>
      </c>
      <c r="AO23">
        <v>114.92140357793765</v>
      </c>
      <c r="AP23">
        <v>183</v>
      </c>
      <c r="AQ23">
        <v>3375</v>
      </c>
      <c r="AR23">
        <v>398.77000730432826</v>
      </c>
      <c r="AS23">
        <v>3275.1299297183227</v>
      </c>
      <c r="AT23">
        <v>47660.04573773322</v>
      </c>
      <c r="AU23">
        <v>624</v>
      </c>
      <c r="AV23">
        <v>319</v>
      </c>
      <c r="AW23">
        <v>2335</v>
      </c>
      <c r="AX23">
        <v>1163</v>
      </c>
      <c r="AY23">
        <v>13954</v>
      </c>
      <c r="AZ23">
        <v>1815</v>
      </c>
      <c r="BA23">
        <v>812</v>
      </c>
      <c r="BB23">
        <v>1979</v>
      </c>
      <c r="BC23">
        <v>277</v>
      </c>
      <c r="BD23">
        <v>166</v>
      </c>
      <c r="BE23">
        <v>8281</v>
      </c>
      <c r="BF23">
        <v>43.783477799209571</v>
      </c>
      <c r="BG23">
        <v>220</v>
      </c>
      <c r="BH23">
        <v>147</v>
      </c>
      <c r="BI23">
        <v>105536</v>
      </c>
      <c r="BJ23">
        <v>77251</v>
      </c>
      <c r="BK23">
        <v>141.83707575739791</v>
      </c>
      <c r="BL23">
        <v>11</v>
      </c>
      <c r="BM23">
        <v>198</v>
      </c>
      <c r="BN23">
        <v>107</v>
      </c>
      <c r="BO23">
        <v>29.038104485787677</v>
      </c>
      <c r="BP23">
        <v>25.779792587761204</v>
      </c>
      <c r="BQ23">
        <v>528</v>
      </c>
      <c r="BR23">
        <v>34</v>
      </c>
      <c r="BS23">
        <v>62.298533285299392</v>
      </c>
      <c r="BT23">
        <v>1329.0331226224962</v>
      </c>
      <c r="BU23">
        <v>10.644680732091155</v>
      </c>
      <c r="BV23">
        <v>21.98580317280577</v>
      </c>
      <c r="BW23">
        <v>0.01</v>
      </c>
      <c r="BX23">
        <v>102.7088953237936</v>
      </c>
      <c r="BY23">
        <v>162</v>
      </c>
      <c r="BZ23">
        <v>52</v>
      </c>
      <c r="CA23">
        <v>11</v>
      </c>
      <c r="CB23">
        <v>47.198112680026824</v>
      </c>
      <c r="CC23">
        <v>37</v>
      </c>
      <c r="CD23">
        <v>7.7247320261909697E-2</v>
      </c>
      <c r="CE23">
        <v>99</v>
      </c>
      <c r="CF23">
        <v>115</v>
      </c>
      <c r="CG23">
        <v>565</v>
      </c>
      <c r="CI23">
        <v>23548.53071040885</v>
      </c>
      <c r="CJ23">
        <v>29240.325517684232</v>
      </c>
      <c r="CK23">
        <v>12096.770007304329</v>
      </c>
      <c r="CL23">
        <v>70628.175667451549</v>
      </c>
      <c r="CM23">
        <v>183315.00000000003</v>
      </c>
    </row>
    <row r="24" spans="1:91" x14ac:dyDescent="0.55000000000000004">
      <c r="A24">
        <v>2000</v>
      </c>
      <c r="B24">
        <v>486</v>
      </c>
      <c r="C24">
        <v>2262</v>
      </c>
      <c r="D24">
        <v>128</v>
      </c>
      <c r="E24">
        <v>62</v>
      </c>
      <c r="F24">
        <v>1784</v>
      </c>
      <c r="G24">
        <v>32</v>
      </c>
      <c r="H24">
        <v>52</v>
      </c>
      <c r="I24">
        <v>212</v>
      </c>
      <c r="J24">
        <v>694</v>
      </c>
      <c r="K24">
        <v>252</v>
      </c>
      <c r="L24">
        <v>1466</v>
      </c>
      <c r="M24">
        <v>280</v>
      </c>
      <c r="N24">
        <v>1624</v>
      </c>
      <c r="O24">
        <v>2585.9999999999995</v>
      </c>
      <c r="P24">
        <v>2251</v>
      </c>
      <c r="Q24">
        <v>1277</v>
      </c>
      <c r="R24">
        <v>704</v>
      </c>
      <c r="S24">
        <v>1875</v>
      </c>
      <c r="T24">
        <v>3459</v>
      </c>
      <c r="U24">
        <v>26.955724050372552</v>
      </c>
      <c r="V24">
        <v>160</v>
      </c>
      <c r="W24">
        <v>20</v>
      </c>
      <c r="X24">
        <v>793.00000000000011</v>
      </c>
      <c r="Y24">
        <v>1208</v>
      </c>
      <c r="Z24">
        <v>1778</v>
      </c>
      <c r="AA24">
        <v>382</v>
      </c>
      <c r="AB24">
        <v>174</v>
      </c>
      <c r="AC24">
        <v>10190.279654199205</v>
      </c>
      <c r="AD24">
        <v>229</v>
      </c>
      <c r="AE24">
        <v>4750.56196603024</v>
      </c>
      <c r="AF24">
        <v>493</v>
      </c>
      <c r="AG24">
        <v>410</v>
      </c>
      <c r="AH24">
        <v>769</v>
      </c>
      <c r="AI24">
        <v>46</v>
      </c>
      <c r="AJ24">
        <v>46</v>
      </c>
      <c r="AK24">
        <v>245</v>
      </c>
      <c r="AL24">
        <v>4563</v>
      </c>
      <c r="AM24">
        <v>1511</v>
      </c>
      <c r="AN24">
        <v>936</v>
      </c>
      <c r="AO24">
        <v>77</v>
      </c>
      <c r="AP24">
        <v>611</v>
      </c>
      <c r="AQ24">
        <v>11678</v>
      </c>
      <c r="AR24">
        <v>91</v>
      </c>
      <c r="AS24">
        <v>3487.8039346411824</v>
      </c>
      <c r="AT24">
        <v>28061</v>
      </c>
      <c r="AU24">
        <v>1085</v>
      </c>
      <c r="AV24">
        <v>426</v>
      </c>
      <c r="AW24">
        <v>2266</v>
      </c>
      <c r="AX24">
        <v>2043</v>
      </c>
      <c r="AY24">
        <v>10806</v>
      </c>
      <c r="AZ24">
        <v>3205</v>
      </c>
      <c r="BA24">
        <v>715</v>
      </c>
      <c r="BB24">
        <v>5328</v>
      </c>
      <c r="BC24">
        <v>580</v>
      </c>
      <c r="BD24">
        <v>766</v>
      </c>
      <c r="BE24">
        <v>8309</v>
      </c>
      <c r="BF24">
        <v>40</v>
      </c>
      <c r="BG24">
        <v>282</v>
      </c>
      <c r="BH24">
        <v>404</v>
      </c>
      <c r="BI24">
        <v>79141</v>
      </c>
      <c r="BJ24">
        <v>68931</v>
      </c>
      <c r="BK24">
        <v>174.73143964043231</v>
      </c>
      <c r="BL24">
        <v>235</v>
      </c>
      <c r="BM24">
        <v>115</v>
      </c>
      <c r="BN24">
        <v>60</v>
      </c>
      <c r="BO24">
        <v>35.772521212362449</v>
      </c>
      <c r="BP24">
        <v>31.75855289202347</v>
      </c>
      <c r="BQ24">
        <v>419</v>
      </c>
      <c r="BR24">
        <v>282</v>
      </c>
      <c r="BS24">
        <v>83.254667493433843</v>
      </c>
      <c r="BT24">
        <v>1776.096560812704</v>
      </c>
      <c r="BU24">
        <v>14.225364678579561</v>
      </c>
      <c r="BV24">
        <v>15</v>
      </c>
      <c r="BW24">
        <v>0.01</v>
      </c>
      <c r="BX24">
        <v>137.25836673618957</v>
      </c>
      <c r="BY24">
        <v>218</v>
      </c>
      <c r="BZ24">
        <v>231</v>
      </c>
      <c r="CA24">
        <v>45</v>
      </c>
      <c r="CB24">
        <v>63.074730178607489</v>
      </c>
      <c r="CC24">
        <v>34</v>
      </c>
      <c r="CD24">
        <v>0.10323196428577332</v>
      </c>
      <c r="CE24">
        <v>40</v>
      </c>
      <c r="CF24">
        <v>31</v>
      </c>
      <c r="CG24">
        <v>637</v>
      </c>
      <c r="CI24">
        <v>29009.824479775059</v>
      </c>
      <c r="CJ24">
        <v>39076.258300113383</v>
      </c>
      <c r="CK24">
        <v>16400</v>
      </c>
      <c r="CL24">
        <v>50250.803934641182</v>
      </c>
      <c r="CM24">
        <v>148491.00000000009</v>
      </c>
    </row>
    <row r="25" spans="1:91" x14ac:dyDescent="0.55000000000000004">
      <c r="A25">
        <v>2001</v>
      </c>
      <c r="B25">
        <v>982</v>
      </c>
      <c r="C25">
        <v>3832</v>
      </c>
      <c r="D25">
        <v>94</v>
      </c>
      <c r="E25">
        <v>57</v>
      </c>
      <c r="F25">
        <v>1018</v>
      </c>
      <c r="G25">
        <v>9</v>
      </c>
      <c r="H25">
        <v>49</v>
      </c>
      <c r="I25">
        <v>411</v>
      </c>
      <c r="J25">
        <v>710.52487205000591</v>
      </c>
      <c r="K25">
        <v>177</v>
      </c>
      <c r="L25">
        <v>1755</v>
      </c>
      <c r="M25">
        <v>385</v>
      </c>
      <c r="N25">
        <v>2212</v>
      </c>
      <c r="O25">
        <v>5489.9999999999991</v>
      </c>
      <c r="P25">
        <v>2420</v>
      </c>
      <c r="Q25">
        <v>893</v>
      </c>
      <c r="R25">
        <v>480</v>
      </c>
      <c r="S25">
        <v>1954</v>
      </c>
      <c r="T25">
        <v>5526</v>
      </c>
      <c r="U25">
        <v>30.458954621515023</v>
      </c>
      <c r="V25">
        <v>275</v>
      </c>
      <c r="W25">
        <v>143.06347226695311</v>
      </c>
      <c r="X25">
        <v>1922.0000000000002</v>
      </c>
      <c r="Y25">
        <v>788</v>
      </c>
      <c r="Z25">
        <v>2418</v>
      </c>
      <c r="AA25">
        <v>503</v>
      </c>
      <c r="AB25">
        <v>281</v>
      </c>
      <c r="AC25">
        <v>12023.783804065366</v>
      </c>
      <c r="AD25">
        <v>243</v>
      </c>
      <c r="AE25">
        <v>2516.7904862105679</v>
      </c>
      <c r="AF25">
        <v>458</v>
      </c>
      <c r="AG25">
        <v>677</v>
      </c>
      <c r="AH25">
        <v>198</v>
      </c>
      <c r="AI25">
        <v>248</v>
      </c>
      <c r="AJ25">
        <v>9</v>
      </c>
      <c r="AK25">
        <v>172</v>
      </c>
      <c r="AL25">
        <v>3588</v>
      </c>
      <c r="AM25">
        <v>1121</v>
      </c>
      <c r="AN25">
        <v>237</v>
      </c>
      <c r="AO25">
        <v>362</v>
      </c>
      <c r="AP25">
        <v>349</v>
      </c>
      <c r="AQ25">
        <v>11959</v>
      </c>
      <c r="AR25">
        <v>459</v>
      </c>
      <c r="AS25">
        <v>3800.2278288763368</v>
      </c>
      <c r="AT25">
        <v>36031.065214454575</v>
      </c>
      <c r="AU25">
        <v>1397</v>
      </c>
      <c r="AV25">
        <v>1365</v>
      </c>
      <c r="AW25">
        <v>5889</v>
      </c>
      <c r="AX25">
        <v>9885</v>
      </c>
      <c r="AY25">
        <v>22610</v>
      </c>
      <c r="AZ25">
        <v>6904</v>
      </c>
      <c r="BA25">
        <v>1207</v>
      </c>
      <c r="BB25">
        <v>6285</v>
      </c>
      <c r="BC25">
        <v>855</v>
      </c>
      <c r="BD25">
        <v>709</v>
      </c>
      <c r="BE25">
        <v>9105</v>
      </c>
      <c r="BF25">
        <v>97</v>
      </c>
      <c r="BG25">
        <v>422</v>
      </c>
      <c r="BH25">
        <v>703</v>
      </c>
      <c r="BI25">
        <v>109836</v>
      </c>
      <c r="BJ25">
        <v>71734</v>
      </c>
      <c r="BK25">
        <v>205.14236983266267</v>
      </c>
      <c r="BL25">
        <v>88</v>
      </c>
      <c r="BM25">
        <v>117</v>
      </c>
      <c r="BN25">
        <v>109</v>
      </c>
      <c r="BO25">
        <v>41.998508061826385</v>
      </c>
      <c r="BP25">
        <v>37.285933293587426</v>
      </c>
      <c r="BQ25">
        <v>820</v>
      </c>
      <c r="BR25">
        <v>718</v>
      </c>
      <c r="BS25">
        <v>94.074643829749974</v>
      </c>
      <c r="BT25">
        <v>2006.922331157911</v>
      </c>
      <c r="BU25">
        <v>16.074127202432503</v>
      </c>
      <c r="BV25">
        <v>74</v>
      </c>
      <c r="BW25">
        <v>0</v>
      </c>
      <c r="BX25">
        <v>215</v>
      </c>
      <c r="BY25">
        <v>383</v>
      </c>
      <c r="BZ25">
        <v>240</v>
      </c>
      <c r="CA25">
        <v>11</v>
      </c>
      <c r="CB25">
        <v>71.272073444747889</v>
      </c>
      <c r="CC25">
        <v>48</v>
      </c>
      <c r="CD25">
        <v>0.11664823804377725</v>
      </c>
      <c r="CE25">
        <v>191</v>
      </c>
      <c r="CF25">
        <v>199</v>
      </c>
      <c r="CG25">
        <v>1458</v>
      </c>
      <c r="CI25">
        <v>34058.805641715604</v>
      </c>
      <c r="CJ25">
        <v>44154.702582559767</v>
      </c>
      <c r="CK25">
        <v>18969</v>
      </c>
      <c r="CL25">
        <v>85841.293043330908</v>
      </c>
      <c r="CM25">
        <v>182389.99999999994</v>
      </c>
    </row>
    <row r="26" spans="1:91" x14ac:dyDescent="0.55000000000000004">
      <c r="A26">
        <v>2002</v>
      </c>
      <c r="B26">
        <v>1516</v>
      </c>
      <c r="C26">
        <v>4302</v>
      </c>
      <c r="D26">
        <v>308</v>
      </c>
      <c r="E26">
        <v>132</v>
      </c>
      <c r="F26">
        <v>3740</v>
      </c>
      <c r="G26">
        <v>122</v>
      </c>
      <c r="H26">
        <v>73</v>
      </c>
      <c r="I26">
        <v>820</v>
      </c>
      <c r="J26">
        <v>0.01</v>
      </c>
      <c r="K26">
        <v>381</v>
      </c>
      <c r="L26">
        <v>2565</v>
      </c>
      <c r="M26">
        <v>574</v>
      </c>
      <c r="N26">
        <v>3021</v>
      </c>
      <c r="O26">
        <v>7058.9999999999982</v>
      </c>
      <c r="P26">
        <v>3753</v>
      </c>
      <c r="Q26">
        <v>1046</v>
      </c>
      <c r="R26">
        <v>587</v>
      </c>
      <c r="S26">
        <v>4489</v>
      </c>
      <c r="T26">
        <v>3397</v>
      </c>
      <c r="U26">
        <v>0</v>
      </c>
      <c r="V26">
        <v>292</v>
      </c>
      <c r="W26">
        <v>229</v>
      </c>
      <c r="X26">
        <v>1629.0000000000002</v>
      </c>
      <c r="Y26">
        <v>1348</v>
      </c>
      <c r="Z26">
        <v>5514</v>
      </c>
      <c r="AA26">
        <v>1097</v>
      </c>
      <c r="AB26">
        <v>380</v>
      </c>
      <c r="AC26">
        <v>12168.351835248375</v>
      </c>
      <c r="AD26">
        <v>520</v>
      </c>
      <c r="AE26">
        <v>3345.0607986991795</v>
      </c>
      <c r="AF26">
        <v>420</v>
      </c>
      <c r="AG26">
        <v>0.01</v>
      </c>
      <c r="AH26">
        <v>969</v>
      </c>
      <c r="AI26">
        <v>445</v>
      </c>
      <c r="AJ26">
        <v>6</v>
      </c>
      <c r="AK26">
        <v>166</v>
      </c>
      <c r="AL26">
        <v>5689</v>
      </c>
      <c r="AM26">
        <v>480</v>
      </c>
      <c r="AN26">
        <v>443</v>
      </c>
      <c r="AO26">
        <v>377</v>
      </c>
      <c r="AP26">
        <v>481</v>
      </c>
      <c r="AQ26">
        <v>2669</v>
      </c>
      <c r="AR26">
        <v>245</v>
      </c>
      <c r="AS26">
        <v>7387.5778900788655</v>
      </c>
      <c r="AT26">
        <v>54578</v>
      </c>
      <c r="AU26">
        <v>1458</v>
      </c>
      <c r="AV26">
        <v>971</v>
      </c>
      <c r="AW26">
        <v>3090</v>
      </c>
      <c r="AX26">
        <v>2799</v>
      </c>
      <c r="AY26">
        <v>43804</v>
      </c>
      <c r="AZ26">
        <v>18927</v>
      </c>
      <c r="BA26">
        <v>528</v>
      </c>
      <c r="BB26">
        <v>8370</v>
      </c>
      <c r="BC26">
        <v>1417</v>
      </c>
      <c r="BD26">
        <v>932</v>
      </c>
      <c r="BE26">
        <v>13022</v>
      </c>
      <c r="BF26">
        <v>169</v>
      </c>
      <c r="BG26">
        <v>927</v>
      </c>
      <c r="BH26">
        <v>512</v>
      </c>
      <c r="BI26">
        <v>84410</v>
      </c>
      <c r="BJ26">
        <v>63476</v>
      </c>
      <c r="BK26">
        <v>276</v>
      </c>
      <c r="BL26">
        <v>480</v>
      </c>
      <c r="BM26">
        <v>155</v>
      </c>
      <c r="BN26">
        <v>35</v>
      </c>
      <c r="BO26">
        <v>54.851030087974038</v>
      </c>
      <c r="BP26">
        <v>48.696297638336119</v>
      </c>
      <c r="BQ26">
        <v>153</v>
      </c>
      <c r="BR26">
        <v>420</v>
      </c>
      <c r="BS26">
        <v>83.234102468613244</v>
      </c>
      <c r="BT26">
        <v>515</v>
      </c>
      <c r="BU26">
        <v>46</v>
      </c>
      <c r="BV26">
        <v>126</v>
      </c>
      <c r="BW26">
        <v>0</v>
      </c>
      <c r="BX26">
        <v>300</v>
      </c>
      <c r="BY26">
        <v>149</v>
      </c>
      <c r="BZ26">
        <v>281</v>
      </c>
      <c r="CA26">
        <v>0.01</v>
      </c>
      <c r="CB26">
        <v>97</v>
      </c>
      <c r="CC26">
        <v>268</v>
      </c>
      <c r="CD26">
        <v>0</v>
      </c>
      <c r="CE26">
        <v>149</v>
      </c>
      <c r="CF26">
        <v>76.975606953466823</v>
      </c>
      <c r="CG26">
        <v>990</v>
      </c>
      <c r="CI26">
        <v>44481.593733378955</v>
      </c>
      <c r="CJ26">
        <v>39066.605937716988</v>
      </c>
      <c r="CK26">
        <v>24995</v>
      </c>
      <c r="CL26">
        <v>131696.57789007886</v>
      </c>
      <c r="CM26">
        <v>148039.00000000003</v>
      </c>
    </row>
    <row r="27" spans="1:91" x14ac:dyDescent="0.55000000000000004">
      <c r="A27">
        <v>2003</v>
      </c>
      <c r="B27">
        <v>835</v>
      </c>
      <c r="C27">
        <v>3048</v>
      </c>
      <c r="D27">
        <v>288</v>
      </c>
      <c r="E27">
        <v>385</v>
      </c>
      <c r="F27">
        <v>4110</v>
      </c>
      <c r="G27">
        <v>49</v>
      </c>
      <c r="H27">
        <v>160</v>
      </c>
      <c r="I27">
        <v>569</v>
      </c>
      <c r="J27">
        <v>241</v>
      </c>
      <c r="K27">
        <v>543</v>
      </c>
      <c r="L27">
        <v>4457</v>
      </c>
      <c r="M27">
        <v>505</v>
      </c>
      <c r="N27">
        <v>3676</v>
      </c>
      <c r="O27">
        <v>10046.999999999998</v>
      </c>
      <c r="P27">
        <v>4100</v>
      </c>
      <c r="Q27">
        <v>1739</v>
      </c>
      <c r="R27">
        <v>2448</v>
      </c>
      <c r="S27">
        <v>6767.139579472585</v>
      </c>
      <c r="T27">
        <v>5121</v>
      </c>
      <c r="U27">
        <v>0.01</v>
      </c>
      <c r="V27">
        <v>264.14841584073514</v>
      </c>
      <c r="W27">
        <v>232.27479993907238</v>
      </c>
      <c r="X27">
        <v>3945.0000000000005</v>
      </c>
      <c r="Y27">
        <v>1571.2833071045181</v>
      </c>
      <c r="Z27">
        <v>5265</v>
      </c>
      <c r="AA27">
        <v>2198</v>
      </c>
      <c r="AB27">
        <v>245</v>
      </c>
      <c r="AC27">
        <v>23307.994150253166</v>
      </c>
      <c r="AD27">
        <v>686</v>
      </c>
      <c r="AE27">
        <v>5430.1273768558376</v>
      </c>
      <c r="AF27">
        <v>1038</v>
      </c>
      <c r="AG27">
        <v>1E-3</v>
      </c>
      <c r="AH27">
        <v>879.1280870896868</v>
      </c>
      <c r="AI27">
        <v>158</v>
      </c>
      <c r="AJ27">
        <v>5</v>
      </c>
      <c r="AK27">
        <v>929</v>
      </c>
      <c r="AL27">
        <v>6234</v>
      </c>
      <c r="AM27">
        <v>45</v>
      </c>
      <c r="AN27">
        <v>311</v>
      </c>
      <c r="AO27">
        <v>131</v>
      </c>
      <c r="AP27">
        <v>198</v>
      </c>
      <c r="AQ27">
        <v>1989</v>
      </c>
      <c r="AR27">
        <v>207</v>
      </c>
      <c r="AS27">
        <v>6187.0732209632479</v>
      </c>
      <c r="AT27">
        <v>40255.703862911774</v>
      </c>
      <c r="AU27">
        <v>1583</v>
      </c>
      <c r="AV27">
        <v>151</v>
      </c>
      <c r="AW27">
        <v>1920</v>
      </c>
      <c r="AX27">
        <v>2488</v>
      </c>
      <c r="AY27">
        <v>38178</v>
      </c>
      <c r="AZ27">
        <v>10742.597717539596</v>
      </c>
      <c r="BA27">
        <v>2044</v>
      </c>
      <c r="BB27">
        <v>9609</v>
      </c>
      <c r="BC27">
        <v>1290</v>
      </c>
      <c r="BD27">
        <v>1242</v>
      </c>
      <c r="BE27">
        <v>14630</v>
      </c>
      <c r="BF27">
        <v>89</v>
      </c>
      <c r="BG27">
        <v>782</v>
      </c>
      <c r="BH27">
        <v>480</v>
      </c>
      <c r="BI27">
        <v>247918</v>
      </c>
      <c r="BJ27">
        <v>55126</v>
      </c>
      <c r="BK27">
        <v>180</v>
      </c>
      <c r="BL27">
        <v>329</v>
      </c>
      <c r="BM27">
        <v>0</v>
      </c>
      <c r="BN27">
        <v>150</v>
      </c>
      <c r="BO27">
        <v>68.187881247543586</v>
      </c>
      <c r="BP27">
        <v>146</v>
      </c>
      <c r="BQ27">
        <v>1136</v>
      </c>
      <c r="BR27">
        <v>423</v>
      </c>
      <c r="BS27">
        <v>121.48639329675045</v>
      </c>
      <c r="BT27">
        <v>1510</v>
      </c>
      <c r="BU27">
        <v>0</v>
      </c>
      <c r="BV27">
        <v>48</v>
      </c>
      <c r="BW27">
        <v>3</v>
      </c>
      <c r="BX27">
        <v>345</v>
      </c>
      <c r="BY27">
        <v>584</v>
      </c>
      <c r="BZ27">
        <v>489</v>
      </c>
      <c r="CA27">
        <v>15</v>
      </c>
      <c r="CB27">
        <v>86</v>
      </c>
      <c r="CC27">
        <v>212</v>
      </c>
      <c r="CD27">
        <v>0</v>
      </c>
      <c r="CE27">
        <v>44.562357267555129</v>
      </c>
      <c r="CF27">
        <v>17</v>
      </c>
      <c r="CG27">
        <v>1486</v>
      </c>
      <c r="CI27">
        <v>55297.149868077388</v>
      </c>
      <c r="CJ27">
        <v>57020.631123022496</v>
      </c>
      <c r="CK27">
        <v>29220</v>
      </c>
      <c r="CL27">
        <v>100747.93715868218</v>
      </c>
      <c r="CM27">
        <v>304180</v>
      </c>
    </row>
    <row r="28" spans="1:91" x14ac:dyDescent="0.55000000000000004">
      <c r="A28">
        <v>2004</v>
      </c>
      <c r="B28">
        <v>520</v>
      </c>
      <c r="C28">
        <v>2062</v>
      </c>
      <c r="D28">
        <v>62</v>
      </c>
      <c r="E28">
        <v>238</v>
      </c>
      <c r="F28">
        <v>1376</v>
      </c>
      <c r="G28">
        <v>68</v>
      </c>
      <c r="H28">
        <v>102</v>
      </c>
      <c r="I28">
        <v>183</v>
      </c>
      <c r="J28">
        <v>1044</v>
      </c>
      <c r="K28">
        <v>277</v>
      </c>
      <c r="L28">
        <v>2730</v>
      </c>
      <c r="M28">
        <v>228</v>
      </c>
      <c r="N28">
        <v>2278</v>
      </c>
      <c r="O28">
        <v>8113.9999999999982</v>
      </c>
      <c r="P28">
        <v>3263.493993122976</v>
      </c>
      <c r="Q28">
        <v>1887</v>
      </c>
      <c r="R28">
        <v>1684</v>
      </c>
      <c r="S28">
        <v>0.01</v>
      </c>
      <c r="T28">
        <v>4978</v>
      </c>
      <c r="U28">
        <v>5</v>
      </c>
      <c r="V28">
        <v>170.71201293247532</v>
      </c>
      <c r="W28">
        <v>106</v>
      </c>
      <c r="X28">
        <v>1366.0000000000002</v>
      </c>
      <c r="Y28">
        <v>1235</v>
      </c>
      <c r="Z28">
        <v>2945</v>
      </c>
      <c r="AA28">
        <v>289</v>
      </c>
      <c r="AB28">
        <v>375</v>
      </c>
      <c r="AC28">
        <v>17723.775895861414</v>
      </c>
      <c r="AD28">
        <v>220</v>
      </c>
      <c r="AE28">
        <v>1701.3119932198504</v>
      </c>
      <c r="AF28">
        <v>828</v>
      </c>
      <c r="AG28">
        <v>473</v>
      </c>
      <c r="AH28">
        <v>1115</v>
      </c>
      <c r="AI28">
        <v>103</v>
      </c>
      <c r="AJ28">
        <v>51.25350695279689</v>
      </c>
      <c r="AK28">
        <v>317</v>
      </c>
      <c r="AL28">
        <v>4622</v>
      </c>
      <c r="AM28">
        <v>538</v>
      </c>
      <c r="AN28">
        <v>741</v>
      </c>
      <c r="AO28">
        <v>306</v>
      </c>
      <c r="AP28">
        <v>105</v>
      </c>
      <c r="AQ28">
        <v>2040</v>
      </c>
      <c r="AR28">
        <v>175</v>
      </c>
      <c r="AS28">
        <v>1983.9654264484204</v>
      </c>
      <c r="AT28">
        <v>17168</v>
      </c>
      <c r="AU28">
        <v>867</v>
      </c>
      <c r="AV28">
        <v>395</v>
      </c>
      <c r="AW28">
        <v>1704</v>
      </c>
      <c r="AX28">
        <v>6014</v>
      </c>
      <c r="AY28">
        <v>29733</v>
      </c>
      <c r="AZ28">
        <v>10010</v>
      </c>
      <c r="BA28">
        <v>1155</v>
      </c>
      <c r="BB28">
        <v>6130</v>
      </c>
      <c r="BC28">
        <v>1083</v>
      </c>
      <c r="BD28">
        <v>1950</v>
      </c>
      <c r="BE28">
        <v>10258</v>
      </c>
      <c r="BF28">
        <v>54</v>
      </c>
      <c r="BG28">
        <v>223.72597645089124</v>
      </c>
      <c r="BH28">
        <v>202</v>
      </c>
      <c r="BI28">
        <v>140270</v>
      </c>
      <c r="BJ28">
        <v>56828</v>
      </c>
      <c r="BK28">
        <v>215.25080001275188</v>
      </c>
      <c r="BL28">
        <v>152</v>
      </c>
      <c r="BM28">
        <v>194</v>
      </c>
      <c r="BN28">
        <v>238</v>
      </c>
      <c r="BO28">
        <v>44.067992716591704</v>
      </c>
      <c r="BP28">
        <v>39.123204909905091</v>
      </c>
      <c r="BQ28">
        <v>1138</v>
      </c>
      <c r="BR28">
        <v>247.24884356855384</v>
      </c>
      <c r="BS28">
        <v>81.655540416575661</v>
      </c>
      <c r="BT28">
        <v>692</v>
      </c>
      <c r="BU28">
        <v>7</v>
      </c>
      <c r="BV28">
        <v>54</v>
      </c>
      <c r="BW28">
        <v>8</v>
      </c>
      <c r="BX28">
        <v>245</v>
      </c>
      <c r="BY28">
        <v>202.32499785698323</v>
      </c>
      <c r="BZ28">
        <v>253.68292677557443</v>
      </c>
      <c r="CA28">
        <v>25</v>
      </c>
      <c r="CB28">
        <v>139</v>
      </c>
      <c r="CC28">
        <v>6</v>
      </c>
      <c r="CD28">
        <v>1</v>
      </c>
      <c r="CE28">
        <v>29.681292884188618</v>
      </c>
      <c r="CF28">
        <v>61.843150094720372</v>
      </c>
      <c r="CG28">
        <v>1511</v>
      </c>
      <c r="CI28">
        <v>35737.059915210368</v>
      </c>
      <c r="CJ28">
        <v>38325.694943230796</v>
      </c>
      <c r="CK28">
        <v>20856</v>
      </c>
      <c r="CL28">
        <v>67104.372695783488</v>
      </c>
      <c r="CM28">
        <v>198236.00000000006</v>
      </c>
    </row>
    <row r="29" spans="1:91" x14ac:dyDescent="0.55000000000000004">
      <c r="A29">
        <v>2005</v>
      </c>
      <c r="B29">
        <v>335</v>
      </c>
      <c r="C29">
        <v>2538</v>
      </c>
      <c r="D29">
        <v>34</v>
      </c>
      <c r="E29">
        <v>77</v>
      </c>
      <c r="F29">
        <v>821</v>
      </c>
      <c r="G29">
        <v>78</v>
      </c>
      <c r="H29">
        <v>70</v>
      </c>
      <c r="I29">
        <v>151</v>
      </c>
      <c r="J29">
        <v>386</v>
      </c>
      <c r="K29">
        <v>103</v>
      </c>
      <c r="L29">
        <v>1027</v>
      </c>
      <c r="M29">
        <v>253</v>
      </c>
      <c r="N29">
        <v>2161</v>
      </c>
      <c r="O29">
        <v>4593.9999999999991</v>
      </c>
      <c r="P29">
        <v>1317.2538870025314</v>
      </c>
      <c r="Q29">
        <v>1010</v>
      </c>
      <c r="R29">
        <v>666</v>
      </c>
      <c r="S29">
        <v>3268.8573173995969</v>
      </c>
      <c r="T29">
        <v>3393</v>
      </c>
      <c r="U29">
        <v>231</v>
      </c>
      <c r="V29">
        <v>252</v>
      </c>
      <c r="W29">
        <v>203</v>
      </c>
      <c r="X29">
        <v>775.00000000000011</v>
      </c>
      <c r="Y29">
        <v>559</v>
      </c>
      <c r="Z29">
        <v>3173</v>
      </c>
      <c r="AA29">
        <v>526</v>
      </c>
      <c r="AB29">
        <v>509</v>
      </c>
      <c r="AC29">
        <v>8579.0897741257359</v>
      </c>
      <c r="AD29">
        <v>102</v>
      </c>
      <c r="AE29">
        <v>2412.8569527901823</v>
      </c>
      <c r="AF29">
        <v>462.45408031432362</v>
      </c>
      <c r="AG29">
        <v>449</v>
      </c>
      <c r="AH29">
        <v>228</v>
      </c>
      <c r="AI29">
        <v>83</v>
      </c>
      <c r="AJ29">
        <v>0.01</v>
      </c>
      <c r="AK29">
        <v>269</v>
      </c>
      <c r="AL29">
        <v>3519</v>
      </c>
      <c r="AM29">
        <v>189</v>
      </c>
      <c r="AN29">
        <v>132</v>
      </c>
      <c r="AO29">
        <v>220</v>
      </c>
      <c r="AP29">
        <v>40</v>
      </c>
      <c r="AQ29">
        <v>990</v>
      </c>
      <c r="AR29">
        <v>180</v>
      </c>
      <c r="AS29">
        <v>2554.7107487586172</v>
      </c>
      <c r="AT29">
        <v>18133</v>
      </c>
      <c r="AU29">
        <v>427</v>
      </c>
      <c r="AV29">
        <v>426</v>
      </c>
      <c r="AW29">
        <v>3837</v>
      </c>
      <c r="AX29">
        <v>9046</v>
      </c>
      <c r="AY29">
        <v>61837</v>
      </c>
      <c r="AZ29">
        <v>11456.284576955508</v>
      </c>
      <c r="BA29">
        <v>427</v>
      </c>
      <c r="BB29">
        <v>4891</v>
      </c>
      <c r="BC29">
        <v>174</v>
      </c>
      <c r="BD29">
        <v>288</v>
      </c>
      <c r="BE29">
        <v>3368</v>
      </c>
      <c r="BF29">
        <v>44.850326727260224</v>
      </c>
      <c r="BG29">
        <v>424</v>
      </c>
      <c r="BH29">
        <v>1491</v>
      </c>
      <c r="BI29">
        <v>88786</v>
      </c>
      <c r="BJ29">
        <v>33900</v>
      </c>
      <c r="BK29">
        <v>188</v>
      </c>
      <c r="BL29">
        <v>89.772189829974323</v>
      </c>
      <c r="BM29">
        <v>42</v>
      </c>
      <c r="BN29">
        <v>105.63049173367875</v>
      </c>
      <c r="BO29">
        <v>29.745660673657358</v>
      </c>
      <c r="BP29">
        <v>26.407955206860361</v>
      </c>
      <c r="BQ29">
        <v>1321</v>
      </c>
      <c r="BR29">
        <v>166.89165422266612</v>
      </c>
      <c r="BS29">
        <v>134</v>
      </c>
      <c r="BT29">
        <v>720</v>
      </c>
      <c r="BU29">
        <v>0</v>
      </c>
      <c r="BV29">
        <v>17</v>
      </c>
      <c r="BW29">
        <v>4.3250109689560663</v>
      </c>
      <c r="BX29">
        <v>265</v>
      </c>
      <c r="BY29">
        <v>136.56829732992068</v>
      </c>
      <c r="BZ29">
        <v>171.23462616270763</v>
      </c>
      <c r="CA29">
        <v>40</v>
      </c>
      <c r="CB29">
        <v>43</v>
      </c>
      <c r="CC29">
        <v>15</v>
      </c>
      <c r="CD29">
        <v>0</v>
      </c>
      <c r="CE29">
        <v>47.522867345534223</v>
      </c>
      <c r="CF29">
        <v>41.743797352835003</v>
      </c>
      <c r="CG29">
        <v>1000</v>
      </c>
      <c r="CI29">
        <v>24122.325347298593</v>
      </c>
      <c r="CJ29">
        <v>27543.73618280861</v>
      </c>
      <c r="CK29">
        <v>9368</v>
      </c>
      <c r="CL29">
        <v>107441.14868479334</v>
      </c>
      <c r="CM29">
        <v>124007</v>
      </c>
    </row>
    <row r="30" spans="1:91" x14ac:dyDescent="0.55000000000000004">
      <c r="A30">
        <v>2006</v>
      </c>
      <c r="B30">
        <v>643</v>
      </c>
      <c r="C30">
        <v>2142</v>
      </c>
      <c r="D30">
        <v>146</v>
      </c>
      <c r="E30">
        <v>174</v>
      </c>
      <c r="F30">
        <v>1456</v>
      </c>
      <c r="G30">
        <v>11</v>
      </c>
      <c r="H30">
        <v>100</v>
      </c>
      <c r="I30">
        <v>172</v>
      </c>
      <c r="J30">
        <v>549</v>
      </c>
      <c r="K30">
        <v>234</v>
      </c>
      <c r="L30">
        <v>1221</v>
      </c>
      <c r="M30">
        <v>248</v>
      </c>
      <c r="N30">
        <v>2204</v>
      </c>
      <c r="O30">
        <v>3938.9999999999991</v>
      </c>
      <c r="P30">
        <v>1353.4256184534017</v>
      </c>
      <c r="Q30">
        <v>1205</v>
      </c>
      <c r="R30">
        <v>547</v>
      </c>
      <c r="S30">
        <v>4598.575261181315</v>
      </c>
      <c r="T30">
        <v>6803</v>
      </c>
      <c r="U30">
        <v>0</v>
      </c>
      <c r="V30">
        <v>118</v>
      </c>
      <c r="W30">
        <v>168</v>
      </c>
      <c r="X30">
        <v>1106.0000000000002</v>
      </c>
      <c r="Y30">
        <v>748.75944087745847</v>
      </c>
      <c r="Z30">
        <v>2665</v>
      </c>
      <c r="AA30">
        <v>949</v>
      </c>
      <c r="AB30">
        <v>344</v>
      </c>
      <c r="AC30">
        <v>5910.2296248734992</v>
      </c>
      <c r="AD30">
        <v>160</v>
      </c>
      <c r="AE30">
        <v>1642.1498280420924</v>
      </c>
      <c r="AF30">
        <v>650.57287200823953</v>
      </c>
      <c r="AG30">
        <v>968</v>
      </c>
      <c r="AH30">
        <v>109</v>
      </c>
      <c r="AI30">
        <v>245</v>
      </c>
      <c r="AJ30">
        <v>0.01</v>
      </c>
      <c r="AK30">
        <v>217</v>
      </c>
      <c r="AL30">
        <v>3768</v>
      </c>
      <c r="AM30">
        <v>198</v>
      </c>
      <c r="AN30">
        <v>152</v>
      </c>
      <c r="AO30">
        <v>215</v>
      </c>
      <c r="AP30">
        <v>315</v>
      </c>
      <c r="AQ30">
        <v>8088</v>
      </c>
      <c r="AR30">
        <v>276</v>
      </c>
      <c r="AS30">
        <v>5239</v>
      </c>
      <c r="AT30">
        <v>59328.527569860278</v>
      </c>
      <c r="AU30">
        <v>521</v>
      </c>
      <c r="AV30">
        <v>618</v>
      </c>
      <c r="AW30">
        <v>6344</v>
      </c>
      <c r="AX30">
        <v>8590</v>
      </c>
      <c r="AY30">
        <v>100384</v>
      </c>
      <c r="AZ30">
        <v>23646</v>
      </c>
      <c r="BA30">
        <v>1237</v>
      </c>
      <c r="BB30">
        <v>1954</v>
      </c>
      <c r="BC30">
        <v>573</v>
      </c>
      <c r="BD30">
        <v>633</v>
      </c>
      <c r="BE30">
        <v>5211</v>
      </c>
      <c r="BF30">
        <v>45.287535862305042</v>
      </c>
      <c r="BG30">
        <v>321</v>
      </c>
      <c r="BH30">
        <v>1259</v>
      </c>
      <c r="BI30">
        <v>60637</v>
      </c>
      <c r="BJ30">
        <v>48392</v>
      </c>
      <c r="BK30">
        <v>211</v>
      </c>
      <c r="BL30">
        <v>212</v>
      </c>
      <c r="BM30">
        <v>45</v>
      </c>
      <c r="BN30">
        <v>165</v>
      </c>
      <c r="BO30">
        <v>30.035626779223357</v>
      </c>
      <c r="BP30">
        <v>26.665384753015175</v>
      </c>
      <c r="BQ30">
        <v>392.15530563331436</v>
      </c>
      <c r="BR30">
        <v>31</v>
      </c>
      <c r="BS30">
        <v>209</v>
      </c>
      <c r="BT30">
        <v>1761.1801656287025</v>
      </c>
      <c r="BU30">
        <v>0</v>
      </c>
      <c r="BV30">
        <v>72</v>
      </c>
      <c r="BW30">
        <v>6.0843550253214991</v>
      </c>
      <c r="BX30">
        <v>111</v>
      </c>
      <c r="BY30">
        <v>60</v>
      </c>
      <c r="BZ30">
        <v>214</v>
      </c>
      <c r="CA30">
        <v>17</v>
      </c>
      <c r="CB30">
        <v>126</v>
      </c>
      <c r="CC30">
        <v>77</v>
      </c>
      <c r="CD30">
        <v>0</v>
      </c>
      <c r="CE30">
        <v>90.280012664319159</v>
      </c>
      <c r="CF30">
        <v>42.150723475025906</v>
      </c>
      <c r="CG30">
        <v>1243.4274054488164</v>
      </c>
      <c r="CI30">
        <v>24357.474158242523</v>
      </c>
      <c r="CJ30">
        <v>38748.079684165888</v>
      </c>
      <c r="CK30">
        <v>10199</v>
      </c>
      <c r="CL30">
        <v>204107.80758252461</v>
      </c>
      <c r="CM30">
        <v>109421.15530563338</v>
      </c>
    </row>
    <row r="31" spans="1:91" x14ac:dyDescent="0.55000000000000004">
      <c r="A31">
        <v>2007</v>
      </c>
      <c r="B31">
        <v>328</v>
      </c>
      <c r="C31">
        <v>1021</v>
      </c>
      <c r="D31">
        <v>22</v>
      </c>
      <c r="E31">
        <v>42</v>
      </c>
      <c r="F31">
        <v>763</v>
      </c>
      <c r="G31">
        <v>17</v>
      </c>
      <c r="H31">
        <v>20</v>
      </c>
      <c r="I31">
        <v>114</v>
      </c>
      <c r="J31">
        <v>410</v>
      </c>
      <c r="K31">
        <v>160</v>
      </c>
      <c r="L31">
        <v>886</v>
      </c>
      <c r="M31">
        <v>181</v>
      </c>
      <c r="N31">
        <v>654</v>
      </c>
      <c r="O31">
        <v>1820.9999999999995</v>
      </c>
      <c r="P31">
        <v>1046.9706714390829</v>
      </c>
      <c r="Q31">
        <v>380</v>
      </c>
      <c r="R31">
        <v>269</v>
      </c>
      <c r="S31">
        <v>1899.6542784522217</v>
      </c>
      <c r="T31">
        <v>1428</v>
      </c>
      <c r="U31">
        <v>0</v>
      </c>
      <c r="V31">
        <v>49</v>
      </c>
      <c r="W31">
        <v>78</v>
      </c>
      <c r="X31">
        <v>462.00000000000006</v>
      </c>
      <c r="Y31">
        <v>393</v>
      </c>
      <c r="Z31">
        <v>1773</v>
      </c>
      <c r="AA31">
        <v>546</v>
      </c>
      <c r="AB31">
        <v>51</v>
      </c>
      <c r="AC31">
        <v>4997.7054264348535</v>
      </c>
      <c r="AD31">
        <v>89</v>
      </c>
      <c r="AE31">
        <v>575.63187740521255</v>
      </c>
      <c r="AF31">
        <v>268.74922548031202</v>
      </c>
      <c r="AG31">
        <v>156.37514602289326</v>
      </c>
      <c r="AH31">
        <v>138</v>
      </c>
      <c r="AI31">
        <v>51</v>
      </c>
      <c r="AJ31">
        <v>0.01</v>
      </c>
      <c r="AK31">
        <v>74</v>
      </c>
      <c r="AL31">
        <v>1895</v>
      </c>
      <c r="AM31">
        <v>38</v>
      </c>
      <c r="AN31">
        <v>38</v>
      </c>
      <c r="AO31">
        <v>100</v>
      </c>
      <c r="AP31">
        <v>18</v>
      </c>
      <c r="AQ31">
        <v>1322.7809481555646</v>
      </c>
      <c r="AR31">
        <v>5</v>
      </c>
      <c r="AS31">
        <v>1230</v>
      </c>
      <c r="AT31">
        <v>16168</v>
      </c>
      <c r="AU31">
        <v>334</v>
      </c>
      <c r="AV31">
        <v>278</v>
      </c>
      <c r="AW31">
        <v>3181</v>
      </c>
      <c r="AX31">
        <v>7352</v>
      </c>
      <c r="AY31">
        <v>45352</v>
      </c>
      <c r="AZ31">
        <v>8549</v>
      </c>
      <c r="BA31">
        <v>296</v>
      </c>
      <c r="BB31">
        <v>1081</v>
      </c>
      <c r="BC31">
        <v>79</v>
      </c>
      <c r="BD31">
        <v>52</v>
      </c>
      <c r="BE31">
        <v>1126</v>
      </c>
      <c r="BF31">
        <v>24.545400905768531</v>
      </c>
      <c r="BG31">
        <v>713</v>
      </c>
      <c r="BH31">
        <v>1968</v>
      </c>
      <c r="BI31">
        <v>76665</v>
      </c>
      <c r="BJ31">
        <v>26196</v>
      </c>
      <c r="BK31">
        <v>103</v>
      </c>
      <c r="BL31">
        <v>117</v>
      </c>
      <c r="BM31">
        <v>5</v>
      </c>
      <c r="BN31">
        <v>20</v>
      </c>
      <c r="BO31">
        <v>16.279015555043951</v>
      </c>
      <c r="BP31">
        <v>14.452377383908555</v>
      </c>
      <c r="BQ31">
        <v>369.97025463636601</v>
      </c>
      <c r="BR31">
        <v>91.335400645641528</v>
      </c>
      <c r="BS31">
        <v>62</v>
      </c>
      <c r="BT31">
        <v>727.53695367427929</v>
      </c>
      <c r="BU31">
        <v>5.8270922378363066</v>
      </c>
      <c r="BV31">
        <v>6</v>
      </c>
      <c r="BW31">
        <v>2.5134243540694201</v>
      </c>
      <c r="BX31">
        <v>97</v>
      </c>
      <c r="BY31">
        <v>74.740227186431298</v>
      </c>
      <c r="BZ31">
        <v>93.712194644023498</v>
      </c>
      <c r="CA31">
        <v>17</v>
      </c>
      <c r="CB31">
        <v>25.83710709229306</v>
      </c>
      <c r="CC31">
        <v>49</v>
      </c>
      <c r="CD31">
        <v>4.2286590985749689E-2</v>
      </c>
      <c r="CE31">
        <v>45</v>
      </c>
      <c r="CF31">
        <v>22.845279312797665</v>
      </c>
      <c r="CG31">
        <v>513.65522070390148</v>
      </c>
      <c r="CI31">
        <v>13201.512444477912</v>
      </c>
      <c r="CJ31">
        <v>16006.687109199214</v>
      </c>
      <c r="CK31">
        <v>2657</v>
      </c>
      <c r="CL31">
        <v>82610</v>
      </c>
      <c r="CM31">
        <v>103230.97025463641</v>
      </c>
    </row>
    <row r="32" spans="1:91" x14ac:dyDescent="0.55000000000000004">
      <c r="A32">
        <v>2008</v>
      </c>
      <c r="B32">
        <v>422</v>
      </c>
      <c r="C32">
        <v>1858</v>
      </c>
      <c r="D32">
        <v>0</v>
      </c>
      <c r="E32">
        <v>20</v>
      </c>
      <c r="F32">
        <v>454</v>
      </c>
      <c r="G32">
        <v>18</v>
      </c>
      <c r="H32">
        <v>34</v>
      </c>
      <c r="I32">
        <v>145</v>
      </c>
      <c r="J32">
        <v>185</v>
      </c>
      <c r="K32">
        <v>189</v>
      </c>
      <c r="L32">
        <v>941</v>
      </c>
      <c r="M32">
        <v>226</v>
      </c>
      <c r="N32">
        <v>1389</v>
      </c>
      <c r="O32">
        <v>3426.9999999999991</v>
      </c>
      <c r="P32">
        <v>1265.0058304623851</v>
      </c>
      <c r="Q32">
        <v>667</v>
      </c>
      <c r="R32">
        <v>530</v>
      </c>
      <c r="S32">
        <v>2912.4180419357212</v>
      </c>
      <c r="T32">
        <v>4670</v>
      </c>
      <c r="U32">
        <v>2</v>
      </c>
      <c r="V32">
        <v>295</v>
      </c>
      <c r="W32">
        <v>123</v>
      </c>
      <c r="X32">
        <v>962.00000000000011</v>
      </c>
      <c r="Y32">
        <v>225</v>
      </c>
      <c r="Z32">
        <v>1383</v>
      </c>
      <c r="AA32">
        <v>449</v>
      </c>
      <c r="AB32">
        <v>102</v>
      </c>
      <c r="AC32">
        <v>5893.8855966658712</v>
      </c>
      <c r="AD32">
        <v>240</v>
      </c>
      <c r="AE32">
        <v>2363</v>
      </c>
      <c r="AF32">
        <v>412.02765256993996</v>
      </c>
      <c r="AG32">
        <v>399</v>
      </c>
      <c r="AH32">
        <v>112</v>
      </c>
      <c r="AI32">
        <v>217</v>
      </c>
      <c r="AJ32">
        <v>0.01</v>
      </c>
      <c r="AK32">
        <v>52</v>
      </c>
      <c r="AL32">
        <v>3307</v>
      </c>
      <c r="AM32">
        <v>97</v>
      </c>
      <c r="AN32">
        <v>395</v>
      </c>
      <c r="AO32">
        <v>101</v>
      </c>
      <c r="AP32">
        <v>95</v>
      </c>
      <c r="AQ32">
        <v>1304</v>
      </c>
      <c r="AR32">
        <v>77</v>
      </c>
      <c r="AS32">
        <v>1777</v>
      </c>
      <c r="AT32">
        <v>15160.4560185185</v>
      </c>
      <c r="AU32">
        <v>655</v>
      </c>
      <c r="AV32">
        <v>554</v>
      </c>
      <c r="AW32">
        <v>3474</v>
      </c>
      <c r="AX32">
        <v>11446</v>
      </c>
      <c r="AY32">
        <v>57280</v>
      </c>
      <c r="AZ32">
        <v>16898</v>
      </c>
      <c r="BA32">
        <v>1308</v>
      </c>
      <c r="BB32">
        <v>5421</v>
      </c>
      <c r="BC32">
        <v>463</v>
      </c>
      <c r="BD32">
        <v>292</v>
      </c>
      <c r="BE32">
        <v>4534</v>
      </c>
      <c r="BF32">
        <v>34.240581584246982</v>
      </c>
      <c r="BG32">
        <v>682</v>
      </c>
      <c r="BH32">
        <v>234</v>
      </c>
      <c r="BI32">
        <v>41805</v>
      </c>
      <c r="BJ32">
        <v>41797</v>
      </c>
      <c r="BK32">
        <v>198</v>
      </c>
      <c r="BL32">
        <v>141</v>
      </c>
      <c r="BM32">
        <v>54</v>
      </c>
      <c r="BN32">
        <v>150</v>
      </c>
      <c r="BO32">
        <v>6</v>
      </c>
      <c r="BP32">
        <v>23</v>
      </c>
      <c r="BQ32">
        <v>300.69951904132245</v>
      </c>
      <c r="BR32">
        <v>75</v>
      </c>
      <c r="BS32">
        <v>20</v>
      </c>
      <c r="BT32">
        <v>635</v>
      </c>
      <c r="BU32">
        <v>0</v>
      </c>
      <c r="BV32">
        <v>6</v>
      </c>
      <c r="BW32">
        <v>35</v>
      </c>
      <c r="BX32">
        <v>639</v>
      </c>
      <c r="BY32">
        <v>48</v>
      </c>
      <c r="BZ32">
        <v>130.72754682093679</v>
      </c>
      <c r="CA32">
        <v>60</v>
      </c>
      <c r="CB32">
        <v>11</v>
      </c>
      <c r="CC32">
        <v>0</v>
      </c>
      <c r="CD32">
        <v>0</v>
      </c>
      <c r="CE32">
        <v>47.290031389345835</v>
      </c>
      <c r="CF32">
        <v>22</v>
      </c>
      <c r="CG32">
        <v>1589</v>
      </c>
      <c r="CI32">
        <v>18415.973958867569</v>
      </c>
      <c r="CJ32">
        <v>24540.341291171531</v>
      </c>
      <c r="CK32">
        <v>12190</v>
      </c>
      <c r="CL32">
        <v>106914.74604990784</v>
      </c>
      <c r="CM32">
        <v>83902.699519041314</v>
      </c>
    </row>
    <row r="33" spans="1:91" x14ac:dyDescent="0.55000000000000004">
      <c r="A33">
        <v>2009</v>
      </c>
      <c r="B33">
        <v>747</v>
      </c>
      <c r="C33">
        <v>3281</v>
      </c>
      <c r="D33">
        <v>111</v>
      </c>
      <c r="E33">
        <v>174</v>
      </c>
      <c r="F33">
        <v>2187</v>
      </c>
      <c r="G33">
        <v>118</v>
      </c>
      <c r="H33">
        <v>196</v>
      </c>
      <c r="I33">
        <v>311</v>
      </c>
      <c r="J33">
        <v>1309</v>
      </c>
      <c r="K33">
        <v>494</v>
      </c>
      <c r="L33">
        <v>1966</v>
      </c>
      <c r="M33">
        <v>349.92739446611762</v>
      </c>
      <c r="N33">
        <v>3173</v>
      </c>
      <c r="O33">
        <v>4901.9999999999991</v>
      </c>
      <c r="P33">
        <v>2315.9955831737871</v>
      </c>
      <c r="Q33">
        <v>1002</v>
      </c>
      <c r="R33">
        <v>731</v>
      </c>
      <c r="S33">
        <v>3747.2031677914483</v>
      </c>
      <c r="T33">
        <v>2310</v>
      </c>
      <c r="U33">
        <v>3</v>
      </c>
      <c r="V33">
        <v>166</v>
      </c>
      <c r="W33">
        <v>171</v>
      </c>
      <c r="X33">
        <v>992.00000000000011</v>
      </c>
      <c r="Y33">
        <v>535</v>
      </c>
      <c r="Z33">
        <v>1875</v>
      </c>
      <c r="AA33">
        <v>877</v>
      </c>
      <c r="AB33">
        <v>209</v>
      </c>
      <c r="AC33">
        <v>9679.9443420909738</v>
      </c>
      <c r="AD33">
        <v>243</v>
      </c>
      <c r="AE33">
        <v>1097</v>
      </c>
      <c r="AF33">
        <v>530.12696072352833</v>
      </c>
      <c r="AG33">
        <v>1175</v>
      </c>
      <c r="AH33">
        <v>11</v>
      </c>
      <c r="AI33">
        <v>74</v>
      </c>
      <c r="AJ33">
        <v>0.01</v>
      </c>
      <c r="AK33">
        <v>214</v>
      </c>
      <c r="AL33">
        <v>5980</v>
      </c>
      <c r="AM33">
        <v>91</v>
      </c>
      <c r="AN33">
        <v>194</v>
      </c>
      <c r="AO33">
        <v>37</v>
      </c>
      <c r="AP33">
        <v>6</v>
      </c>
      <c r="AQ33">
        <v>2609.2794965099088</v>
      </c>
      <c r="AR33">
        <v>28</v>
      </c>
      <c r="AS33">
        <v>1799</v>
      </c>
      <c r="AT33">
        <v>25530</v>
      </c>
      <c r="AU33">
        <v>574</v>
      </c>
      <c r="AV33">
        <v>326</v>
      </c>
      <c r="AW33">
        <v>6397</v>
      </c>
      <c r="AX33">
        <v>7286</v>
      </c>
      <c r="AY33">
        <v>45036</v>
      </c>
      <c r="AZ33">
        <v>10357.517599719573</v>
      </c>
      <c r="BA33">
        <v>189</v>
      </c>
      <c r="BB33">
        <v>1288</v>
      </c>
      <c r="BC33">
        <v>60</v>
      </c>
      <c r="BD33">
        <v>251</v>
      </c>
      <c r="BE33">
        <v>694</v>
      </c>
      <c r="BF33">
        <v>17</v>
      </c>
      <c r="BG33">
        <v>645</v>
      </c>
      <c r="BH33">
        <v>631</v>
      </c>
      <c r="BI33">
        <v>70281</v>
      </c>
      <c r="BJ33">
        <v>15188</v>
      </c>
      <c r="BK33">
        <v>105</v>
      </c>
      <c r="BL33">
        <v>63</v>
      </c>
      <c r="BM33">
        <v>17</v>
      </c>
      <c r="BN33">
        <v>81</v>
      </c>
      <c r="BO33">
        <v>36.207426531055241</v>
      </c>
      <c r="BP33">
        <v>14</v>
      </c>
      <c r="BQ33">
        <v>500</v>
      </c>
      <c r="BR33">
        <v>203.14617904133041</v>
      </c>
      <c r="BS33">
        <v>38</v>
      </c>
      <c r="BT33">
        <v>906</v>
      </c>
      <c r="BU33">
        <v>11.494353862337457</v>
      </c>
      <c r="BV33">
        <v>86</v>
      </c>
      <c r="BW33">
        <v>18</v>
      </c>
      <c r="BX33">
        <v>189</v>
      </c>
      <c r="BY33">
        <v>166.23556108886478</v>
      </c>
      <c r="BZ33">
        <v>229</v>
      </c>
      <c r="CA33">
        <v>25</v>
      </c>
      <c r="CB33">
        <v>50.965531276401933</v>
      </c>
      <c r="CC33">
        <v>20</v>
      </c>
      <c r="CD33">
        <v>8.341330814468402E-2</v>
      </c>
      <c r="CE33">
        <v>5</v>
      </c>
      <c r="CF33">
        <v>9</v>
      </c>
      <c r="CG33">
        <v>1013.2214540334768</v>
      </c>
      <c r="CI33">
        <v>29362.512144301156</v>
      </c>
      <c r="CJ33">
        <v>31574.328719596218</v>
      </c>
      <c r="CK33">
        <v>2516</v>
      </c>
      <c r="CL33">
        <v>97136.517599719577</v>
      </c>
      <c r="CM33">
        <v>85969</v>
      </c>
    </row>
    <row r="34" spans="1:91" x14ac:dyDescent="0.55000000000000004">
      <c r="A34">
        <v>2010</v>
      </c>
      <c r="B34">
        <v>378</v>
      </c>
      <c r="C34">
        <v>1500</v>
      </c>
      <c r="D34">
        <v>68</v>
      </c>
      <c r="E34">
        <v>58</v>
      </c>
      <c r="F34">
        <v>212</v>
      </c>
      <c r="G34">
        <v>29</v>
      </c>
      <c r="H34">
        <v>23</v>
      </c>
      <c r="I34">
        <v>75</v>
      </c>
      <c r="J34">
        <v>482</v>
      </c>
      <c r="K34">
        <v>75</v>
      </c>
      <c r="L34">
        <v>905</v>
      </c>
      <c r="M34">
        <v>245.41670000156964</v>
      </c>
      <c r="N34">
        <v>1465</v>
      </c>
      <c r="O34">
        <v>3065.9999999999995</v>
      </c>
      <c r="P34">
        <v>765.63498237675731</v>
      </c>
      <c r="Q34">
        <v>628.42710376822811</v>
      </c>
      <c r="R34">
        <v>308</v>
      </c>
      <c r="S34">
        <v>3168.5736333086938</v>
      </c>
      <c r="T34">
        <v>6915</v>
      </c>
      <c r="U34">
        <v>7</v>
      </c>
      <c r="V34">
        <v>274</v>
      </c>
      <c r="W34">
        <v>91</v>
      </c>
      <c r="X34">
        <v>1243.0000000000002</v>
      </c>
      <c r="Y34">
        <v>833</v>
      </c>
      <c r="Z34">
        <v>2319</v>
      </c>
      <c r="AA34">
        <v>852</v>
      </c>
      <c r="AB34">
        <v>237</v>
      </c>
      <c r="AC34">
        <v>7490</v>
      </c>
      <c r="AD34">
        <v>171</v>
      </c>
      <c r="AE34">
        <v>2710.2667561162089</v>
      </c>
      <c r="AF34">
        <v>1085</v>
      </c>
      <c r="AG34">
        <v>542</v>
      </c>
      <c r="AH34">
        <v>51</v>
      </c>
      <c r="AI34">
        <v>123</v>
      </c>
      <c r="AJ34">
        <v>0</v>
      </c>
      <c r="AK34">
        <v>6</v>
      </c>
      <c r="AL34">
        <v>1102</v>
      </c>
      <c r="AM34">
        <v>72</v>
      </c>
      <c r="AN34">
        <v>128</v>
      </c>
      <c r="AO34">
        <v>132</v>
      </c>
      <c r="AP34">
        <v>154</v>
      </c>
      <c r="AQ34">
        <v>406</v>
      </c>
      <c r="AR34">
        <v>202</v>
      </c>
      <c r="AS34">
        <v>5117</v>
      </c>
      <c r="AT34">
        <v>71682.652690934206</v>
      </c>
      <c r="AU34">
        <v>1711</v>
      </c>
      <c r="AV34">
        <v>654</v>
      </c>
      <c r="AW34">
        <v>9691</v>
      </c>
      <c r="AX34">
        <v>12454</v>
      </c>
      <c r="AY34">
        <v>58851</v>
      </c>
      <c r="AZ34">
        <v>12045</v>
      </c>
      <c r="BA34">
        <v>1120</v>
      </c>
      <c r="BB34">
        <v>2412</v>
      </c>
      <c r="BC34">
        <v>334</v>
      </c>
      <c r="BD34">
        <v>256</v>
      </c>
      <c r="BE34">
        <v>5410</v>
      </c>
      <c r="BF34">
        <v>2</v>
      </c>
      <c r="BG34">
        <v>617</v>
      </c>
      <c r="BH34">
        <v>1520</v>
      </c>
      <c r="BI34">
        <v>103692</v>
      </c>
      <c r="BJ34">
        <v>81141</v>
      </c>
      <c r="BK34">
        <v>85</v>
      </c>
      <c r="BL34">
        <v>152</v>
      </c>
      <c r="BM34">
        <v>34</v>
      </c>
      <c r="BN34">
        <v>55</v>
      </c>
      <c r="BO34">
        <v>23</v>
      </c>
      <c r="BP34">
        <v>56</v>
      </c>
      <c r="BQ34">
        <v>250</v>
      </c>
      <c r="BR34">
        <v>142.47374074360641</v>
      </c>
      <c r="BS34">
        <v>32</v>
      </c>
      <c r="BT34">
        <v>1213.5126032239395</v>
      </c>
      <c r="BU34">
        <v>9.7194373908443001</v>
      </c>
      <c r="BV34">
        <v>14</v>
      </c>
      <c r="BW34">
        <v>0</v>
      </c>
      <c r="BX34">
        <v>225</v>
      </c>
      <c r="BY34">
        <v>116.58699338924941</v>
      </c>
      <c r="BZ34">
        <v>146.18129257490821</v>
      </c>
      <c r="CA34">
        <v>9</v>
      </c>
      <c r="CB34">
        <v>43.095618619781334</v>
      </c>
      <c r="CC34">
        <v>5</v>
      </c>
      <c r="CD34">
        <v>7.0532927364617581E-2</v>
      </c>
      <c r="CE34">
        <v>15</v>
      </c>
      <c r="CF34">
        <v>1E-3</v>
      </c>
      <c r="CG34">
        <v>856.76346869800966</v>
      </c>
      <c r="CI34">
        <v>20592.98856897053</v>
      </c>
      <c r="CJ34">
        <v>26698.735294168633</v>
      </c>
      <c r="CK34">
        <v>9888</v>
      </c>
      <c r="CL34">
        <v>170527.65269093419</v>
      </c>
      <c r="CM34">
        <v>185083</v>
      </c>
    </row>
    <row r="35" spans="1:91" x14ac:dyDescent="0.55000000000000004">
      <c r="A35">
        <v>2011</v>
      </c>
      <c r="B35">
        <v>363</v>
      </c>
      <c r="C35">
        <v>1046</v>
      </c>
      <c r="D35">
        <v>49</v>
      </c>
      <c r="E35">
        <v>86</v>
      </c>
      <c r="F35">
        <v>420</v>
      </c>
      <c r="G35">
        <v>35</v>
      </c>
      <c r="H35">
        <v>17</v>
      </c>
      <c r="I35">
        <v>55</v>
      </c>
      <c r="J35">
        <v>71</v>
      </c>
      <c r="K35">
        <v>80</v>
      </c>
      <c r="L35">
        <v>698</v>
      </c>
      <c r="M35">
        <v>160.54742116813415</v>
      </c>
      <c r="N35">
        <v>811</v>
      </c>
      <c r="O35">
        <v>2468.9999999999995</v>
      </c>
      <c r="P35">
        <v>584.77632512240518</v>
      </c>
      <c r="Q35">
        <v>659</v>
      </c>
      <c r="R35">
        <v>509</v>
      </c>
      <c r="S35">
        <v>2824.6837773565167</v>
      </c>
      <c r="T35">
        <v>4200</v>
      </c>
      <c r="U35">
        <v>3</v>
      </c>
      <c r="V35">
        <v>114</v>
      </c>
      <c r="W35">
        <v>128</v>
      </c>
      <c r="X35">
        <v>823.00000000000011</v>
      </c>
      <c r="Y35">
        <v>376</v>
      </c>
      <c r="Z35">
        <v>1428</v>
      </c>
      <c r="AA35">
        <v>408</v>
      </c>
      <c r="AB35">
        <v>143</v>
      </c>
      <c r="AC35">
        <v>8396</v>
      </c>
      <c r="AD35">
        <v>66</v>
      </c>
      <c r="AE35">
        <v>1205.6289876764729</v>
      </c>
      <c r="AF35">
        <v>399.61564901687399</v>
      </c>
      <c r="AG35">
        <v>1291</v>
      </c>
      <c r="AH35">
        <v>81</v>
      </c>
      <c r="AI35">
        <v>65</v>
      </c>
      <c r="AJ35">
        <v>31.829533206899054</v>
      </c>
      <c r="AK35">
        <v>65</v>
      </c>
      <c r="AL35">
        <v>1198</v>
      </c>
      <c r="AM35">
        <v>91</v>
      </c>
      <c r="AN35">
        <v>37</v>
      </c>
      <c r="AO35">
        <v>112</v>
      </c>
      <c r="AP35">
        <v>72</v>
      </c>
      <c r="AQ35">
        <v>803</v>
      </c>
      <c r="AR35">
        <v>8</v>
      </c>
      <c r="AS35">
        <v>1117</v>
      </c>
      <c r="AT35">
        <v>19218</v>
      </c>
      <c r="AU35">
        <v>426</v>
      </c>
      <c r="AV35">
        <v>174</v>
      </c>
      <c r="AW35">
        <v>4188</v>
      </c>
      <c r="AX35">
        <v>16954</v>
      </c>
      <c r="AY35">
        <v>84102</v>
      </c>
      <c r="AZ35">
        <v>13783</v>
      </c>
      <c r="BA35">
        <v>413</v>
      </c>
      <c r="BB35">
        <v>1750</v>
      </c>
      <c r="BC35">
        <v>259</v>
      </c>
      <c r="BD35">
        <v>46</v>
      </c>
      <c r="BE35">
        <v>2880</v>
      </c>
      <c r="BF35">
        <v>11</v>
      </c>
      <c r="BG35">
        <v>1509</v>
      </c>
      <c r="BH35">
        <v>941</v>
      </c>
      <c r="BI35">
        <v>123879</v>
      </c>
      <c r="BJ35">
        <v>52985</v>
      </c>
      <c r="BK35">
        <v>178</v>
      </c>
      <c r="BL35">
        <v>228</v>
      </c>
      <c r="BM35">
        <v>0</v>
      </c>
      <c r="BN35">
        <v>70</v>
      </c>
      <c r="BO35">
        <v>5</v>
      </c>
      <c r="BP35">
        <v>28</v>
      </c>
      <c r="BQ35">
        <v>636.14410822377999</v>
      </c>
      <c r="BR35">
        <v>163</v>
      </c>
      <c r="BS35">
        <v>63</v>
      </c>
      <c r="BT35">
        <v>1081.8083341698973</v>
      </c>
      <c r="BU35">
        <v>8.6645728646936409</v>
      </c>
      <c r="BV35">
        <v>11</v>
      </c>
      <c r="BW35">
        <v>0</v>
      </c>
      <c r="BX35">
        <v>37</v>
      </c>
      <c r="BY35">
        <v>22</v>
      </c>
      <c r="BZ35">
        <v>95.629309438909118</v>
      </c>
      <c r="CA35">
        <v>5</v>
      </c>
      <c r="CB35">
        <v>38.41838911703784</v>
      </c>
      <c r="CC35">
        <v>45</v>
      </c>
      <c r="CD35">
        <v>6.2877887261927737E-2</v>
      </c>
      <c r="CE35">
        <v>2</v>
      </c>
      <c r="CF35">
        <v>3</v>
      </c>
      <c r="CG35">
        <v>1305</v>
      </c>
      <c r="CI35">
        <v>13471.582043405921</v>
      </c>
      <c r="CJ35">
        <v>23801.083133619184</v>
      </c>
      <c r="CK35">
        <v>5428</v>
      </c>
      <c r="CL35">
        <v>140943</v>
      </c>
      <c r="CM35">
        <v>177500.14410822387</v>
      </c>
    </row>
    <row r="36" spans="1:91" x14ac:dyDescent="0.55000000000000004">
      <c r="A36">
        <v>2012</v>
      </c>
      <c r="B36">
        <v>208</v>
      </c>
      <c r="C36">
        <v>768</v>
      </c>
      <c r="D36">
        <v>48</v>
      </c>
      <c r="E36">
        <v>38</v>
      </c>
      <c r="F36">
        <v>203</v>
      </c>
      <c r="G36">
        <v>5</v>
      </c>
      <c r="H36">
        <v>51</v>
      </c>
      <c r="I36">
        <v>35</v>
      </c>
      <c r="J36">
        <v>6</v>
      </c>
      <c r="K36">
        <v>40</v>
      </c>
      <c r="L36">
        <v>615</v>
      </c>
      <c r="M36">
        <v>153.48691953661353</v>
      </c>
      <c r="N36">
        <v>1600</v>
      </c>
      <c r="O36">
        <v>2613.9999999999995</v>
      </c>
      <c r="P36">
        <v>806.83056541802648</v>
      </c>
      <c r="Q36">
        <v>480</v>
      </c>
      <c r="R36">
        <v>125</v>
      </c>
      <c r="S36">
        <v>1516.7969255476683</v>
      </c>
      <c r="T36">
        <v>1021</v>
      </c>
      <c r="U36">
        <v>0</v>
      </c>
      <c r="V36">
        <v>77</v>
      </c>
      <c r="W36">
        <v>43</v>
      </c>
      <c r="X36">
        <v>720.00000000000011</v>
      </c>
      <c r="Y36">
        <v>518.37192060747134</v>
      </c>
      <c r="Z36">
        <v>1560</v>
      </c>
      <c r="AA36">
        <v>238</v>
      </c>
      <c r="AB36">
        <v>46</v>
      </c>
      <c r="AC36">
        <v>4255</v>
      </c>
      <c r="AD36">
        <v>82</v>
      </c>
      <c r="AE36">
        <v>1111</v>
      </c>
      <c r="AF36">
        <v>214.58536091313675</v>
      </c>
      <c r="AG36">
        <v>124.85921433706694</v>
      </c>
      <c r="AH36">
        <v>436</v>
      </c>
      <c r="AI36">
        <v>37</v>
      </c>
      <c r="AJ36">
        <v>8</v>
      </c>
      <c r="AK36">
        <v>46</v>
      </c>
      <c r="AL36">
        <v>1988</v>
      </c>
      <c r="AM36">
        <v>91</v>
      </c>
      <c r="AN36">
        <v>166</v>
      </c>
      <c r="AO36">
        <v>192</v>
      </c>
      <c r="AP36">
        <v>189</v>
      </c>
      <c r="AQ36">
        <v>238</v>
      </c>
      <c r="AR36">
        <v>14</v>
      </c>
      <c r="AS36">
        <v>359</v>
      </c>
      <c r="AT36">
        <v>4346</v>
      </c>
      <c r="AU36">
        <v>426</v>
      </c>
      <c r="AV36">
        <v>333</v>
      </c>
      <c r="AW36">
        <v>2835</v>
      </c>
      <c r="AX36">
        <v>7196</v>
      </c>
      <c r="AY36">
        <v>32952</v>
      </c>
      <c r="AZ36">
        <v>5174</v>
      </c>
      <c r="BA36">
        <v>948</v>
      </c>
      <c r="BB36">
        <v>3075</v>
      </c>
      <c r="BC36">
        <v>861</v>
      </c>
      <c r="BD36">
        <v>718</v>
      </c>
      <c r="BE36">
        <v>5842</v>
      </c>
      <c r="BF36">
        <v>65</v>
      </c>
      <c r="BG36">
        <v>328</v>
      </c>
      <c r="BH36">
        <v>624</v>
      </c>
      <c r="BI36">
        <v>44691</v>
      </c>
      <c r="BJ36">
        <v>20405</v>
      </c>
      <c r="BK36">
        <v>103</v>
      </c>
      <c r="BL36">
        <v>105</v>
      </c>
      <c r="BM36">
        <v>22</v>
      </c>
      <c r="BN36">
        <v>97</v>
      </c>
      <c r="BO36">
        <v>0</v>
      </c>
      <c r="BP36">
        <v>17</v>
      </c>
      <c r="BQ36">
        <v>50</v>
      </c>
      <c r="BR36">
        <v>89.105002151256997</v>
      </c>
      <c r="BS36">
        <v>88</v>
      </c>
      <c r="BT36">
        <v>587</v>
      </c>
      <c r="BU36">
        <v>4.6526969098999089</v>
      </c>
      <c r="BV36">
        <v>25</v>
      </c>
      <c r="BW36">
        <v>6</v>
      </c>
      <c r="BX36">
        <v>35</v>
      </c>
      <c r="BY36">
        <v>72.915080649511495</v>
      </c>
      <c r="BZ36">
        <v>91.423755152194602</v>
      </c>
      <c r="CA36">
        <v>2</v>
      </c>
      <c r="CB36">
        <v>20.629882525027899</v>
      </c>
      <c r="CC36">
        <v>5</v>
      </c>
      <c r="CD36">
        <v>3.3764128518867266E-2</v>
      </c>
      <c r="CE36">
        <v>23.580086927561965</v>
      </c>
      <c r="CF36">
        <v>2</v>
      </c>
      <c r="CG36">
        <v>410.13286911868067</v>
      </c>
      <c r="CI36">
        <v>12879.133243515074</v>
      </c>
      <c r="CJ36">
        <v>12780.690713479999</v>
      </c>
      <c r="CK36">
        <v>11647</v>
      </c>
      <c r="CL36">
        <v>53310.580086927563</v>
      </c>
      <c r="CM36">
        <v>65146</v>
      </c>
    </row>
    <row r="37" spans="1:91" x14ac:dyDescent="0.55000000000000004">
      <c r="A37">
        <v>2013</v>
      </c>
      <c r="B37">
        <v>392</v>
      </c>
      <c r="C37">
        <v>1432</v>
      </c>
      <c r="D37">
        <v>80</v>
      </c>
      <c r="E37">
        <v>66</v>
      </c>
      <c r="F37">
        <v>1069</v>
      </c>
      <c r="G37">
        <v>25</v>
      </c>
      <c r="H37">
        <v>73</v>
      </c>
      <c r="I37">
        <v>125</v>
      </c>
      <c r="J37">
        <v>300</v>
      </c>
      <c r="K37">
        <v>294</v>
      </c>
      <c r="L37">
        <v>1038</v>
      </c>
      <c r="M37">
        <v>235.1600496608055</v>
      </c>
      <c r="N37">
        <v>1952</v>
      </c>
      <c r="O37">
        <v>3896.9999999999991</v>
      </c>
      <c r="P37">
        <v>1198.6909894691228</v>
      </c>
      <c r="Q37">
        <v>592</v>
      </c>
      <c r="R37">
        <v>313</v>
      </c>
      <c r="S37">
        <v>2064.6779388464183</v>
      </c>
      <c r="T37">
        <v>1117</v>
      </c>
      <c r="U37">
        <v>0</v>
      </c>
      <c r="V37">
        <v>158</v>
      </c>
      <c r="W37">
        <v>100</v>
      </c>
      <c r="X37">
        <v>1365.0000000000002</v>
      </c>
      <c r="Y37">
        <v>537.57088062997025</v>
      </c>
      <c r="Z37">
        <v>2579</v>
      </c>
      <c r="AA37">
        <v>537</v>
      </c>
      <c r="AB37">
        <v>268</v>
      </c>
      <c r="AC37">
        <v>4200</v>
      </c>
      <c r="AD37">
        <v>223</v>
      </c>
      <c r="AE37">
        <v>1296.7707015989649</v>
      </c>
      <c r="AF37">
        <v>292.09556877020862</v>
      </c>
      <c r="AG37">
        <v>169.95951202258479</v>
      </c>
      <c r="AH37">
        <v>140</v>
      </c>
      <c r="AI37">
        <v>34</v>
      </c>
      <c r="AJ37">
        <v>2</v>
      </c>
      <c r="AK37">
        <v>38</v>
      </c>
      <c r="AL37">
        <v>2163</v>
      </c>
      <c r="AM37">
        <v>17</v>
      </c>
      <c r="AN37">
        <v>134</v>
      </c>
      <c r="AO37">
        <v>115</v>
      </c>
      <c r="AP37">
        <v>117</v>
      </c>
      <c r="AQ37">
        <v>770</v>
      </c>
      <c r="AR37">
        <v>195</v>
      </c>
      <c r="AS37">
        <v>2393</v>
      </c>
      <c r="AT37">
        <v>29061</v>
      </c>
      <c r="AU37">
        <v>885</v>
      </c>
      <c r="AV37">
        <v>679</v>
      </c>
      <c r="AW37">
        <v>6499</v>
      </c>
      <c r="AX37">
        <v>17227</v>
      </c>
      <c r="AY37">
        <v>63769</v>
      </c>
      <c r="AZ37">
        <v>14337.437285555783</v>
      </c>
      <c r="BA37">
        <v>252</v>
      </c>
      <c r="BB37">
        <v>2518</v>
      </c>
      <c r="BC37">
        <v>235</v>
      </c>
      <c r="BD37">
        <v>414</v>
      </c>
      <c r="BE37">
        <v>3612</v>
      </c>
      <c r="BF37">
        <v>34</v>
      </c>
      <c r="BG37">
        <v>1043</v>
      </c>
      <c r="BH37">
        <v>224</v>
      </c>
      <c r="BI37">
        <v>43160</v>
      </c>
      <c r="BJ37">
        <v>53121</v>
      </c>
      <c r="BK37">
        <v>118.85152636174202</v>
      </c>
      <c r="BL37">
        <v>142</v>
      </c>
      <c r="BM37">
        <v>29</v>
      </c>
      <c r="BN37">
        <v>132.19561198055595</v>
      </c>
      <c r="BO37">
        <v>0</v>
      </c>
      <c r="BP37">
        <v>31</v>
      </c>
      <c r="BQ37">
        <v>9</v>
      </c>
      <c r="BR37">
        <v>136.51936460889959</v>
      </c>
      <c r="BS37">
        <v>78</v>
      </c>
      <c r="BT37">
        <v>1841</v>
      </c>
      <c r="BU37">
        <v>6.3332938669695018</v>
      </c>
      <c r="BV37">
        <v>31</v>
      </c>
      <c r="BW37">
        <v>14</v>
      </c>
      <c r="BX37">
        <v>80</v>
      </c>
      <c r="BY37">
        <v>111.7144968335266</v>
      </c>
      <c r="BZ37">
        <v>140.07196747888915</v>
      </c>
      <c r="CA37">
        <v>18</v>
      </c>
      <c r="CB37">
        <v>28.081586013921378</v>
      </c>
      <c r="CC37">
        <v>0</v>
      </c>
      <c r="CD37">
        <v>4.5960042575976072E-2</v>
      </c>
      <c r="CE37">
        <v>0</v>
      </c>
      <c r="CF37">
        <v>12</v>
      </c>
      <c r="CG37">
        <v>1087</v>
      </c>
      <c r="CI37">
        <v>19732.349976641919</v>
      </c>
      <c r="CJ37">
        <v>17397.193859562678</v>
      </c>
      <c r="CK37">
        <v>7343</v>
      </c>
      <c r="CL37">
        <v>134461.63289753636</v>
      </c>
      <c r="CM37">
        <v>96289.999999999884</v>
      </c>
    </row>
    <row r="38" spans="1:91" x14ac:dyDescent="0.55000000000000004">
      <c r="A38">
        <v>2014</v>
      </c>
      <c r="B38">
        <v>823</v>
      </c>
      <c r="C38">
        <v>4345</v>
      </c>
      <c r="D38">
        <v>132</v>
      </c>
      <c r="E38">
        <v>145</v>
      </c>
      <c r="F38">
        <v>2011</v>
      </c>
      <c r="G38">
        <v>23</v>
      </c>
      <c r="H38">
        <v>97</v>
      </c>
      <c r="I38">
        <v>237</v>
      </c>
      <c r="J38">
        <v>466</v>
      </c>
      <c r="K38">
        <v>294</v>
      </c>
      <c r="L38">
        <v>1160</v>
      </c>
      <c r="M38">
        <v>487.85373454909654</v>
      </c>
      <c r="N38">
        <v>2162</v>
      </c>
      <c r="O38">
        <v>5297.9999999999991</v>
      </c>
      <c r="P38">
        <v>1770.4053004564914</v>
      </c>
      <c r="Q38">
        <v>1474</v>
      </c>
      <c r="R38">
        <v>1651</v>
      </c>
      <c r="S38">
        <v>3726.4695211155254</v>
      </c>
      <c r="T38">
        <v>5183</v>
      </c>
      <c r="U38">
        <v>15</v>
      </c>
      <c r="V38">
        <v>125</v>
      </c>
      <c r="W38">
        <v>125</v>
      </c>
      <c r="X38">
        <v>3223.0000000000005</v>
      </c>
      <c r="Y38">
        <v>929.63385372100117</v>
      </c>
      <c r="Z38">
        <v>1859</v>
      </c>
      <c r="AA38">
        <v>242</v>
      </c>
      <c r="AB38">
        <v>192</v>
      </c>
      <c r="AC38">
        <v>13350</v>
      </c>
      <c r="AD38">
        <v>392</v>
      </c>
      <c r="AE38">
        <v>9232.4957226047136</v>
      </c>
      <c r="AF38">
        <v>527.19371568586973</v>
      </c>
      <c r="AG38">
        <v>306.75435110702836</v>
      </c>
      <c r="AH38">
        <v>947</v>
      </c>
      <c r="AI38">
        <v>77</v>
      </c>
      <c r="AJ38">
        <v>0.01</v>
      </c>
      <c r="AK38">
        <v>62</v>
      </c>
      <c r="AL38">
        <v>2769</v>
      </c>
      <c r="AM38">
        <v>62</v>
      </c>
      <c r="AN38">
        <v>203</v>
      </c>
      <c r="AO38">
        <v>132</v>
      </c>
      <c r="AP38">
        <v>289</v>
      </c>
      <c r="AQ38">
        <v>412</v>
      </c>
      <c r="AR38">
        <v>96</v>
      </c>
      <c r="AS38">
        <v>2274</v>
      </c>
      <c r="AT38">
        <v>44240</v>
      </c>
      <c r="AU38">
        <v>828</v>
      </c>
      <c r="AV38">
        <v>848</v>
      </c>
      <c r="AW38">
        <v>5322</v>
      </c>
      <c r="AX38">
        <v>3411</v>
      </c>
      <c r="AY38">
        <v>29107</v>
      </c>
      <c r="AZ38">
        <v>4433</v>
      </c>
      <c r="BA38">
        <v>2282</v>
      </c>
      <c r="BB38">
        <v>12651</v>
      </c>
      <c r="BC38">
        <v>1213</v>
      </c>
      <c r="BD38">
        <v>1175</v>
      </c>
      <c r="BE38">
        <v>7249</v>
      </c>
      <c r="BF38">
        <v>2</v>
      </c>
      <c r="BG38">
        <v>346</v>
      </c>
      <c r="BH38">
        <v>383</v>
      </c>
      <c r="BI38">
        <v>44915</v>
      </c>
      <c r="BJ38">
        <v>60754</v>
      </c>
      <c r="BK38">
        <v>75</v>
      </c>
      <c r="BL38">
        <v>80</v>
      </c>
      <c r="BM38">
        <v>54</v>
      </c>
      <c r="BN38">
        <v>87.725977874232115</v>
      </c>
      <c r="BO38">
        <v>2</v>
      </c>
      <c r="BP38">
        <v>23</v>
      </c>
      <c r="BQ38">
        <v>380.07006384509344</v>
      </c>
      <c r="BR38">
        <v>283.21767221425284</v>
      </c>
      <c r="BS38">
        <v>38</v>
      </c>
      <c r="BT38">
        <v>1112</v>
      </c>
      <c r="BU38">
        <v>11.430754462711041</v>
      </c>
      <c r="BV38">
        <v>28</v>
      </c>
      <c r="BW38">
        <v>0</v>
      </c>
      <c r="BX38">
        <v>75</v>
      </c>
      <c r="BY38">
        <v>231.75847497106915</v>
      </c>
      <c r="BZ38">
        <v>290.58776156401331</v>
      </c>
      <c r="CA38">
        <v>8</v>
      </c>
      <c r="CB38">
        <v>50.683533938435751</v>
      </c>
      <c r="CC38">
        <v>15</v>
      </c>
      <c r="CD38">
        <v>8.2951774039993056E-2</v>
      </c>
      <c r="CE38">
        <v>9</v>
      </c>
      <c r="CF38">
        <v>42</v>
      </c>
      <c r="CG38">
        <v>1186</v>
      </c>
      <c r="CI38">
        <v>40935.952520080631</v>
      </c>
      <c r="CJ38">
        <v>31399.624828083608</v>
      </c>
      <c r="CK38">
        <v>24955</v>
      </c>
      <c r="CL38">
        <v>89229.72597787423</v>
      </c>
      <c r="CM38">
        <v>106049.07006384508</v>
      </c>
    </row>
    <row r="39" spans="1:91" x14ac:dyDescent="0.55000000000000004">
      <c r="A39">
        <v>2015</v>
      </c>
      <c r="B39">
        <v>435</v>
      </c>
      <c r="C39">
        <v>1443</v>
      </c>
      <c r="D39">
        <v>52</v>
      </c>
      <c r="E39">
        <v>71</v>
      </c>
      <c r="F39">
        <v>860</v>
      </c>
      <c r="G39">
        <v>28</v>
      </c>
      <c r="H39">
        <v>21</v>
      </c>
      <c r="I39">
        <v>115</v>
      </c>
      <c r="J39">
        <v>828</v>
      </c>
      <c r="K39">
        <v>46</v>
      </c>
      <c r="L39">
        <v>1063</v>
      </c>
      <c r="M39">
        <v>333.30335126200305</v>
      </c>
      <c r="N39">
        <v>2654</v>
      </c>
      <c r="O39">
        <v>6878.9999999999982</v>
      </c>
      <c r="P39">
        <v>984.91367911909151</v>
      </c>
      <c r="Q39">
        <v>868</v>
      </c>
      <c r="R39">
        <v>585</v>
      </c>
      <c r="S39">
        <v>5104.3867210683657</v>
      </c>
      <c r="T39">
        <v>8291</v>
      </c>
      <c r="U39">
        <v>6</v>
      </c>
      <c r="V39">
        <v>117</v>
      </c>
      <c r="W39">
        <v>417</v>
      </c>
      <c r="X39">
        <v>1739.0000000000002</v>
      </c>
      <c r="Y39">
        <v>653.77511234509541</v>
      </c>
      <c r="Z39">
        <v>3882</v>
      </c>
      <c r="AA39">
        <v>518</v>
      </c>
      <c r="AB39">
        <v>334</v>
      </c>
      <c r="AC39">
        <v>10985</v>
      </c>
      <c r="AD39">
        <v>215</v>
      </c>
      <c r="AE39">
        <v>4235.6912312400218</v>
      </c>
      <c r="AF39">
        <v>1052</v>
      </c>
      <c r="AG39">
        <v>789</v>
      </c>
      <c r="AH39">
        <v>481</v>
      </c>
      <c r="AI39">
        <v>83</v>
      </c>
      <c r="AJ39">
        <v>57.518030138987122</v>
      </c>
      <c r="AK39">
        <v>105</v>
      </c>
      <c r="AL39">
        <v>5194</v>
      </c>
      <c r="AM39">
        <v>58</v>
      </c>
      <c r="AN39">
        <v>134</v>
      </c>
      <c r="AO39">
        <v>149</v>
      </c>
      <c r="AP39">
        <v>80</v>
      </c>
      <c r="AQ39">
        <v>4659</v>
      </c>
      <c r="AR39">
        <v>144</v>
      </c>
      <c r="AS39">
        <v>3151.8831486136241</v>
      </c>
      <c r="AT39">
        <v>39716</v>
      </c>
      <c r="AU39">
        <v>857</v>
      </c>
      <c r="AV39">
        <v>181</v>
      </c>
      <c r="AW39">
        <v>12753</v>
      </c>
      <c r="AX39">
        <v>25296</v>
      </c>
      <c r="AY39">
        <v>96205</v>
      </c>
      <c r="AZ39">
        <v>13671</v>
      </c>
      <c r="BA39">
        <v>431</v>
      </c>
      <c r="BB39">
        <v>5475</v>
      </c>
      <c r="BC39">
        <v>119</v>
      </c>
      <c r="BD39">
        <v>300</v>
      </c>
      <c r="BE39">
        <v>4963</v>
      </c>
      <c r="BF39">
        <v>6</v>
      </c>
      <c r="BG39">
        <v>1238</v>
      </c>
      <c r="BH39">
        <v>508</v>
      </c>
      <c r="BI39">
        <v>101874</v>
      </c>
      <c r="BJ39">
        <v>35234</v>
      </c>
      <c r="BK39">
        <v>168.45383429758382</v>
      </c>
      <c r="BL39">
        <v>104.08247124888152</v>
      </c>
      <c r="BM39">
        <v>5</v>
      </c>
      <c r="BN39">
        <v>188.98539000868169</v>
      </c>
      <c r="BO39">
        <v>0</v>
      </c>
      <c r="BP39">
        <v>51</v>
      </c>
      <c r="BQ39">
        <v>50</v>
      </c>
      <c r="BR39">
        <v>193.49528885513533</v>
      </c>
      <c r="BS39">
        <v>94</v>
      </c>
      <c r="BT39">
        <v>1416</v>
      </c>
      <c r="BU39">
        <v>15.657444924918888</v>
      </c>
      <c r="BV39">
        <v>5</v>
      </c>
      <c r="BW39">
        <v>0</v>
      </c>
      <c r="BX39">
        <v>117</v>
      </c>
      <c r="BY39">
        <v>158.33818811005645</v>
      </c>
      <c r="BZ39">
        <v>198.53055927618882</v>
      </c>
      <c r="CA39">
        <v>5</v>
      </c>
      <c r="CB39">
        <v>69.424519950112057</v>
      </c>
      <c r="CC39">
        <v>20</v>
      </c>
      <c r="CD39">
        <v>0.11362441890362039</v>
      </c>
      <c r="CE39">
        <v>5</v>
      </c>
      <c r="CF39">
        <v>0</v>
      </c>
      <c r="CG39">
        <v>279</v>
      </c>
      <c r="CI39">
        <v>27967.583715754059</v>
      </c>
      <c r="CJ39">
        <v>43010.100340501289</v>
      </c>
      <c r="CK39">
        <v>11512</v>
      </c>
      <c r="CL39">
        <v>192224.86853862231</v>
      </c>
      <c r="CM39">
        <v>137158</v>
      </c>
    </row>
    <row r="40" spans="1:91" x14ac:dyDescent="0.55000000000000004">
      <c r="A40">
        <v>2016</v>
      </c>
      <c r="B40">
        <v>260</v>
      </c>
      <c r="C40">
        <v>3022</v>
      </c>
      <c r="D40">
        <v>68</v>
      </c>
      <c r="E40">
        <v>51</v>
      </c>
      <c r="F40">
        <v>658</v>
      </c>
      <c r="G40">
        <v>8</v>
      </c>
      <c r="H40">
        <v>24</v>
      </c>
      <c r="I40">
        <v>65</v>
      </c>
      <c r="J40">
        <v>333.18756318383862</v>
      </c>
      <c r="K40">
        <v>128</v>
      </c>
      <c r="L40">
        <v>715</v>
      </c>
      <c r="M40">
        <v>190.33718633094702</v>
      </c>
      <c r="N40">
        <v>1403</v>
      </c>
      <c r="O40">
        <v>3557.9999999999991</v>
      </c>
      <c r="P40">
        <v>783.20122708540157</v>
      </c>
      <c r="Q40">
        <v>395</v>
      </c>
      <c r="R40">
        <v>331.52041651270116</v>
      </c>
      <c r="S40">
        <v>1697.9469646481391</v>
      </c>
      <c r="T40">
        <v>3141</v>
      </c>
      <c r="U40">
        <v>3</v>
      </c>
      <c r="V40">
        <v>49</v>
      </c>
      <c r="W40">
        <v>57</v>
      </c>
      <c r="X40">
        <v>458.00000000000006</v>
      </c>
      <c r="Y40">
        <v>363</v>
      </c>
      <c r="Z40">
        <v>1021</v>
      </c>
      <c r="AA40">
        <v>145</v>
      </c>
      <c r="AB40">
        <v>225</v>
      </c>
      <c r="AC40">
        <v>4174</v>
      </c>
      <c r="AD40">
        <v>115</v>
      </c>
      <c r="AE40">
        <v>1256.7962656680472</v>
      </c>
      <c r="AF40">
        <v>205</v>
      </c>
      <c r="AG40">
        <v>343</v>
      </c>
      <c r="AH40">
        <v>253.91497772882062</v>
      </c>
      <c r="AI40">
        <v>12</v>
      </c>
      <c r="AJ40">
        <v>19.133065346309078</v>
      </c>
      <c r="AK40">
        <v>2</v>
      </c>
      <c r="AL40">
        <v>697</v>
      </c>
      <c r="AM40">
        <v>40</v>
      </c>
      <c r="AN40">
        <v>35</v>
      </c>
      <c r="AO40">
        <v>62</v>
      </c>
      <c r="AP40">
        <v>155</v>
      </c>
      <c r="AQ40">
        <v>340</v>
      </c>
      <c r="AR40">
        <v>6</v>
      </c>
      <c r="AS40">
        <v>570.41445536496781</v>
      </c>
      <c r="AT40">
        <v>6735</v>
      </c>
      <c r="AU40">
        <v>268</v>
      </c>
      <c r="AV40">
        <v>90</v>
      </c>
      <c r="AW40">
        <v>3246</v>
      </c>
      <c r="AX40">
        <v>20047</v>
      </c>
      <c r="AY40">
        <v>62912</v>
      </c>
      <c r="AZ40">
        <v>5815</v>
      </c>
      <c r="BA40">
        <v>716.90867692891709</v>
      </c>
      <c r="BB40">
        <v>5249</v>
      </c>
      <c r="BC40">
        <v>532</v>
      </c>
      <c r="BD40">
        <v>342</v>
      </c>
      <c r="BE40">
        <v>2299</v>
      </c>
      <c r="BF40">
        <v>17</v>
      </c>
      <c r="BG40">
        <v>105</v>
      </c>
      <c r="BH40">
        <v>238</v>
      </c>
      <c r="BI40">
        <v>41698</v>
      </c>
      <c r="BJ40">
        <v>39608</v>
      </c>
      <c r="BK40">
        <v>49</v>
      </c>
      <c r="BL40">
        <v>134</v>
      </c>
      <c r="BM40">
        <v>8</v>
      </c>
      <c r="BN40">
        <v>97.894303461613987</v>
      </c>
      <c r="BO40">
        <v>0</v>
      </c>
      <c r="BP40">
        <v>9</v>
      </c>
      <c r="BQ40">
        <v>292.44127048603815</v>
      </c>
      <c r="BR40">
        <v>110.49798542238328</v>
      </c>
      <c r="BS40">
        <v>48</v>
      </c>
      <c r="BT40">
        <v>1122</v>
      </c>
      <c r="BU40">
        <v>0</v>
      </c>
      <c r="BV40">
        <v>22</v>
      </c>
      <c r="BW40">
        <v>0</v>
      </c>
      <c r="BX40">
        <v>37</v>
      </c>
      <c r="BY40">
        <v>90.42106867361727</v>
      </c>
      <c r="BZ40">
        <v>113.37344167186272</v>
      </c>
      <c r="CA40">
        <v>3</v>
      </c>
      <c r="CB40">
        <v>32</v>
      </c>
      <c r="CC40">
        <v>8</v>
      </c>
      <c r="CD40">
        <v>0</v>
      </c>
      <c r="CE40">
        <v>44.042377545862173</v>
      </c>
      <c r="CF40">
        <v>11</v>
      </c>
      <c r="CG40">
        <v>1160</v>
      </c>
      <c r="CI40">
        <v>15971.250132277619</v>
      </c>
      <c r="CJ40">
        <v>14307.080029994448</v>
      </c>
      <c r="CK40">
        <v>9299.908676928917</v>
      </c>
      <c r="CL40">
        <v>99572.351136372439</v>
      </c>
      <c r="CM40">
        <v>81598.441270486073</v>
      </c>
    </row>
    <row r="41" spans="1:91" x14ac:dyDescent="0.55000000000000004">
      <c r="A41">
        <v>2017</v>
      </c>
      <c r="B41">
        <v>174</v>
      </c>
      <c r="C41">
        <v>1114</v>
      </c>
      <c r="D41">
        <v>22</v>
      </c>
      <c r="E41">
        <v>68</v>
      </c>
      <c r="F41">
        <v>428</v>
      </c>
      <c r="G41">
        <v>6</v>
      </c>
      <c r="H41">
        <v>56</v>
      </c>
      <c r="I41">
        <v>42</v>
      </c>
      <c r="J41">
        <v>227.84772404159244</v>
      </c>
      <c r="K41">
        <v>166</v>
      </c>
      <c r="L41">
        <v>588</v>
      </c>
      <c r="M41">
        <v>130.16060471038119</v>
      </c>
      <c r="N41">
        <v>718</v>
      </c>
      <c r="O41">
        <v>1913.9999999999995</v>
      </c>
      <c r="P41">
        <v>471.44671425055373</v>
      </c>
      <c r="Q41">
        <v>301</v>
      </c>
      <c r="R41">
        <v>226.70765875514419</v>
      </c>
      <c r="S41">
        <v>1173.158684213498</v>
      </c>
      <c r="T41">
        <v>505</v>
      </c>
      <c r="U41">
        <v>2</v>
      </c>
      <c r="V41">
        <v>31</v>
      </c>
      <c r="W41">
        <v>6</v>
      </c>
      <c r="X41">
        <v>1002.5578892300754</v>
      </c>
      <c r="Y41">
        <v>157</v>
      </c>
      <c r="Z41">
        <v>503</v>
      </c>
      <c r="AA41">
        <v>138</v>
      </c>
      <c r="AB41">
        <v>71</v>
      </c>
      <c r="AC41">
        <v>3680</v>
      </c>
      <c r="AD41">
        <v>87.780224798318287</v>
      </c>
      <c r="AE41">
        <v>644.38790720639065</v>
      </c>
      <c r="AF41">
        <v>48</v>
      </c>
      <c r="AG41">
        <v>538</v>
      </c>
      <c r="AH41">
        <v>405</v>
      </c>
      <c r="AI41">
        <v>20</v>
      </c>
      <c r="AJ41">
        <v>8</v>
      </c>
      <c r="AK41">
        <v>2</v>
      </c>
      <c r="AL41">
        <v>1406</v>
      </c>
      <c r="AM41">
        <v>20</v>
      </c>
      <c r="AN41">
        <v>29</v>
      </c>
      <c r="AO41">
        <v>11</v>
      </c>
      <c r="AP41">
        <v>25</v>
      </c>
      <c r="AQ41">
        <v>383</v>
      </c>
      <c r="AR41">
        <v>17</v>
      </c>
      <c r="AS41">
        <v>896</v>
      </c>
      <c r="AT41">
        <v>13731</v>
      </c>
      <c r="AU41">
        <v>909</v>
      </c>
      <c r="AV41">
        <v>218</v>
      </c>
      <c r="AW41">
        <v>4319</v>
      </c>
      <c r="AX41">
        <v>22331</v>
      </c>
      <c r="AY41">
        <v>43532</v>
      </c>
      <c r="AZ41">
        <v>10142.262414765535</v>
      </c>
      <c r="BA41">
        <v>422.05983275332841</v>
      </c>
      <c r="BB41">
        <v>2903</v>
      </c>
      <c r="BC41">
        <v>132</v>
      </c>
      <c r="BD41">
        <v>123</v>
      </c>
      <c r="BE41">
        <v>1853</v>
      </c>
      <c r="BF41">
        <v>8</v>
      </c>
      <c r="BG41">
        <v>71</v>
      </c>
      <c r="BH41">
        <v>320</v>
      </c>
      <c r="BI41">
        <v>30140</v>
      </c>
      <c r="BJ41">
        <v>25233</v>
      </c>
      <c r="BK41">
        <v>74</v>
      </c>
      <c r="BL41">
        <v>72</v>
      </c>
      <c r="BM41">
        <v>5</v>
      </c>
      <c r="BN41">
        <v>93.514800454476543</v>
      </c>
      <c r="BO41">
        <v>0</v>
      </c>
      <c r="BP41">
        <v>26</v>
      </c>
      <c r="BQ41">
        <v>199.16550402951063</v>
      </c>
      <c r="BR41">
        <v>75.56318804066423</v>
      </c>
      <c r="BS41">
        <v>105</v>
      </c>
      <c r="BT41">
        <v>874</v>
      </c>
      <c r="BU41">
        <v>29</v>
      </c>
      <c r="BV41">
        <v>2</v>
      </c>
      <c r="BW41">
        <v>0</v>
      </c>
      <c r="BX41">
        <v>35</v>
      </c>
      <c r="BY41">
        <v>61.833744650681325</v>
      </c>
      <c r="BZ41">
        <v>77.529546435811085</v>
      </c>
      <c r="CA41">
        <v>9</v>
      </c>
      <c r="CB41">
        <v>58</v>
      </c>
      <c r="CC41">
        <v>0</v>
      </c>
      <c r="CD41">
        <v>0</v>
      </c>
      <c r="CE41">
        <v>2</v>
      </c>
      <c r="CF41">
        <v>0</v>
      </c>
      <c r="CG41">
        <v>324</v>
      </c>
      <c r="CI41">
        <v>10921.815202119611</v>
      </c>
      <c r="CJ41">
        <v>9885.1586842134984</v>
      </c>
      <c r="CK41">
        <v>5475.059832753328</v>
      </c>
      <c r="CL41">
        <v>95117.777215220005</v>
      </c>
      <c r="CM41">
        <v>55572.165504029486</v>
      </c>
    </row>
    <row r="42" spans="1:91" x14ac:dyDescent="0.55000000000000004">
      <c r="A42">
        <v>2018</v>
      </c>
      <c r="B42">
        <v>134</v>
      </c>
      <c r="C42">
        <v>1283</v>
      </c>
      <c r="D42">
        <v>23</v>
      </c>
      <c r="E42">
        <v>23</v>
      </c>
      <c r="F42">
        <v>637</v>
      </c>
      <c r="G42">
        <v>0</v>
      </c>
      <c r="H42">
        <v>52</v>
      </c>
      <c r="I42">
        <v>55</v>
      </c>
      <c r="J42">
        <v>230.97113372871982</v>
      </c>
      <c r="K42">
        <v>112</v>
      </c>
      <c r="L42">
        <v>643</v>
      </c>
      <c r="M42">
        <v>131.94488803094029</v>
      </c>
      <c r="N42">
        <v>703</v>
      </c>
      <c r="O42">
        <v>2119.9999999999995</v>
      </c>
      <c r="P42">
        <v>449.03537019563021</v>
      </c>
      <c r="Q42">
        <v>239</v>
      </c>
      <c r="R42">
        <v>229.81544006162994</v>
      </c>
      <c r="S42">
        <v>1067.5851754413006</v>
      </c>
      <c r="T42">
        <v>1673</v>
      </c>
      <c r="U42">
        <v>2</v>
      </c>
      <c r="V42">
        <v>63</v>
      </c>
      <c r="W42">
        <v>20</v>
      </c>
      <c r="X42">
        <v>821.00000000000011</v>
      </c>
      <c r="Y42">
        <v>182.89535600380566</v>
      </c>
      <c r="Z42">
        <v>512</v>
      </c>
      <c r="AA42">
        <v>214</v>
      </c>
      <c r="AB42">
        <v>25</v>
      </c>
      <c r="AC42">
        <v>2263</v>
      </c>
      <c r="AD42">
        <v>63</v>
      </c>
      <c r="AE42">
        <v>1223</v>
      </c>
      <c r="AF42">
        <v>94</v>
      </c>
      <c r="AG42">
        <v>1095</v>
      </c>
      <c r="AH42">
        <v>53</v>
      </c>
      <c r="AI42">
        <v>35</v>
      </c>
      <c r="AJ42">
        <v>0</v>
      </c>
      <c r="AK42">
        <v>0</v>
      </c>
      <c r="AL42">
        <v>514</v>
      </c>
      <c r="AM42">
        <v>9</v>
      </c>
      <c r="AN42">
        <v>95</v>
      </c>
      <c r="AO42">
        <v>60</v>
      </c>
      <c r="AP42">
        <v>45</v>
      </c>
      <c r="AQ42">
        <v>164</v>
      </c>
      <c r="AR42">
        <v>11</v>
      </c>
      <c r="AS42">
        <v>2213</v>
      </c>
      <c r="AT42">
        <v>17404</v>
      </c>
      <c r="AU42">
        <v>688</v>
      </c>
      <c r="AV42">
        <v>179</v>
      </c>
      <c r="AW42">
        <v>3406</v>
      </c>
      <c r="AX42">
        <v>5577</v>
      </c>
      <c r="AY42">
        <v>18340</v>
      </c>
      <c r="AZ42">
        <v>9682</v>
      </c>
      <c r="BA42">
        <v>251</v>
      </c>
      <c r="BB42">
        <v>5</v>
      </c>
      <c r="BC42">
        <v>155</v>
      </c>
      <c r="BD42">
        <v>110</v>
      </c>
      <c r="BE42">
        <v>1775</v>
      </c>
      <c r="BF42">
        <v>11</v>
      </c>
      <c r="BG42">
        <v>0</v>
      </c>
      <c r="BH42">
        <v>144</v>
      </c>
      <c r="BI42">
        <v>46991</v>
      </c>
      <c r="BJ42">
        <v>27148</v>
      </c>
      <c r="BK42">
        <v>175</v>
      </c>
      <c r="BL42">
        <v>52</v>
      </c>
      <c r="BM42">
        <v>5</v>
      </c>
      <c r="BN42">
        <v>101</v>
      </c>
      <c r="BO42">
        <v>0</v>
      </c>
      <c r="BP42">
        <v>62</v>
      </c>
      <c r="BQ42">
        <v>266.66301813598483</v>
      </c>
      <c r="BR42">
        <v>76.599032460481013</v>
      </c>
      <c r="BS42">
        <v>20</v>
      </c>
      <c r="BT42">
        <v>862</v>
      </c>
      <c r="BU42">
        <v>0</v>
      </c>
      <c r="BV42">
        <v>15</v>
      </c>
      <c r="BW42">
        <v>5</v>
      </c>
      <c r="BX42">
        <v>42</v>
      </c>
      <c r="BY42">
        <v>62.681381456559812</v>
      </c>
      <c r="BZ42">
        <v>78.592346327250851</v>
      </c>
      <c r="CA42">
        <v>2</v>
      </c>
      <c r="CB42">
        <v>9</v>
      </c>
      <c r="CC42">
        <v>2</v>
      </c>
      <c r="CD42">
        <v>0</v>
      </c>
      <c r="CE42">
        <v>12</v>
      </c>
      <c r="CF42">
        <v>0</v>
      </c>
      <c r="CG42">
        <v>262</v>
      </c>
      <c r="CI42">
        <v>11071.534948265014</v>
      </c>
      <c r="CJ42">
        <v>8995.5851754413015</v>
      </c>
      <c r="CK42">
        <v>2352</v>
      </c>
      <c r="CL42">
        <v>56735</v>
      </c>
      <c r="CM42">
        <v>74405.663018135994</v>
      </c>
    </row>
    <row r="43" spans="1:91" x14ac:dyDescent="0.55000000000000004">
      <c r="A43">
        <v>2019</v>
      </c>
      <c r="B43">
        <v>2</v>
      </c>
      <c r="C43">
        <v>1090</v>
      </c>
      <c r="D43">
        <v>0</v>
      </c>
      <c r="E43">
        <v>0</v>
      </c>
      <c r="F43">
        <v>140</v>
      </c>
      <c r="G43">
        <v>22.43611114624888</v>
      </c>
      <c r="H43">
        <v>40.826248373427255</v>
      </c>
      <c r="I43">
        <v>10</v>
      </c>
      <c r="J43">
        <v>524.03023273853023</v>
      </c>
      <c r="K43">
        <v>0</v>
      </c>
      <c r="L43">
        <v>40</v>
      </c>
      <c r="M43">
        <v>299.35823263838205</v>
      </c>
      <c r="N43">
        <v>1845</v>
      </c>
      <c r="O43">
        <v>3484.9999999999991</v>
      </c>
      <c r="P43">
        <v>29.836237222301012</v>
      </c>
      <c r="Q43">
        <v>1810</v>
      </c>
      <c r="R43">
        <v>521.40818031335209</v>
      </c>
      <c r="S43">
        <v>2173.8903094204284</v>
      </c>
      <c r="T43">
        <v>2900</v>
      </c>
      <c r="U43">
        <v>0</v>
      </c>
      <c r="V43">
        <v>195</v>
      </c>
      <c r="W43">
        <v>90</v>
      </c>
      <c r="X43">
        <v>850.00000000000011</v>
      </c>
      <c r="Y43">
        <v>440</v>
      </c>
      <c r="Z43">
        <v>342</v>
      </c>
      <c r="AA43">
        <v>58</v>
      </c>
      <c r="AB43">
        <v>170</v>
      </c>
      <c r="AC43">
        <v>5085.5384918688123</v>
      </c>
      <c r="AD43">
        <v>75</v>
      </c>
      <c r="AE43">
        <v>2854.1747254675115</v>
      </c>
      <c r="AF43">
        <v>290</v>
      </c>
      <c r="AG43">
        <v>522</v>
      </c>
      <c r="AH43">
        <v>111</v>
      </c>
      <c r="AI43">
        <v>229</v>
      </c>
      <c r="AJ43">
        <v>18</v>
      </c>
      <c r="AK43">
        <v>26</v>
      </c>
      <c r="AL43">
        <v>783</v>
      </c>
      <c r="AM43">
        <v>149</v>
      </c>
      <c r="AN43">
        <v>106</v>
      </c>
      <c r="AO43">
        <v>89</v>
      </c>
      <c r="AP43">
        <v>89</v>
      </c>
      <c r="AQ43">
        <v>211</v>
      </c>
      <c r="AR43">
        <v>7</v>
      </c>
      <c r="AS43">
        <v>2168</v>
      </c>
      <c r="AT43">
        <v>29921</v>
      </c>
      <c r="AU43">
        <v>772</v>
      </c>
      <c r="AV43">
        <v>422</v>
      </c>
      <c r="AW43">
        <v>8448</v>
      </c>
      <c r="AX43">
        <v>34190</v>
      </c>
      <c r="AY43">
        <v>94589</v>
      </c>
      <c r="AZ43">
        <v>3694</v>
      </c>
      <c r="BA43">
        <v>448</v>
      </c>
      <c r="BB43">
        <v>960</v>
      </c>
      <c r="BC43">
        <v>327</v>
      </c>
      <c r="BD43">
        <v>293</v>
      </c>
      <c r="BE43">
        <v>4030</v>
      </c>
      <c r="BF43">
        <v>84</v>
      </c>
      <c r="BG43">
        <v>346</v>
      </c>
      <c r="BH43">
        <v>178</v>
      </c>
      <c r="BI43">
        <v>45872</v>
      </c>
      <c r="BJ43">
        <v>74128</v>
      </c>
      <c r="BK43">
        <v>18</v>
      </c>
      <c r="BL43">
        <v>275</v>
      </c>
      <c r="BM43">
        <v>11</v>
      </c>
      <c r="BN43">
        <v>75</v>
      </c>
      <c r="BO43">
        <v>2</v>
      </c>
      <c r="BP43">
        <v>35</v>
      </c>
      <c r="BQ43">
        <v>0.01</v>
      </c>
      <c r="BR43">
        <v>26</v>
      </c>
      <c r="BS43">
        <v>31</v>
      </c>
      <c r="BT43">
        <v>1443</v>
      </c>
      <c r="BU43">
        <v>0</v>
      </c>
      <c r="BV43">
        <v>23.452275821482573</v>
      </c>
      <c r="BW43">
        <v>0</v>
      </c>
      <c r="BX43">
        <v>22</v>
      </c>
      <c r="BY43">
        <v>90</v>
      </c>
      <c r="BZ43">
        <v>75</v>
      </c>
      <c r="CA43">
        <v>4</v>
      </c>
      <c r="CB43">
        <v>12</v>
      </c>
      <c r="CC43">
        <v>28.716433638507286</v>
      </c>
      <c r="CD43">
        <v>0</v>
      </c>
      <c r="CE43">
        <v>0</v>
      </c>
      <c r="CF43">
        <v>0</v>
      </c>
      <c r="CG43">
        <v>501</v>
      </c>
      <c r="CI43">
        <v>16823.238677359746</v>
      </c>
      <c r="CJ43">
        <v>14857.428801289241</v>
      </c>
      <c r="CK43">
        <v>6154</v>
      </c>
      <c r="CL43">
        <v>173431</v>
      </c>
      <c r="CM43">
        <v>120000.01000000001</v>
      </c>
    </row>
    <row r="44" spans="1:91" x14ac:dyDescent="0.55000000000000004">
      <c r="A44">
        <v>2020</v>
      </c>
      <c r="B44">
        <v>268</v>
      </c>
      <c r="C44">
        <v>4374.3589743589746</v>
      </c>
      <c r="D44">
        <v>17.948717948717949</v>
      </c>
      <c r="E44">
        <v>19.23076923076923</v>
      </c>
      <c r="F44">
        <v>528.20512820512818</v>
      </c>
      <c r="G44">
        <v>37.179487179487175</v>
      </c>
      <c r="H44">
        <v>42.815129450290392</v>
      </c>
      <c r="I44">
        <v>79.487179487179489</v>
      </c>
      <c r="J44">
        <v>549.55875556690296</v>
      </c>
      <c r="K44">
        <v>76.92307692307692</v>
      </c>
      <c r="L44">
        <v>601.28205128205127</v>
      </c>
      <c r="M44">
        <v>313.94169175644282</v>
      </c>
      <c r="N44">
        <v>1794.8717948717949</v>
      </c>
      <c r="O44">
        <v>4485.8974358974347</v>
      </c>
      <c r="P44">
        <v>1556.8395576251937</v>
      </c>
      <c r="Q44">
        <v>1587.1794871794871</v>
      </c>
      <c r="R44">
        <v>546.80896790621443</v>
      </c>
      <c r="S44">
        <v>2614.4876772572538</v>
      </c>
      <c r="T44">
        <v>1800</v>
      </c>
      <c r="U44">
        <v>0</v>
      </c>
      <c r="V44">
        <v>125.8373383267574</v>
      </c>
      <c r="W44">
        <v>15.384615384615383</v>
      </c>
      <c r="X44">
        <v>1197.4358974358975</v>
      </c>
      <c r="Y44">
        <v>419.23076923076923</v>
      </c>
      <c r="Z44">
        <v>289</v>
      </c>
      <c r="AA44">
        <v>245</v>
      </c>
      <c r="AB44">
        <v>215.38461538461539</v>
      </c>
      <c r="AC44">
        <v>6322</v>
      </c>
      <c r="AD44">
        <v>52.564102564102562</v>
      </c>
      <c r="AE44">
        <v>4207.6923076923076</v>
      </c>
      <c r="AF44">
        <v>485</v>
      </c>
      <c r="AG44">
        <v>1376</v>
      </c>
      <c r="AH44">
        <v>53</v>
      </c>
      <c r="AI44">
        <v>42</v>
      </c>
      <c r="AJ44">
        <v>29.460969404570911</v>
      </c>
      <c r="AK44">
        <v>17</v>
      </c>
      <c r="AL44">
        <v>3532</v>
      </c>
      <c r="AM44">
        <v>111</v>
      </c>
      <c r="AN44">
        <v>122</v>
      </c>
      <c r="AO44">
        <v>329</v>
      </c>
      <c r="AP44">
        <v>106</v>
      </c>
      <c r="AQ44">
        <v>1307</v>
      </c>
      <c r="AR44">
        <v>118.94066496752922</v>
      </c>
      <c r="AS44">
        <v>2180</v>
      </c>
      <c r="AT44">
        <v>25859</v>
      </c>
      <c r="AU44">
        <v>711</v>
      </c>
      <c r="AV44">
        <v>393</v>
      </c>
      <c r="AW44">
        <v>5252</v>
      </c>
      <c r="AX44">
        <v>23054</v>
      </c>
      <c r="AY44">
        <v>91590</v>
      </c>
      <c r="AZ44">
        <v>17671.157886450623</v>
      </c>
      <c r="BA44">
        <v>431</v>
      </c>
      <c r="BB44">
        <v>3448</v>
      </c>
      <c r="BC44">
        <v>375</v>
      </c>
      <c r="BD44">
        <v>270</v>
      </c>
      <c r="BE44">
        <v>4134</v>
      </c>
      <c r="BF44">
        <v>71</v>
      </c>
      <c r="BG44">
        <v>47</v>
      </c>
      <c r="BH44">
        <v>191</v>
      </c>
      <c r="BI44">
        <v>43454</v>
      </c>
      <c r="BJ44">
        <v>39528</v>
      </c>
      <c r="BK44">
        <v>46</v>
      </c>
      <c r="BL44">
        <v>362</v>
      </c>
      <c r="BM44">
        <v>2</v>
      </c>
      <c r="BN44">
        <v>0</v>
      </c>
      <c r="BO44">
        <v>25.33747376419721</v>
      </c>
      <c r="BP44">
        <v>12</v>
      </c>
      <c r="BQ44">
        <v>0.01</v>
      </c>
      <c r="BR44">
        <v>114</v>
      </c>
      <c r="BS44">
        <v>66</v>
      </c>
      <c r="BT44">
        <v>2439</v>
      </c>
      <c r="BU44">
        <v>34</v>
      </c>
      <c r="BV44">
        <v>24.594770893870386</v>
      </c>
      <c r="BW44">
        <v>0</v>
      </c>
      <c r="BX44">
        <v>25</v>
      </c>
      <c r="BY44">
        <v>47.435897435897431</v>
      </c>
      <c r="BZ44">
        <v>326.92307692307691</v>
      </c>
      <c r="CA44">
        <v>9</v>
      </c>
      <c r="CB44">
        <v>22</v>
      </c>
      <c r="CC44">
        <v>30.115376077112472</v>
      </c>
      <c r="CD44">
        <v>0</v>
      </c>
      <c r="CE44">
        <v>73.303354716678598</v>
      </c>
      <c r="CF44">
        <v>45.586583322287836</v>
      </c>
      <c r="CG44">
        <v>923</v>
      </c>
      <c r="CI44">
        <v>25678.051029304661</v>
      </c>
      <c r="CJ44">
        <v>22029.948646661825</v>
      </c>
      <c r="CK44">
        <v>8882.9406649675293</v>
      </c>
      <c r="CL44">
        <v>165726.4612411673</v>
      </c>
      <c r="CM44">
        <v>82982.010000000009</v>
      </c>
    </row>
    <row r="45" spans="1:91" x14ac:dyDescent="0.55000000000000004">
      <c r="A45">
        <v>2021</v>
      </c>
      <c r="B45">
        <v>183</v>
      </c>
      <c r="C45">
        <v>1951</v>
      </c>
      <c r="D45">
        <v>29</v>
      </c>
      <c r="E45">
        <v>74</v>
      </c>
      <c r="F45">
        <v>188</v>
      </c>
      <c r="G45">
        <v>15</v>
      </c>
      <c r="H45">
        <v>49</v>
      </c>
      <c r="I45">
        <v>148</v>
      </c>
      <c r="J45">
        <v>476.47954857917728</v>
      </c>
      <c r="K45">
        <v>122</v>
      </c>
      <c r="L45">
        <v>909</v>
      </c>
      <c r="M45">
        <v>272.19436330149136</v>
      </c>
      <c r="N45">
        <v>2270</v>
      </c>
      <c r="O45">
        <v>4346.9999999999991</v>
      </c>
      <c r="P45">
        <v>1705.1409572545028</v>
      </c>
      <c r="Q45">
        <v>960</v>
      </c>
      <c r="R45">
        <v>474.0954220959191</v>
      </c>
      <c r="S45">
        <v>2572.0970218348402</v>
      </c>
      <c r="T45">
        <v>2770</v>
      </c>
      <c r="U45">
        <v>2</v>
      </c>
      <c r="V45">
        <v>74</v>
      </c>
      <c r="W45">
        <v>38</v>
      </c>
      <c r="X45">
        <v>1203.0000000000002</v>
      </c>
      <c r="Y45">
        <v>393</v>
      </c>
      <c r="Z45">
        <v>1560</v>
      </c>
      <c r="AA45">
        <v>160</v>
      </c>
      <c r="AB45">
        <v>260</v>
      </c>
      <c r="AC45">
        <v>5473</v>
      </c>
      <c r="AD45">
        <v>194</v>
      </c>
      <c r="AE45">
        <v>2438</v>
      </c>
      <c r="AF45">
        <v>118</v>
      </c>
      <c r="AG45">
        <v>211.72907719934264</v>
      </c>
      <c r="AH45">
        <v>345</v>
      </c>
      <c r="AI45">
        <v>28</v>
      </c>
      <c r="AJ45">
        <v>28.983296546020828</v>
      </c>
      <c r="AK45">
        <v>35</v>
      </c>
      <c r="AL45">
        <v>3780</v>
      </c>
      <c r="AM45">
        <v>32</v>
      </c>
      <c r="AN45">
        <v>106</v>
      </c>
      <c r="AO45">
        <v>29</v>
      </c>
      <c r="AP45">
        <v>137</v>
      </c>
      <c r="AQ45">
        <v>1791.0211220448477</v>
      </c>
      <c r="AR45">
        <v>0</v>
      </c>
      <c r="AS45">
        <v>2028</v>
      </c>
      <c r="AT45">
        <v>29763</v>
      </c>
      <c r="AU45">
        <v>2526</v>
      </c>
      <c r="AV45">
        <v>457</v>
      </c>
      <c r="AW45">
        <v>6526</v>
      </c>
      <c r="AX45">
        <v>39416</v>
      </c>
      <c r="AY45">
        <v>98286</v>
      </c>
      <c r="AZ45">
        <v>21013.184278871955</v>
      </c>
      <c r="BA45">
        <v>615</v>
      </c>
      <c r="BB45">
        <v>1304</v>
      </c>
      <c r="BC45">
        <v>149</v>
      </c>
      <c r="BD45">
        <v>229</v>
      </c>
      <c r="BE45">
        <v>4179</v>
      </c>
      <c r="BF45">
        <v>30</v>
      </c>
      <c r="BG45">
        <v>34</v>
      </c>
      <c r="BH45">
        <v>134</v>
      </c>
      <c r="BI45">
        <v>36855</v>
      </c>
      <c r="BJ45">
        <v>58580</v>
      </c>
      <c r="BK45">
        <v>86</v>
      </c>
      <c r="BL45">
        <v>249</v>
      </c>
      <c r="BM45">
        <v>11</v>
      </c>
      <c r="BN45">
        <v>0</v>
      </c>
      <c r="BO45">
        <v>5</v>
      </c>
      <c r="BP45">
        <v>143</v>
      </c>
      <c r="BQ45">
        <v>343.26043156513731</v>
      </c>
      <c r="BR45">
        <v>14</v>
      </c>
      <c r="BS45">
        <v>60</v>
      </c>
      <c r="BT45">
        <v>2353</v>
      </c>
      <c r="BU45">
        <v>7.8897759244420529</v>
      </c>
      <c r="BV45">
        <v>9</v>
      </c>
      <c r="BW45">
        <v>2</v>
      </c>
      <c r="BX45">
        <v>51</v>
      </c>
      <c r="BY45">
        <v>5</v>
      </c>
      <c r="BZ45">
        <v>29</v>
      </c>
      <c r="CA45">
        <v>9</v>
      </c>
      <c r="CB45">
        <v>34.982968721582687</v>
      </c>
      <c r="CC45">
        <v>3</v>
      </c>
      <c r="CD45">
        <v>5.7255267956763813E-2</v>
      </c>
      <c r="CE45">
        <v>3</v>
      </c>
      <c r="CF45">
        <v>0</v>
      </c>
      <c r="CG45">
        <v>479</v>
      </c>
      <c r="CI45">
        <v>22839.910291231092</v>
      </c>
      <c r="CJ45">
        <v>21672.760517539031</v>
      </c>
      <c r="CK45">
        <v>6613</v>
      </c>
      <c r="CL45">
        <v>197069.18427887195</v>
      </c>
      <c r="CM45">
        <v>95778.260431565112</v>
      </c>
    </row>
    <row r="46" spans="1:91" x14ac:dyDescent="0.55000000000000004">
      <c r="A46">
        <v>2022</v>
      </c>
      <c r="B46">
        <v>402</v>
      </c>
      <c r="C46">
        <v>2786</v>
      </c>
      <c r="D46">
        <v>2</v>
      </c>
      <c r="E46">
        <v>132</v>
      </c>
      <c r="F46">
        <v>805</v>
      </c>
      <c r="G46">
        <v>43</v>
      </c>
      <c r="H46">
        <v>22</v>
      </c>
      <c r="I46">
        <v>112</v>
      </c>
      <c r="J46">
        <v>561.49856090838387</v>
      </c>
      <c r="K46">
        <v>213</v>
      </c>
      <c r="L46">
        <v>1048</v>
      </c>
      <c r="M46">
        <v>320.76244140364008</v>
      </c>
      <c r="N46">
        <v>2271</v>
      </c>
      <c r="O46">
        <v>6380.9999999999982</v>
      </c>
      <c r="P46">
        <v>1776.7479265880252</v>
      </c>
      <c r="Q46">
        <v>797.57426551147375</v>
      </c>
      <c r="R46">
        <v>558.68903090155595</v>
      </c>
      <c r="S46">
        <v>4620.2625037177704</v>
      </c>
      <c r="T46">
        <v>4063</v>
      </c>
      <c r="U46">
        <v>2</v>
      </c>
      <c r="V46">
        <v>152</v>
      </c>
      <c r="W46">
        <v>24</v>
      </c>
      <c r="X46">
        <v>776.00000000000011</v>
      </c>
      <c r="Y46">
        <v>514</v>
      </c>
      <c r="Z46">
        <v>1637</v>
      </c>
      <c r="AA46">
        <v>745</v>
      </c>
      <c r="AB46">
        <v>31</v>
      </c>
      <c r="AC46">
        <v>13695</v>
      </c>
      <c r="AD46">
        <v>270</v>
      </c>
      <c r="AE46">
        <v>4138</v>
      </c>
      <c r="AF46">
        <v>402</v>
      </c>
      <c r="AG46">
        <v>380.32932196043072</v>
      </c>
      <c r="AH46">
        <v>560</v>
      </c>
      <c r="AI46">
        <v>70</v>
      </c>
      <c r="AJ46">
        <v>0</v>
      </c>
      <c r="AK46">
        <v>18</v>
      </c>
      <c r="AL46">
        <v>5580</v>
      </c>
      <c r="AM46">
        <v>109</v>
      </c>
      <c r="AN46">
        <v>146</v>
      </c>
      <c r="AO46">
        <v>309</v>
      </c>
      <c r="AP46">
        <v>69</v>
      </c>
      <c r="AQ46">
        <v>3217.2144609254533</v>
      </c>
      <c r="AR46">
        <v>25</v>
      </c>
      <c r="AS46">
        <v>1835</v>
      </c>
      <c r="AT46">
        <v>34186</v>
      </c>
      <c r="AU46">
        <v>669</v>
      </c>
      <c r="AV46">
        <v>544</v>
      </c>
      <c r="AW46">
        <v>3117</v>
      </c>
      <c r="AX46">
        <v>23604</v>
      </c>
      <c r="AY46">
        <v>48478</v>
      </c>
      <c r="AZ46">
        <v>13282.672779358973</v>
      </c>
      <c r="BA46">
        <v>1441</v>
      </c>
      <c r="BB46">
        <v>372</v>
      </c>
      <c r="BC46">
        <v>412</v>
      </c>
      <c r="BD46">
        <v>552</v>
      </c>
      <c r="BE46">
        <v>7608</v>
      </c>
      <c r="BF46">
        <v>86</v>
      </c>
      <c r="BG46">
        <v>38</v>
      </c>
      <c r="BH46">
        <v>275</v>
      </c>
      <c r="BI46">
        <v>82091</v>
      </c>
      <c r="BJ46">
        <v>79804</v>
      </c>
      <c r="BK46">
        <v>11</v>
      </c>
      <c r="BL46">
        <v>260</v>
      </c>
      <c r="BM46">
        <v>23</v>
      </c>
      <c r="BN46">
        <v>29</v>
      </c>
      <c r="BO46">
        <v>0</v>
      </c>
      <c r="BP46">
        <v>46</v>
      </c>
      <c r="BQ46">
        <v>582.30363669762562</v>
      </c>
      <c r="BR46">
        <v>14</v>
      </c>
      <c r="BS46">
        <v>12</v>
      </c>
      <c r="BT46">
        <v>3265</v>
      </c>
      <c r="BU46">
        <v>14.172418675105305</v>
      </c>
      <c r="BV46">
        <v>26</v>
      </c>
      <c r="BW46">
        <v>0</v>
      </c>
      <c r="BX46">
        <v>28</v>
      </c>
      <c r="BY46">
        <v>74</v>
      </c>
      <c r="BZ46">
        <v>88</v>
      </c>
      <c r="CA46">
        <v>0</v>
      </c>
      <c r="CB46">
        <v>62.839969597165037</v>
      </c>
      <c r="CC46">
        <v>11</v>
      </c>
      <c r="CD46">
        <v>0</v>
      </c>
      <c r="CE46">
        <v>0</v>
      </c>
      <c r="CF46">
        <v>5</v>
      </c>
      <c r="CG46">
        <v>641</v>
      </c>
      <c r="CI46">
        <v>26915.272225313078</v>
      </c>
      <c r="CJ46">
        <v>38930.818674875933</v>
      </c>
      <c r="CK46">
        <v>10479</v>
      </c>
      <c r="CL46">
        <v>124569.67277935897</v>
      </c>
      <c r="CM46">
        <v>162477.30363669764</v>
      </c>
    </row>
    <row r="47" spans="1:91" x14ac:dyDescent="0.55000000000000004">
      <c r="A47">
        <v>2023</v>
      </c>
      <c r="B47">
        <v>156</v>
      </c>
      <c r="C47">
        <v>1586</v>
      </c>
      <c r="D47">
        <v>0</v>
      </c>
      <c r="E47">
        <v>12</v>
      </c>
      <c r="F47">
        <v>566</v>
      </c>
      <c r="G47">
        <v>9</v>
      </c>
      <c r="H47">
        <v>11</v>
      </c>
      <c r="I47">
        <v>99.734073924088023</v>
      </c>
      <c r="J47">
        <v>192</v>
      </c>
      <c r="K47">
        <v>115</v>
      </c>
      <c r="L47">
        <v>717</v>
      </c>
      <c r="M47">
        <v>231.16213828537579</v>
      </c>
      <c r="N47">
        <v>1661</v>
      </c>
      <c r="O47">
        <v>4872.9999999999991</v>
      </c>
      <c r="P47">
        <v>1045.7601146416505</v>
      </c>
      <c r="Q47">
        <v>857</v>
      </c>
      <c r="R47">
        <v>402.62741003792115</v>
      </c>
      <c r="S47">
        <v>3323.7621476499867</v>
      </c>
      <c r="T47">
        <v>3929</v>
      </c>
      <c r="U47">
        <v>2</v>
      </c>
      <c r="V47">
        <v>30</v>
      </c>
      <c r="W47">
        <v>34</v>
      </c>
      <c r="X47">
        <v>1143.0339036533203</v>
      </c>
      <c r="Y47">
        <v>680</v>
      </c>
      <c r="Z47">
        <v>1343</v>
      </c>
      <c r="AA47">
        <v>948</v>
      </c>
      <c r="AB47">
        <v>55</v>
      </c>
      <c r="AC47">
        <v>7260</v>
      </c>
      <c r="AD47">
        <v>137</v>
      </c>
      <c r="AE47">
        <v>1707</v>
      </c>
      <c r="AF47">
        <v>449</v>
      </c>
      <c r="AG47">
        <v>273.60441164463407</v>
      </c>
      <c r="AH47">
        <v>94</v>
      </c>
      <c r="AI47">
        <v>115.39695807137326</v>
      </c>
      <c r="AJ47">
        <v>37.45332433263259</v>
      </c>
      <c r="AK47">
        <v>22</v>
      </c>
      <c r="AL47">
        <v>4419</v>
      </c>
      <c r="AM47">
        <v>48</v>
      </c>
      <c r="AN47">
        <v>83</v>
      </c>
      <c r="AO47">
        <v>40</v>
      </c>
      <c r="AP47">
        <v>254</v>
      </c>
      <c r="AQ47">
        <v>2314.4259958155349</v>
      </c>
      <c r="AR47">
        <v>7.4028813536044389</v>
      </c>
      <c r="AS47">
        <v>3761</v>
      </c>
      <c r="AT47">
        <v>74816</v>
      </c>
      <c r="AU47">
        <v>938</v>
      </c>
      <c r="AV47">
        <v>291</v>
      </c>
      <c r="AW47">
        <v>21564</v>
      </c>
      <c r="AX47">
        <v>205359</v>
      </c>
      <c r="AY47">
        <v>321763</v>
      </c>
      <c r="AZ47">
        <v>14282</v>
      </c>
      <c r="BA47">
        <v>736</v>
      </c>
      <c r="BB47">
        <v>4471</v>
      </c>
      <c r="BC47">
        <v>677</v>
      </c>
      <c r="BD47">
        <v>781</v>
      </c>
      <c r="BE47">
        <v>4646</v>
      </c>
      <c r="BF47">
        <v>108</v>
      </c>
      <c r="BG47">
        <v>79</v>
      </c>
      <c r="BH47">
        <v>357</v>
      </c>
      <c r="BI47">
        <v>146892</v>
      </c>
      <c r="BJ47">
        <v>102153</v>
      </c>
      <c r="BK47">
        <v>69</v>
      </c>
      <c r="BL47">
        <v>406</v>
      </c>
      <c r="BM47">
        <v>29</v>
      </c>
      <c r="BN47">
        <v>6</v>
      </c>
      <c r="BO47">
        <v>628</v>
      </c>
      <c r="BP47">
        <v>18</v>
      </c>
      <c r="BQ47">
        <v>8</v>
      </c>
      <c r="BR47">
        <v>6</v>
      </c>
      <c r="BS47">
        <v>82</v>
      </c>
      <c r="BT47">
        <v>2309</v>
      </c>
      <c r="BU47">
        <v>3</v>
      </c>
      <c r="BV47">
        <v>0</v>
      </c>
      <c r="BW47">
        <v>4.397655312230893</v>
      </c>
      <c r="BX47">
        <v>18</v>
      </c>
      <c r="BY47">
        <v>75</v>
      </c>
      <c r="BZ47">
        <v>5</v>
      </c>
      <c r="CA47">
        <v>15.329574773996393</v>
      </c>
      <c r="CB47">
        <v>52</v>
      </c>
      <c r="CC47">
        <v>0</v>
      </c>
      <c r="CD47">
        <v>0</v>
      </c>
      <c r="CE47">
        <v>38</v>
      </c>
      <c r="CF47">
        <v>33.566398967104519</v>
      </c>
      <c r="CG47">
        <v>934</v>
      </c>
      <c r="CI47">
        <v>19396.884039509463</v>
      </c>
      <c r="CJ47">
        <v>28006.37006760039</v>
      </c>
      <c r="CK47">
        <v>11572.402881353604</v>
      </c>
      <c r="CL47">
        <v>641668</v>
      </c>
      <c r="CM47">
        <v>249052.99999999988</v>
      </c>
    </row>
    <row r="49" spans="1:86" x14ac:dyDescent="0.55000000000000004">
      <c r="A49" t="str">
        <f>A1</f>
        <v>Year</v>
      </c>
      <c r="B49" t="str">
        <f t="shared" ref="B49:BM49" si="0">B1</f>
        <v>Swift</v>
      </c>
      <c r="C49" t="str">
        <f t="shared" si="0"/>
        <v>Fraser</v>
      </c>
      <c r="D49" t="str">
        <f t="shared" si="0"/>
        <v>Horsey</v>
      </c>
      <c r="E49" t="str">
        <f t="shared" si="0"/>
        <v>Nevin</v>
      </c>
      <c r="F49" t="str">
        <f t="shared" si="0"/>
        <v>Holmes</v>
      </c>
      <c r="G49" t="str">
        <f t="shared" si="0"/>
        <v>McKale</v>
      </c>
      <c r="H49" t="str">
        <f t="shared" si="0"/>
        <v>Twin</v>
      </c>
      <c r="I49" t="str">
        <f t="shared" si="0"/>
        <v>Goat</v>
      </c>
      <c r="J49" t="str">
        <f t="shared" si="0"/>
        <v>Morkill</v>
      </c>
      <c r="K49" t="str">
        <f t="shared" si="0"/>
        <v>Walker</v>
      </c>
      <c r="L49" t="str">
        <f t="shared" si="0"/>
        <v>Torpy</v>
      </c>
      <c r="M49" t="str">
        <f t="shared" si="0"/>
        <v>Dome</v>
      </c>
      <c r="N49" t="str">
        <f t="shared" si="0"/>
        <v>Slim</v>
      </c>
      <c r="O49" t="str">
        <f t="shared" si="0"/>
        <v>Bowron</v>
      </c>
      <c r="P49" t="str">
        <f t="shared" si="0"/>
        <v>McGregor</v>
      </c>
      <c r="Q49" t="str">
        <f t="shared" si="0"/>
        <v>Willow</v>
      </c>
      <c r="R49" t="str">
        <f t="shared" si="0"/>
        <v>Salmon (PG)</v>
      </c>
      <c r="S49" t="str">
        <f t="shared" si="0"/>
        <v>Stuart</v>
      </c>
      <c r="T49" t="str">
        <f t="shared" si="0"/>
        <v>Nechako</v>
      </c>
      <c r="U49" t="str">
        <f t="shared" si="0"/>
        <v>Stellako</v>
      </c>
      <c r="V49" t="str">
        <f t="shared" si="0"/>
        <v>Endako</v>
      </c>
      <c r="W49" t="str">
        <f t="shared" si="0"/>
        <v>Chilako</v>
      </c>
      <c r="X49" t="str">
        <f t="shared" si="0"/>
        <v>Blackwater</v>
      </c>
      <c r="Y49" t="str">
        <f t="shared" si="0"/>
        <v>Cottonwood</v>
      </c>
      <c r="Z49" t="str">
        <f t="shared" si="0"/>
        <v>Quesnel</v>
      </c>
      <c r="AA49" t="str">
        <f t="shared" si="0"/>
        <v>Cariboo</v>
      </c>
      <c r="AB49" t="str">
        <f t="shared" si="0"/>
        <v>Horsefly</v>
      </c>
      <c r="AC49" t="str">
        <f t="shared" si="0"/>
        <v>Chilko</v>
      </c>
      <c r="AD49" t="str">
        <f t="shared" si="0"/>
        <v>Chilcotin Upper</v>
      </c>
      <c r="AE49" t="str">
        <f t="shared" si="0"/>
        <v>Chilcotin Lower</v>
      </c>
      <c r="AF49" t="str">
        <f t="shared" si="0"/>
        <v>Elkin</v>
      </c>
      <c r="AG49" t="str">
        <f t="shared" si="0"/>
        <v>Taseko</v>
      </c>
      <c r="AH49" t="str">
        <f t="shared" si="0"/>
        <v>Bridge</v>
      </c>
      <c r="AI49" t="str">
        <f t="shared" si="0"/>
        <v>Portage</v>
      </c>
      <c r="AJ49" t="str">
        <f t="shared" si="0"/>
        <v>Seton</v>
      </c>
      <c r="AK49" t="str">
        <f t="shared" si="0"/>
        <v>Mahood</v>
      </c>
      <c r="AL49" t="str">
        <f t="shared" si="0"/>
        <v>Clearwater</v>
      </c>
      <c r="AM49" t="str">
        <f t="shared" si="0"/>
        <v>Finn</v>
      </c>
      <c r="AN49" t="str">
        <f t="shared" si="0"/>
        <v>Raft</v>
      </c>
      <c r="AO49" t="str">
        <f t="shared" si="0"/>
        <v>Barriere</v>
      </c>
      <c r="AP49" t="str">
        <f t="shared" si="0"/>
        <v>Louis</v>
      </c>
      <c r="AQ49" t="str">
        <f t="shared" si="0"/>
        <v>North Thompson</v>
      </c>
      <c r="AR49" t="str">
        <f t="shared" si="0"/>
        <v>Bessette</v>
      </c>
      <c r="AS49" t="str">
        <f t="shared" si="0"/>
        <v>Middle Shuswap</v>
      </c>
      <c r="AT49" t="str">
        <f t="shared" si="0"/>
        <v>Lower Shuswap</v>
      </c>
      <c r="AU49" t="str">
        <f t="shared" si="0"/>
        <v>Eagle</v>
      </c>
      <c r="AV49" t="str">
        <f t="shared" si="0"/>
        <v>Salmon (ST)</v>
      </c>
      <c r="AW49" t="str">
        <f t="shared" si="0"/>
        <v>Adams</v>
      </c>
      <c r="AX49" t="str">
        <f t="shared" si="0"/>
        <v>Little River</v>
      </c>
      <c r="AY49" t="str">
        <f t="shared" si="0"/>
        <v>South Thompson</v>
      </c>
      <c r="AZ49" t="str">
        <f t="shared" si="0"/>
        <v>Lower Thompson</v>
      </c>
      <c r="BA49" t="str">
        <f t="shared" si="0"/>
        <v>Deadman</v>
      </c>
      <c r="BB49" t="str">
        <f t="shared" si="0"/>
        <v>Bonaparte</v>
      </c>
      <c r="BC49" t="str">
        <f t="shared" si="0"/>
        <v>Coldwater</v>
      </c>
      <c r="BD49" t="str">
        <f t="shared" si="0"/>
        <v>Spius</v>
      </c>
      <c r="BE49" t="str">
        <f t="shared" si="0"/>
        <v>Nicola</v>
      </c>
      <c r="BF49" t="str">
        <f t="shared" si="0"/>
        <v>Nahatlatch</v>
      </c>
      <c r="BG49" t="str">
        <f t="shared" si="0"/>
        <v>Maria Slough</v>
      </c>
      <c r="BH49" t="str">
        <f t="shared" si="0"/>
        <v>Birkenhead</v>
      </c>
      <c r="BI49" t="str">
        <f t="shared" si="0"/>
        <v>Harrison</v>
      </c>
      <c r="BJ49" t="str">
        <f t="shared" si="0"/>
        <v>Chilliwack</v>
      </c>
      <c r="BK49" t="str">
        <f t="shared" si="0"/>
        <v>Pitt</v>
      </c>
      <c r="BL49" t="str">
        <f t="shared" si="0"/>
        <v>Blue</v>
      </c>
      <c r="BM49" t="str">
        <f t="shared" si="0"/>
        <v>Lemieux</v>
      </c>
      <c r="BN49" t="str">
        <f t="shared" ref="BN49:CG49" si="1">BN1</f>
        <v>Upper Adams</v>
      </c>
      <c r="BO49" t="str">
        <f t="shared" si="1"/>
        <v>Scotch</v>
      </c>
      <c r="BP49" t="str">
        <f t="shared" si="1"/>
        <v>Seymour</v>
      </c>
      <c r="BQ49" t="str">
        <f t="shared" si="1"/>
        <v>Stave</v>
      </c>
      <c r="BR49" t="str">
        <f t="shared" si="1"/>
        <v xml:space="preserve">Baker </v>
      </c>
      <c r="BS49" t="str">
        <f t="shared" si="1"/>
        <v>Big Silver</v>
      </c>
      <c r="BT49" t="str">
        <f t="shared" si="1"/>
        <v>Chilliwack Su</v>
      </c>
      <c r="BU49" t="str">
        <f t="shared" si="1"/>
        <v>Douglas</v>
      </c>
      <c r="BV49" t="str">
        <f t="shared" si="1"/>
        <v>Holliday</v>
      </c>
      <c r="BW49" t="str">
        <f t="shared" si="1"/>
        <v>Kazchek</v>
      </c>
      <c r="BX49" t="str">
        <f t="shared" si="1"/>
        <v>Kuzkwa</v>
      </c>
      <c r="BY49" t="str">
        <f t="shared" si="1"/>
        <v>Narcosli</v>
      </c>
      <c r="BZ49" t="str">
        <f t="shared" si="1"/>
        <v>Naver</v>
      </c>
      <c r="CA49" t="str">
        <f t="shared" si="1"/>
        <v>Pinchi</v>
      </c>
      <c r="CB49" t="str">
        <f t="shared" si="1"/>
        <v>Sloquet</v>
      </c>
      <c r="CC49" t="str">
        <f t="shared" si="1"/>
        <v>Small</v>
      </c>
      <c r="CD49" t="str">
        <f t="shared" si="1"/>
        <v>Tipella</v>
      </c>
      <c r="CE49" t="str">
        <f t="shared" si="1"/>
        <v>Wap</v>
      </c>
      <c r="CF49" t="str">
        <f t="shared" si="1"/>
        <v>McKinley</v>
      </c>
      <c r="CG49" t="str">
        <f t="shared" si="1"/>
        <v>Chehalis</v>
      </c>
      <c r="CH49" t="s">
        <v>91</v>
      </c>
    </row>
    <row r="50" spans="1:86" x14ac:dyDescent="0.55000000000000004">
      <c r="A50">
        <f t="shared" ref="A50:A94" si="2">A3</f>
        <v>1979</v>
      </c>
      <c r="B50">
        <f>IF(RunSize_by_Stock!B2&gt;0,(RunSize_by_Stock!B2-Escapements!B3)/RunSize_by_Stock!B2,"")</f>
        <v>0.62805526036131776</v>
      </c>
      <c r="C50">
        <f>IF(RunSize_by_Stock!C2&gt;0,(RunSize_by_Stock!C2-Escapements!C3)/RunSize_by_Stock!C2,"")</f>
        <v>0.49494949494949497</v>
      </c>
      <c r="D50">
        <f>IF(RunSize_by_Stock!D2&gt;0,(RunSize_by_Stock!D2-Escapements!D3)/RunSize_by_Stock!D2,"")</f>
        <v>0.62686567164179108</v>
      </c>
      <c r="E50">
        <f>IF(RunSize_by_Stock!E2&gt;0,(RunSize_by_Stock!E2-Escapements!E3)/RunSize_by_Stock!E2,"")</f>
        <v>0.60784313725490191</v>
      </c>
      <c r="F50">
        <f>IF(RunSize_by_Stock!F2&gt;0,(RunSize_by_Stock!F2-Escapements!F3)/RunSize_by_Stock!F2,"")</f>
        <v>0.6035242290748899</v>
      </c>
      <c r="G50">
        <f>IF(RunSize_by_Stock!G2&gt;0,(RunSize_by_Stock!G2-Escapements!G3)/RunSize_by_Stock!G2,"")</f>
        <v>0.61538461538461542</v>
      </c>
      <c r="H50">
        <f>IF(RunSize_by_Stock!H2&gt;0,(RunSize_by_Stock!H2-Escapements!H3)/RunSize_by_Stock!H2,"")</f>
        <v>0.609375</v>
      </c>
      <c r="I50">
        <f>IF(RunSize_by_Stock!I2&gt;0,(RunSize_by_Stock!I2-Escapements!I3)/RunSize_by_Stock!I2,"")</f>
        <v>0.60526315789473684</v>
      </c>
      <c r="J50">
        <f>IF(RunSize_by_Stock!J2&gt;0,(RunSize_by_Stock!J2-Escapements!J3)/RunSize_by_Stock!J2,"")</f>
        <v>0.61464354527938347</v>
      </c>
      <c r="K50">
        <f>IF(RunSize_by_Stock!K2&gt;0,(RunSize_by_Stock!K2-Escapements!K3)/RunSize_by_Stock!K2,"")</f>
        <v>0.59758551307847085</v>
      </c>
      <c r="L50">
        <f>IF(RunSize_by_Stock!L2&gt;0,(RunSize_by_Stock!L2-Escapements!L3)/RunSize_by_Stock!L2,"")</f>
        <v>0.609375</v>
      </c>
      <c r="M50">
        <f>IF(RunSize_by_Stock!M2&gt;0,(RunSize_by_Stock!M2-Escapements!M3)/RunSize_by_Stock!M2,"")</f>
        <v>0.57648364565464172</v>
      </c>
      <c r="N50">
        <f>IF(RunSize_by_Stock!N2&gt;0,(RunSize_by_Stock!N2-Escapements!N3)/RunSize_by_Stock!N2,"")</f>
        <v>0.51060358890701463</v>
      </c>
      <c r="O50">
        <f>IF(RunSize_by_Stock!O2&gt;0,(RunSize_by_Stock!O2-Escapements!O3)/RunSize_by_Stock!O2,"")</f>
        <v>0.50272824291220064</v>
      </c>
      <c r="P50">
        <f>IF(RunSize_by_Stock!P2&gt;0,(RunSize_by_Stock!P2-Escapements!P3)/RunSize_by_Stock!P2,"")</f>
        <v>0.58366745538309095</v>
      </c>
      <c r="Q50">
        <f>IF(RunSize_by_Stock!Q2&gt;0,(RunSize_by_Stock!Q2-Escapements!Q3)/RunSize_by_Stock!Q2,"")</f>
        <v>0.4950142951760344</v>
      </c>
      <c r="R50">
        <f>IF(RunSize_by_Stock!R2&gt;0,(RunSize_by_Stock!R2-Escapements!R3)/RunSize_by_Stock!R2,"")</f>
        <v>0.46275071633237824</v>
      </c>
      <c r="S50">
        <f>IF(RunSize_by_Stock!S2&gt;0,(RunSize_by_Stock!S2-Escapements!S3)/RunSize_by_Stock!S2,"")</f>
        <v>0.46120689655172414</v>
      </c>
      <c r="T50">
        <f>IF(RunSize_by_Stock!T2&gt;0,(RunSize_by_Stock!T2-Escapements!T3)/RunSize_by_Stock!T2,"")</f>
        <v>0.44289693593314761</v>
      </c>
      <c r="U50">
        <f>IF(RunSize_by_Stock!U2&gt;0,(RunSize_by_Stock!U2-Escapements!U3)/RunSize_by_Stock!U2,"")</f>
        <v>0.44029850746268656</v>
      </c>
      <c r="V50">
        <f>IF(RunSize_by_Stock!V2&gt;0,(RunSize_by_Stock!V2-Escapements!V3)/RunSize_by_Stock!V2,"")</f>
        <v>0.52830188679245282</v>
      </c>
      <c r="W50">
        <f>IF(RunSize_by_Stock!W2&gt;0,(RunSize_by_Stock!W2-Escapements!W3)/RunSize_by_Stock!W2,"")</f>
        <v>0.71791255289139633</v>
      </c>
      <c r="X50">
        <f>IF(RunSize_by_Stock!X2&gt;0,(RunSize_by_Stock!X2-Escapements!X3)/RunSize_by_Stock!X2,"")</f>
        <v>0.61207082957592251</v>
      </c>
      <c r="Y50">
        <f>IF(RunSize_by_Stock!Y2&gt;0,(RunSize_by_Stock!Y2-Escapements!Y3)/RunSize_by_Stock!Y2,"")</f>
        <v>0.6763754045307443</v>
      </c>
      <c r="Z50">
        <f>IF(RunSize_by_Stock!Z2&gt;0,(RunSize_by_Stock!Z2-Escapements!Z3)/RunSize_by_Stock!Z2,"")</f>
        <v>0.51430113329735561</v>
      </c>
      <c r="AA50">
        <f>IF(RunSize_by_Stock!AA2&gt;0,(RunSize_by_Stock!AA2-Escapements!AA3)/RunSize_by_Stock!AA2,"")</f>
        <v>0.46922479364493513</v>
      </c>
      <c r="AB50">
        <f>IF(RunSize_by_Stock!AB2&gt;0,(RunSize_by_Stock!AB2-Escapements!AB3)/RunSize_by_Stock!AB2,"")</f>
        <v>0.43729903536977494</v>
      </c>
      <c r="AC50">
        <f>IF(RunSize_by_Stock!AC2&gt;0,(RunSize_by_Stock!AC2-Escapements!AC3)/RunSize_by_Stock!AC2,"")</f>
        <v>0.49401565215484439</v>
      </c>
      <c r="AD50">
        <f>IF(RunSize_by_Stock!AD2&gt;0,(RunSize_by_Stock!AD2-Escapements!AD3)/RunSize_by_Stock!AD2,"")</f>
        <v>0.71770200663283445</v>
      </c>
      <c r="AE50">
        <f>IF(RunSize_by_Stock!AE2&gt;0,(RunSize_by_Stock!AE2-Escapements!AE3)/RunSize_by_Stock!AE2,"")</f>
        <v>0.51349570875151074</v>
      </c>
      <c r="AF50">
        <f>IF(RunSize_by_Stock!AF2&gt;0,(RunSize_by_Stock!AF2-Escapements!AF3)/RunSize_by_Stock!AF2,"")</f>
        <v>0.48320413436692505</v>
      </c>
      <c r="AG50" t="str">
        <f>IF(RunSize_by_Stock!AG2&gt;0,(RunSize_by_Stock!AG2-Escapements!AG3)/RunSize_by_Stock!AG2,"")</f>
        <v/>
      </c>
      <c r="AH50">
        <f>IF(RunSize_by_Stock!AH2&gt;0,(RunSize_by_Stock!AH2-Escapements!AH3)/RunSize_by_Stock!AH2,"")</f>
        <v>0.46949602122015915</v>
      </c>
      <c r="AI50">
        <f>IF(RunSize_by_Stock!AI2&gt;0,(RunSize_by_Stock!AI2-Escapements!AI3)/RunSize_by_Stock!AI2,"")</f>
        <v>0.76744186046511631</v>
      </c>
      <c r="AJ50">
        <f>IF(RunSize_by_Stock!AJ2&gt;0,(RunSize_by_Stock!AJ2-Escapements!AJ3)/RunSize_by_Stock!AJ2,"")</f>
        <v>0.83050847457627119</v>
      </c>
      <c r="AK50">
        <f>IF(RunSize_by_Stock!AK2&gt;0,(RunSize_by_Stock!AK2-Escapements!AK3)/RunSize_by_Stock!AK2,"")</f>
        <v>0.45031712473572938</v>
      </c>
      <c r="AL50">
        <f>IF(RunSize_by_Stock!AL2&gt;0,(RunSize_by_Stock!AL2-Escapements!AL3)/RunSize_by_Stock!AL2,"")</f>
        <v>0.45335276967930027</v>
      </c>
      <c r="AM50">
        <f>IF(RunSize_by_Stock!AM2&gt;0,(RunSize_by_Stock!AM2-Escapements!AM3)/RunSize_by_Stock!AM2,"")</f>
        <v>0.46134347275031684</v>
      </c>
      <c r="AN50">
        <f>IF(RunSize_by_Stock!AN2&gt;0,(RunSize_by_Stock!AN2-Escapements!AN3)/RunSize_by_Stock!AN2,"")</f>
        <v>0.42052980132450329</v>
      </c>
      <c r="AO50">
        <f>IF(RunSize_by_Stock!AO2&gt;0,(RunSize_by_Stock!AO2-Escapements!AO3)/RunSize_by_Stock!AO2,"")</f>
        <v>0.42307692307692307</v>
      </c>
      <c r="AP50">
        <f>IF(RunSize_by_Stock!AP2&gt;0,(RunSize_by_Stock!AP2-Escapements!AP3)/RunSize_by_Stock!AP2,"")</f>
        <v>0.81308411214953269</v>
      </c>
      <c r="AQ50">
        <f>IF(RunSize_by_Stock!AQ2&gt;0,(RunSize_by_Stock!AQ2-Escapements!AQ3)/RunSize_by_Stock!AQ2,"")</f>
        <v>0.44237918215613381</v>
      </c>
      <c r="AR50">
        <f>IF(RunSize_by_Stock!AR2&gt;0,(RunSize_by_Stock!AR2-Escapements!AR3)/RunSize_by_Stock!AR2,"")</f>
        <v>0.49993691530694412</v>
      </c>
      <c r="AS50">
        <f>IF(RunSize_by_Stock!AS2&gt;0,(RunSize_by_Stock!AS2-Escapements!AS3)/RunSize_by_Stock!AS2,"")</f>
        <v>0.43120638901151931</v>
      </c>
      <c r="AT50">
        <f>IF(RunSize_by_Stock!AT2&gt;0,(RunSize_by_Stock!AT2-Escapements!AT3)/RunSize_by_Stock!AT2,"")</f>
        <v>0.47421180013637371</v>
      </c>
      <c r="AU50">
        <f>IF(RunSize_by_Stock!AU2&gt;0,(RunSize_by_Stock!AU2-Escapements!AU3)/RunSize_by_Stock!AU2,"")</f>
        <v>0.5073891625615764</v>
      </c>
      <c r="AV50">
        <f>IF(RunSize_by_Stock!AV2&gt;0,(RunSize_by_Stock!AV2-Escapements!AV3)/RunSize_by_Stock!AV2,"")</f>
        <v>0.58563535911602205</v>
      </c>
      <c r="AW50">
        <f>IF(RunSize_by_Stock!AW2&gt;0,(RunSize_by_Stock!AW2-Escapements!AW3)/RunSize_by_Stock!AW2,"")</f>
        <v>0.48927477017364657</v>
      </c>
      <c r="AX50">
        <f>IF(RunSize_by_Stock!AX2&gt;0,(RunSize_by_Stock!AX2-Escapements!AX3)/RunSize_by_Stock!AX2,"")</f>
        <v>0.44400317712470216</v>
      </c>
      <c r="AY50">
        <f>IF(RunSize_by_Stock!AY2&gt;0,(RunSize_by_Stock!AY2-Escapements!AY3)/RunSize_by_Stock!AY2,"")</f>
        <v>0.44403261675315048</v>
      </c>
      <c r="AZ50">
        <f>IF(RunSize_by_Stock!AZ2&gt;0,(RunSize_by_Stock!AZ2-Escapements!AZ3)/RunSize_by_Stock!AZ2,"")</f>
        <v>0.37182032119903391</v>
      </c>
      <c r="BA50">
        <f>IF(RunSize_by_Stock!BA2&gt;0,(RunSize_by_Stock!BA2-Escapements!BA3)/RunSize_by_Stock!BA2,"")</f>
        <v>0.71098265895953761</v>
      </c>
      <c r="BB50" t="str">
        <f>IF(RunSize_by_Stock!BB2&gt;0,(RunSize_by_Stock!BB2-Escapements!BB3)/RunSize_by_Stock!BB2,"")</f>
        <v/>
      </c>
      <c r="BC50">
        <f>IF(RunSize_by_Stock!BC2&gt;0,(RunSize_by_Stock!BC2-Escapements!BC3)/RunSize_by_Stock!BC2,"")</f>
        <v>0.87577639751552794</v>
      </c>
      <c r="BD50">
        <f>IF(RunSize_by_Stock!BD2&gt;0,(RunSize_by_Stock!BD2-Escapements!BD3)/RunSize_by_Stock!BD2,"")</f>
        <v>0.87593052109181146</v>
      </c>
      <c r="BE50">
        <f>IF(RunSize_by_Stock!BE2&gt;0,(RunSize_by_Stock!BE2-Escapements!BE3)/RunSize_by_Stock!BE2,"")</f>
        <v>0.68864809081527345</v>
      </c>
      <c r="BF50">
        <f>IF(RunSize_by_Stock!BF2&gt;0,(RunSize_by_Stock!BF2-Escapements!BF3)/RunSize_by_Stock!BF2,"")</f>
        <v>0.40476190476190477</v>
      </c>
      <c r="BG50">
        <f>IF(RunSize_by_Stock!BG2&gt;0,(RunSize_by_Stock!BG2-Escapements!BG3)/RunSize_by_Stock!BG2,"")</f>
        <v>0.45652173913043476</v>
      </c>
      <c r="BH50">
        <f>IF(RunSize_by_Stock!BH2&gt;0,(RunSize_by_Stock!BH2-Escapements!BH3)/RunSize_by_Stock!BH2,"")</f>
        <v>0.57867132867132864</v>
      </c>
      <c r="BI50">
        <f>IF(RunSize_by_Stock!BI2&gt;0,(RunSize_by_Stock!BI2-Escapements!BI3)/RunSize_by_Stock!BI2,"")</f>
        <v>4.473809902881707E-2</v>
      </c>
      <c r="BJ50">
        <f>IF(RunSize_by_Stock!BJ2&gt;0,(RunSize_by_Stock!BJ2-Escapements!BJ3)/RunSize_by_Stock!BJ2,"")</f>
        <v>0.30555555555555558</v>
      </c>
      <c r="BK50">
        <f>IF(RunSize_by_Stock!BK2&gt;0,(RunSize_by_Stock!BK2-Escapements!BK3)/RunSize_by_Stock!BK2,"")</f>
        <v>0.16387959866220736</v>
      </c>
      <c r="BL50">
        <f>IF(RunSize_by_Stock!BL2&gt;0,(RunSize_by_Stock!BL2-Escapements!BL3)/RunSize_by_Stock!BL2,"")</f>
        <v>0.4642857142857143</v>
      </c>
      <c r="BM50" t="str">
        <f>IF(RunSize_by_Stock!BM2&gt;0,(RunSize_by_Stock!BM2-Escapements!BM3)/RunSize_by_Stock!BM2,"")</f>
        <v/>
      </c>
      <c r="BN50">
        <f>IF(RunSize_by_Stock!BN2&gt;0,(RunSize_by_Stock!BN2-Escapements!BN3)/RunSize_by_Stock!BN2,"")</f>
        <v>0.46145652896169237</v>
      </c>
      <c r="BO50">
        <f>IF(RunSize_by_Stock!BO2&gt;0,(RunSize_by_Stock!BO2-Escapements!BO3)/RunSize_by_Stock!BO2,"")</f>
        <v>0.54389587850404275</v>
      </c>
      <c r="BP50">
        <f>IF(RunSize_by_Stock!BP2&gt;0,(RunSize_by_Stock!BP2-Escapements!BP3)/RunSize_by_Stock!BP2,"")</f>
        <v>0.54545454545454541</v>
      </c>
      <c r="BQ50">
        <f>IF(RunSize_by_Stock!BQ2&gt;0,(RunSize_by_Stock!BQ2-Escapements!BQ3)/RunSize_by_Stock!BQ2,"")</f>
        <v>2.5242723244625311E-2</v>
      </c>
      <c r="BR50">
        <f>IF(RunSize_by_Stock!BR2&gt;0,(RunSize_by_Stock!BR2-Escapements!BR3)/RunSize_by_Stock!BR2,"")</f>
        <v>0.67598873352450128</v>
      </c>
      <c r="BS50">
        <f>IF(RunSize_by_Stock!BS2&gt;0,(RunSize_by_Stock!BS2-Escapements!BS3)/RunSize_by_Stock!BS2,"")</f>
        <v>0.45652173913043476</v>
      </c>
      <c r="BT50">
        <f>IF(RunSize_by_Stock!BT2&gt;0,(RunSize_by_Stock!BT2-Escapements!BT3)/RunSize_by_Stock!BT2,"")</f>
        <v>0.45530013192945323</v>
      </c>
      <c r="BU50">
        <f>IF(RunSize_by_Stock!BU2&gt;0,(RunSize_by_Stock!BU2-Escapements!BU3)/RunSize_by_Stock!BU2,"")</f>
        <v>0.4366679766332292</v>
      </c>
      <c r="BV50">
        <f>IF(RunSize_by_Stock!BV2&gt;0,(RunSize_by_Stock!BV2-Escapements!BV3)/RunSize_by_Stock!BV2,"")</f>
        <v>0.60648101157170042</v>
      </c>
      <c r="BW50">
        <f>IF(RunSize_by_Stock!BW2&gt;0,(RunSize_by_Stock!BW2-Escapements!BW3)/RunSize_by_Stock!BW2,"")</f>
        <v>0.45652173913043476</v>
      </c>
      <c r="BX50">
        <f>IF(RunSize_by_Stock!BX2&gt;0,(RunSize_by_Stock!BX2-Escapements!BX3)/RunSize_by_Stock!BX2,"")</f>
        <v>0.46043165467625902</v>
      </c>
      <c r="BY50">
        <f>IF(RunSize_by_Stock!BY2&gt;0,(RunSize_by_Stock!BY2-Escapements!BY3)/RunSize_by_Stock!BY2,"")</f>
        <v>0.67631163423146068</v>
      </c>
      <c r="BZ50">
        <f>IF(RunSize_by_Stock!BZ2&gt;0,(RunSize_by_Stock!BZ2-Escapements!BZ3)/RunSize_by_Stock!BZ2,"")</f>
        <v>0.67593096155213739</v>
      </c>
      <c r="CA50">
        <f>IF(RunSize_by_Stock!CA2&gt;0,(RunSize_by_Stock!CA2-Escapements!CA3)/RunSize_by_Stock!CA2,"")</f>
        <v>0.45652173913043476</v>
      </c>
      <c r="CB50">
        <f>IF(RunSize_by_Stock!CB2&gt;0,(RunSize_by_Stock!CB2-Escapements!CB3)/RunSize_by_Stock!CB2,"")</f>
        <v>0.45993666296301416</v>
      </c>
      <c r="CC50">
        <f>IF(RunSize_by_Stock!CC2&gt;0,(RunSize_by_Stock!CC2-Escapements!CC3)/RunSize_by_Stock!CC2,"")</f>
        <v>0.70400687877395429</v>
      </c>
      <c r="CD50" t="str">
        <f>IF(RunSize_by_Stock!CD2&gt;0,(RunSize_by_Stock!CD2-Escapements!CD3)/RunSize_by_Stock!CD2,"")</f>
        <v/>
      </c>
      <c r="CE50">
        <f>IF(RunSize_by_Stock!CE2&gt;0,(RunSize_by_Stock!CE2-Escapements!CE3)/RunSize_by_Stock!CE2,"")</f>
        <v>0.41158331173888574</v>
      </c>
      <c r="CF50">
        <f>IF(RunSize_by_Stock!CF2&gt;0,(RunSize_by_Stock!CF2-Escapements!CF3)/RunSize_by_Stock!CF2,"")</f>
        <v>0.43993248461165541</v>
      </c>
      <c r="CG50">
        <f>IF(RunSize_by_Stock!CG2&gt;0,(RunSize_by_Stock!CG2-Escapements!CG3)/RunSize_by_Stock!CG2,"")</f>
        <v>0.4550624779487048</v>
      </c>
      <c r="CH50">
        <f>AVERAGE(B50:CG50)</f>
        <v>0.52505573403684325</v>
      </c>
    </row>
    <row r="51" spans="1:86" x14ac:dyDescent="0.55000000000000004">
      <c r="A51">
        <f t="shared" si="2"/>
        <v>1980</v>
      </c>
      <c r="B51">
        <f>IF(RunSize_by_Stock!B3&gt;0,(RunSize_by_Stock!B3-Escapements!B4)/RunSize_by_Stock!B3,"")</f>
        <v>0.32170542635658916</v>
      </c>
      <c r="C51">
        <f>IF(RunSize_by_Stock!C3&gt;0,(RunSize_by_Stock!C3-Escapements!C4)/RunSize_by_Stock!C3,"")</f>
        <v>0.11504424778761062</v>
      </c>
      <c r="D51">
        <f>IF(RunSize_by_Stock!D3&gt;0,(RunSize_by_Stock!D3-Escapements!D4)/RunSize_by_Stock!D3,"")</f>
        <v>0.33333333333333331</v>
      </c>
      <c r="E51">
        <f>IF(RunSize_by_Stock!E3&gt;0,(RunSize_by_Stock!E3-Escapements!E4)/RunSize_by_Stock!E3,"")</f>
        <v>0.25</v>
      </c>
      <c r="F51">
        <f>IF(RunSize_by_Stock!F3&gt;0,(RunSize_by_Stock!F3-Escapements!F4)/RunSize_by_Stock!F3,"")</f>
        <v>0.25149700598802394</v>
      </c>
      <c r="G51">
        <f>IF(RunSize_by_Stock!G3&gt;0,(RunSize_by_Stock!G3-Escapements!G4)/RunSize_by_Stock!G3,"")</f>
        <v>0.2</v>
      </c>
      <c r="H51" t="str">
        <f>IF(RunSize_by_Stock!H3&gt;0,(RunSize_by_Stock!H3-Escapements!H4)/RunSize_by_Stock!H3,"")</f>
        <v/>
      </c>
      <c r="I51">
        <f>IF(RunSize_by_Stock!I3&gt;0,(RunSize_by_Stock!I3-Escapements!I4)/RunSize_by_Stock!I3,"")</f>
        <v>0.26724137931034481</v>
      </c>
      <c r="J51">
        <f>IF(RunSize_by_Stock!J3&gt;0,(RunSize_by_Stock!J3-Escapements!J4)/RunSize_by_Stock!J3,"")</f>
        <v>0.27818111453119221</v>
      </c>
      <c r="K51">
        <f>IF(RunSize_by_Stock!K3&gt;0,(RunSize_by_Stock!K3-Escapements!K4)/RunSize_by_Stock!K3,"")</f>
        <v>0.23780487804878048</v>
      </c>
      <c r="L51">
        <f>IF(RunSize_by_Stock!L3&gt;0,(RunSize_by_Stock!L3-Escapements!L4)/RunSize_by_Stock!L3,"")</f>
        <v>0.26470588235294118</v>
      </c>
      <c r="M51">
        <f>IF(RunSize_by_Stock!M3&gt;0,(RunSize_by_Stock!M3-Escapements!M4)/RunSize_by_Stock!M3,"")</f>
        <v>0.20081151379086265</v>
      </c>
      <c r="N51">
        <f>IF(RunSize_by_Stock!N3&gt;0,(RunSize_by_Stock!N3-Escapements!N4)/RunSize_by_Stock!N3,"")</f>
        <v>0.12764003673094582</v>
      </c>
      <c r="O51">
        <f>IF(RunSize_by_Stock!O3&gt;0,(RunSize_by_Stock!O3-Escapements!O4)/RunSize_by_Stock!O3,"")</f>
        <v>0.12046611638902234</v>
      </c>
      <c r="P51">
        <f>IF(RunSize_by_Stock!P3&gt;0,(RunSize_by_Stock!P3-Escapements!P4)/RunSize_by_Stock!P3,"")</f>
        <v>0.21380333865648463</v>
      </c>
      <c r="Q51">
        <f>IF(RunSize_by_Stock!Q3&gt;0,(RunSize_by_Stock!Q3-Escapements!Q4)/RunSize_by_Stock!Q3,"")</f>
        <v>0.114597100207635</v>
      </c>
      <c r="R51">
        <f>IF(RunSize_by_Stock!R3&gt;0,(RunSize_by_Stock!R3-Escapements!R4)/RunSize_by_Stock!R3,"")</f>
        <v>9.90990990990991E-2</v>
      </c>
      <c r="S51">
        <f>IF(RunSize_by_Stock!S3&gt;0,(RunSize_by_Stock!S3-Escapements!S4)/RunSize_by_Stock!S3,"")</f>
        <v>0.20564872021182701</v>
      </c>
      <c r="T51">
        <f>IF(RunSize_by_Stock!T3&gt;0,(RunSize_by_Stock!T3-Escapements!T4)/RunSize_by_Stock!T3,"")</f>
        <v>0.15889393314073463</v>
      </c>
      <c r="U51">
        <f>IF(RunSize_by_Stock!U3&gt;0,(RunSize_by_Stock!U3-Escapements!U4)/RunSize_by_Stock!U3,"")</f>
        <v>0.13793103448275862</v>
      </c>
      <c r="V51">
        <f>IF(RunSize_by_Stock!V3&gt;0,(RunSize_by_Stock!V3-Escapements!V4)/RunSize_by_Stock!V3,"")</f>
        <v>0.13793103448275862</v>
      </c>
      <c r="W51">
        <f>IF(RunSize_by_Stock!W3&gt;0,(RunSize_by_Stock!W3-Escapements!W4)/RunSize_by_Stock!W3,"")</f>
        <v>0.71509971509971515</v>
      </c>
      <c r="X51">
        <f>IF(RunSize_by_Stock!X3&gt;0,(RunSize_by_Stock!X3-Escapements!X4)/RunSize_by_Stock!X3,"")</f>
        <v>0.42730966600914883</v>
      </c>
      <c r="Y51">
        <f>IF(RunSize_by_Stock!Y3&gt;0,(RunSize_by_Stock!Y3-Escapements!Y4)/RunSize_by_Stock!Y3,"")</f>
        <v>0.6629213483146067</v>
      </c>
      <c r="Z51">
        <f>IF(RunSize_by_Stock!Z3&gt;0,(RunSize_by_Stock!Z3-Escapements!Z4)/RunSize_by_Stock!Z3,"")</f>
        <v>0.66766367563974738</v>
      </c>
      <c r="AA51">
        <f>IF(RunSize_by_Stock!AA3&gt;0,(RunSize_by_Stock!AA3-Escapements!AA4)/RunSize_by_Stock!AA3,"")</f>
        <v>0.3370552968771684</v>
      </c>
      <c r="AB51">
        <f>IF(RunSize_by_Stock!AB3&gt;0,(RunSize_by_Stock!AB3-Escapements!AB4)/RunSize_by_Stock!AB3,"")</f>
        <v>0.10941475826972011</v>
      </c>
      <c r="AC51">
        <f>IF(RunSize_by_Stock!AC3&gt;0,(RunSize_by_Stock!AC3-Escapements!AC4)/RunSize_by_Stock!AC3,"")</f>
        <v>0.11820895638906206</v>
      </c>
      <c r="AD51">
        <f>IF(RunSize_by_Stock!AD3&gt;0,(RunSize_by_Stock!AD3-Escapements!AD4)/RunSize_by_Stock!AD3,"")</f>
        <v>0.71483471888311556</v>
      </c>
      <c r="AE51">
        <f>IF(RunSize_by_Stock!AE3&gt;0,(RunSize_by_Stock!AE3-Escapements!AE4)/RunSize_by_Stock!AE3,"")</f>
        <v>0.1130869999479469</v>
      </c>
      <c r="AF51">
        <f>IF(RunSize_by_Stock!AF3&gt;0,(RunSize_by_Stock!AF3-Escapements!AF4)/RunSize_by_Stock!AF3,"")</f>
        <v>0.12280701754385964</v>
      </c>
      <c r="AG51" t="str">
        <f>IF(RunSize_by_Stock!AG3&gt;0,(RunSize_by_Stock!AG3-Escapements!AG4)/RunSize_by_Stock!AG3,"")</f>
        <v/>
      </c>
      <c r="AH51">
        <f>IF(RunSize_by_Stock!AH3&gt;0,(RunSize_by_Stock!AH3-Escapements!AH4)/RunSize_by_Stock!AH3,"")</f>
        <v>8.5365853658536592E-2</v>
      </c>
      <c r="AI51">
        <f>IF(RunSize_by_Stock!AI3&gt;0,(RunSize_by_Stock!AI3-Escapements!AI4)/RunSize_by_Stock!AI3,"")</f>
        <v>0.78813559322033899</v>
      </c>
      <c r="AJ51">
        <f>IF(RunSize_by_Stock!AJ3&gt;0,(RunSize_by_Stock!AJ3-Escapements!AJ4)/RunSize_by_Stock!AJ3,"")</f>
        <v>0.78873239436619713</v>
      </c>
      <c r="AK51">
        <f>IF(RunSize_by_Stock!AK3&gt;0,(RunSize_by_Stock!AK3-Escapements!AK4)/RunSize_by_Stock!AK3,"")</f>
        <v>0.22680412371134021</v>
      </c>
      <c r="AL51">
        <f>IF(RunSize_by_Stock!AL3&gt;0,(RunSize_by_Stock!AL3-Escapements!AL4)/RunSize_by_Stock!AL3,"")</f>
        <v>0.24698795180722891</v>
      </c>
      <c r="AM51">
        <f>IF(RunSize_by_Stock!AM3&gt;0,(RunSize_by_Stock!AM3-Escapements!AM4)/RunSize_by_Stock!AM3,"")</f>
        <v>0.1465149359886202</v>
      </c>
      <c r="AN51">
        <f>IF(RunSize_by_Stock!AN3&gt;0,(RunSize_by_Stock!AN3-Escapements!AN4)/RunSize_by_Stock!AN3,"")</f>
        <v>0.14163090128755365</v>
      </c>
      <c r="AO51">
        <f>IF(RunSize_by_Stock!AO3&gt;0,(RunSize_by_Stock!AO3-Escapements!AO4)/RunSize_by_Stock!AO3,"")</f>
        <v>0.11764705882352941</v>
      </c>
      <c r="AP51">
        <f>IF(RunSize_by_Stock!AP3&gt;0,(RunSize_by_Stock!AP3-Escapements!AP4)/RunSize_by_Stock!AP3,"")</f>
        <v>0.67391304347826086</v>
      </c>
      <c r="AQ51">
        <f>IF(RunSize_by_Stock!AQ3&gt;0,(RunSize_by_Stock!AQ3-Escapements!AQ4)/RunSize_by_Stock!AQ3,"")</f>
        <v>0.31693989071038253</v>
      </c>
      <c r="AR51">
        <f>IF(RunSize_by_Stock!AR3&gt;0,(RunSize_by_Stock!AR3-Escapements!AR4)/RunSize_by_Stock!AR3,"")</f>
        <v>0.17459466743435356</v>
      </c>
      <c r="AS51">
        <f>IF(RunSize_by_Stock!AS3&gt;0,(RunSize_by_Stock!AS3-Escapements!AS4)/RunSize_by_Stock!AS3,"")</f>
        <v>0.12626380669450116</v>
      </c>
      <c r="AT51">
        <f>IF(RunSize_by_Stock!AT3&gt;0,(RunSize_by_Stock!AT3-Escapements!AT4)/RunSize_by_Stock!AT3,"")</f>
        <v>0.41052927628974006</v>
      </c>
      <c r="AU51">
        <f>IF(RunSize_by_Stock!AU3&gt;0,(RunSize_by_Stock!AU3-Escapements!AU4)/RunSize_by_Stock!AU3,"")</f>
        <v>0.12587412587412589</v>
      </c>
      <c r="AV51">
        <f>IF(RunSize_by_Stock!AV3&gt;0,(RunSize_by_Stock!AV3-Escapements!AV4)/RunSize_by_Stock!AV3,"")</f>
        <v>0.12195121951219512</v>
      </c>
      <c r="AW51">
        <f>IF(RunSize_by_Stock!AW3&gt;0,(RunSize_by_Stock!AW3-Escapements!AW4)/RunSize_by_Stock!AW3,"")</f>
        <v>0.64610717896865522</v>
      </c>
      <c r="AX51">
        <f>IF(RunSize_by_Stock!AX3&gt;0,(RunSize_by_Stock!AX3-Escapements!AX4)/RunSize_by_Stock!AX3,"")</f>
        <v>0.7535428219346888</v>
      </c>
      <c r="AY51">
        <f>IF(RunSize_by_Stock!AY3&gt;0,(RunSize_by_Stock!AY3-Escapements!AY4)/RunSize_by_Stock!AY3,"")</f>
        <v>0.75357318876293744</v>
      </c>
      <c r="AZ51">
        <f>IF(RunSize_by_Stock!AZ3&gt;0,(RunSize_by_Stock!AZ3-Escapements!AZ4)/RunSize_by_Stock!AZ3,"")</f>
        <v>0.80909199768555351</v>
      </c>
      <c r="BA51">
        <f>IF(RunSize_by_Stock!BA3&gt;0,(RunSize_by_Stock!BA3-Escapements!BA4)/RunSize_by_Stock!BA3,"")</f>
        <v>0.39759036144578314</v>
      </c>
      <c r="BB51">
        <f>IF(RunSize_by_Stock!BB3&gt;0,(RunSize_by_Stock!BB3-Escapements!BB4)/RunSize_by_Stock!BB3,"")</f>
        <v>0.4</v>
      </c>
      <c r="BC51">
        <f>IF(RunSize_by_Stock!BC3&gt;0,(RunSize_by_Stock!BC3-Escapements!BC4)/RunSize_by_Stock!BC3,"")</f>
        <v>0.6883230904302019</v>
      </c>
      <c r="BD51">
        <f>IF(RunSize_by_Stock!BD3&gt;0,(RunSize_by_Stock!BD3-Escapements!BD4)/RunSize_by_Stock!BD3,"")</f>
        <v>0.68847352024922115</v>
      </c>
      <c r="BE51">
        <f>IF(RunSize_by_Stock!BE3&gt;0,(RunSize_by_Stock!BE3-Escapements!BE4)/RunSize_by_Stock!BE3,"")</f>
        <v>0.21543734924463628</v>
      </c>
      <c r="BF51">
        <f>IF(RunSize_by_Stock!BF3&gt;0,(RunSize_by_Stock!BF3-Escapements!BF4)/RunSize_by_Stock!BF3,"")</f>
        <v>6.9767441860465115E-2</v>
      </c>
      <c r="BG51">
        <f>IF(RunSize_by_Stock!BG3&gt;0,(RunSize_by_Stock!BG3-Escapements!BG4)/RunSize_by_Stock!BG3,"")</f>
        <v>0.5670995670995671</v>
      </c>
      <c r="BH51">
        <f>IF(RunSize_by_Stock!BH3&gt;0,(RunSize_by_Stock!BH3-Escapements!BH4)/RunSize_by_Stock!BH3,"")</f>
        <v>0.29896907216494845</v>
      </c>
      <c r="BI51">
        <f>IF(RunSize_by_Stock!BI3&gt;0,(RunSize_by_Stock!BI3-Escapements!BI4)/RunSize_by_Stock!BI3,"")</f>
        <v>0.25758830416036094</v>
      </c>
      <c r="BJ51">
        <f>IF(RunSize_by_Stock!BJ3&gt;0,(RunSize_by_Stock!BJ3-Escapements!BJ4)/RunSize_by_Stock!BJ3,"")</f>
        <v>0.46236559139784944</v>
      </c>
      <c r="BK51">
        <f>IF(RunSize_by_Stock!BK3&gt;0,(RunSize_by_Stock!BK3-Escapements!BK4)/RunSize_by_Stock!BK3,"")</f>
        <v>7.407407407407407E-2</v>
      </c>
      <c r="BL51">
        <f>IF(RunSize_by_Stock!BL3&gt;0,(RunSize_by_Stock!BL3-Escapements!BL4)/RunSize_by_Stock!BL3,"")</f>
        <v>0.13043478260869565</v>
      </c>
      <c r="BM51">
        <f>IF(RunSize_by_Stock!BM3&gt;0,(RunSize_by_Stock!BM3-Escapements!BM4)/RunSize_by_Stock!BM3,"")</f>
        <v>0.16666666666666666</v>
      </c>
      <c r="BN51">
        <f>IF(RunSize_by_Stock!BN3&gt;0,(RunSize_by_Stock!BN3-Escapements!BN4)/RunSize_by_Stock!BN3,"")</f>
        <v>0.37159756717871328</v>
      </c>
      <c r="BO51">
        <f>IF(RunSize_by_Stock!BO3&gt;0,(RunSize_by_Stock!BO3-Escapements!BO4)/RunSize_by_Stock!BO3,"")</f>
        <v>0.10875284127821179</v>
      </c>
      <c r="BP51">
        <f>IF(RunSize_by_Stock!BP3&gt;0,(RunSize_by_Stock!BP3-Escapements!BP4)/RunSize_by_Stock!BP3,"")</f>
        <v>0.10985278770640312</v>
      </c>
      <c r="BQ51">
        <f>IF(RunSize_by_Stock!BQ3&gt;0,(RunSize_by_Stock!BQ3-Escapements!BQ4)/RunSize_by_Stock!BQ3,"")</f>
        <v>0.18247448134110822</v>
      </c>
      <c r="BR51">
        <f>IF(RunSize_by_Stock!BR3&gt;0,(RunSize_by_Stock!BR3-Escapements!BR4)/RunSize_by_Stock!BR3,"")</f>
        <v>0.663311292930578</v>
      </c>
      <c r="BS51">
        <f>IF(RunSize_by_Stock!BS3&gt;0,(RunSize_by_Stock!BS3-Escapements!BS4)/RunSize_by_Stock!BS3,"")</f>
        <v>0.375</v>
      </c>
      <c r="BT51">
        <f>IF(RunSize_by_Stock!BT3&gt;0,(RunSize_by_Stock!BT3-Escapements!BT4)/RunSize_by_Stock!BT3,"")</f>
        <v>0.37774289482983681</v>
      </c>
      <c r="BU51">
        <f>IF(RunSize_by_Stock!BU3&gt;0,(RunSize_by_Stock!BU3-Escapements!BU4)/RunSize_by_Stock!BU3,"")</f>
        <v>0.40143722122632192</v>
      </c>
      <c r="BV51">
        <f>IF(RunSize_by_Stock!BV3&gt;0,(RunSize_by_Stock!BV3-Escapements!BV4)/RunSize_by_Stock!BV3,"")</f>
        <v>0.27122077168860542</v>
      </c>
      <c r="BW51">
        <f>IF(RunSize_by_Stock!BW3&gt;0,(RunSize_by_Stock!BW3-Escapements!BW4)/RunSize_by_Stock!BW3,"")</f>
        <v>0.13939794543344272</v>
      </c>
      <c r="BX51">
        <f>IF(RunSize_by_Stock!BX3&gt;0,(RunSize_by_Stock!BX3-Escapements!BX4)/RunSize_by_Stock!BX3,"")</f>
        <v>0.19354838709677419</v>
      </c>
      <c r="BY51">
        <f>IF(RunSize_by_Stock!BY3&gt;0,(RunSize_by_Stock!BY3-Escapements!BY4)/RunSize_by_Stock!BY3,"")</f>
        <v>0.6631672164500686</v>
      </c>
      <c r="BZ51">
        <f>IF(RunSize_by_Stock!BZ3&gt;0,(RunSize_by_Stock!BZ3-Escapements!BZ4)/RunSize_by_Stock!BZ3,"")</f>
        <v>0.66295485847397351</v>
      </c>
      <c r="CA51">
        <f>IF(RunSize_by_Stock!CA3&gt;0,(RunSize_by_Stock!CA3-Escapements!CA4)/RunSize_by_Stock!CA3,"")</f>
        <v>0.1818369350279706</v>
      </c>
      <c r="CB51" t="str">
        <f>IF(RunSize_by_Stock!CB3&gt;0,(RunSize_by_Stock!CB3-Escapements!CB4)/RunSize_by_Stock!CB3,"")</f>
        <v/>
      </c>
      <c r="CC51">
        <f>IF(RunSize_by_Stock!CC3&gt;0,(RunSize_by_Stock!CC3-Escapements!CC4)/RunSize_by_Stock!CC3,"")</f>
        <v>0.81094006822739706</v>
      </c>
      <c r="CD51" t="str">
        <f>IF(RunSize_by_Stock!CD3&gt;0,(RunSize_by_Stock!CD3-Escapements!CD4)/RunSize_by_Stock!CD3,"")</f>
        <v/>
      </c>
      <c r="CE51">
        <f>IF(RunSize_by_Stock!CE3&gt;0,(RunSize_by_Stock!CE3-Escapements!CE4)/RunSize_by_Stock!CE3,"")</f>
        <v>0.15185042790853207</v>
      </c>
      <c r="CF51">
        <f>IF(RunSize_by_Stock!CF3&gt;0,(RunSize_by_Stock!CF3-Escapements!CF4)/RunSize_by_Stock!CF3,"")</f>
        <v>0.11131743478678439</v>
      </c>
      <c r="CG51">
        <f>IF(RunSize_by_Stock!CG3&gt;0,(RunSize_by_Stock!CG3-Escapements!CG4)/RunSize_by_Stock!CG3,"")</f>
        <v>0.37779475366234655</v>
      </c>
      <c r="CH51">
        <f t="shared" ref="CH51:CH94" si="3">AVERAGE(B51:CG51)</f>
        <v>0.32562406355916634</v>
      </c>
    </row>
    <row r="52" spans="1:86" x14ac:dyDescent="0.55000000000000004">
      <c r="A52">
        <f t="shared" si="2"/>
        <v>1981</v>
      </c>
      <c r="B52">
        <f>IF(RunSize_by_Stock!B4&gt;0,(RunSize_by_Stock!B4-Escapements!B5)/RunSize_by_Stock!B4,"")</f>
        <v>0.33628318584070799</v>
      </c>
      <c r="C52">
        <f>IF(RunSize_by_Stock!C4&gt;0,(RunSize_by_Stock!C4-Escapements!C5)/RunSize_by_Stock!C4,"")</f>
        <v>0.36418226774991169</v>
      </c>
      <c r="D52">
        <f>IF(RunSize_by_Stock!D4&gt;0,(RunSize_by_Stock!D4-Escapements!D5)/RunSize_by_Stock!D4,"")</f>
        <v>0.33333333333333331</v>
      </c>
      <c r="E52">
        <f>IF(RunSize_by_Stock!E4&gt;0,(RunSize_by_Stock!E4-Escapements!E5)/RunSize_by_Stock!E4,"")</f>
        <v>0.375</v>
      </c>
      <c r="F52">
        <f>IF(RunSize_by_Stock!F4&gt;0,(RunSize_by_Stock!F4-Escapements!F5)/RunSize_by_Stock!F4,"")</f>
        <v>0.36507936507936506</v>
      </c>
      <c r="G52">
        <f>IF(RunSize_by_Stock!G4&gt;0,(RunSize_by_Stock!G4-Escapements!G5)/RunSize_by_Stock!G4,"")</f>
        <v>0.375</v>
      </c>
      <c r="H52">
        <f>IF(RunSize_by_Stock!H4&gt;0,(RunSize_by_Stock!H4-Escapements!H5)/RunSize_by_Stock!H4,"")</f>
        <v>0.375</v>
      </c>
      <c r="I52">
        <f>IF(RunSize_by_Stock!I4&gt;0,(RunSize_by_Stock!I4-Escapements!I5)/RunSize_by_Stock!I4,"")</f>
        <v>0.35483870967741937</v>
      </c>
      <c r="J52">
        <f>IF(RunSize_by_Stock!J4&gt;0,(RunSize_by_Stock!J4-Escapements!J5)/RunSize_by_Stock!J4,"")</f>
        <v>0.35622317596566522</v>
      </c>
      <c r="K52">
        <f>IF(RunSize_by_Stock!K4&gt;0,(RunSize_by_Stock!K4-Escapements!K5)/RunSize_by_Stock!K4,"")</f>
        <v>0.36936936936936937</v>
      </c>
      <c r="L52">
        <f>IF(RunSize_by_Stock!L4&gt;0,(RunSize_by_Stock!L4-Escapements!L5)/RunSize_by_Stock!L4,"")</f>
        <v>0.3601003764115433</v>
      </c>
      <c r="M52">
        <f>IF(RunSize_by_Stock!M4&gt;0,(RunSize_by_Stock!M4-Escapements!M5)/RunSize_by_Stock!M4,"")</f>
        <v>0.375</v>
      </c>
      <c r="N52">
        <f>IF(RunSize_by_Stock!N4&gt;0,(RunSize_by_Stock!N4-Escapements!N5)/RunSize_by_Stock!N4,"")</f>
        <v>0.371172868582195</v>
      </c>
      <c r="O52">
        <f>IF(RunSize_by_Stock!O4&gt;0,(RunSize_by_Stock!O4-Escapements!O5)/RunSize_by_Stock!O4,"")</f>
        <v>0.36788038205779472</v>
      </c>
      <c r="P52">
        <f>IF(RunSize_by_Stock!P4&gt;0,(RunSize_by_Stock!P4-Escapements!P5)/RunSize_by_Stock!P4,"")</f>
        <v>0.37481862097511148</v>
      </c>
      <c r="Q52">
        <f>IF(RunSize_by_Stock!Q4&gt;0,(RunSize_by_Stock!Q4-Escapements!Q5)/RunSize_by_Stock!Q4,"")</f>
        <v>0.36389335418042279</v>
      </c>
      <c r="R52">
        <f>IF(RunSize_by_Stock!R4&gt;0,(RunSize_by_Stock!R4-Escapements!R5)/RunSize_by_Stock!R4,"")</f>
        <v>0.34210526315789475</v>
      </c>
      <c r="S52">
        <f>IF(RunSize_by_Stock!S4&gt;0,(RunSize_by_Stock!S4-Escapements!S5)/RunSize_by_Stock!S4,"")</f>
        <v>0.34272300469483569</v>
      </c>
      <c r="T52">
        <f>IF(RunSize_by_Stock!T4&gt;0,(RunSize_by_Stock!T4-Escapements!T5)/RunSize_by_Stock!T4,"")</f>
        <v>0.30086956521739128</v>
      </c>
      <c r="U52">
        <f>IF(RunSize_by_Stock!U4&gt;0,(RunSize_by_Stock!U4-Escapements!U5)/RunSize_by_Stock!U4,"")</f>
        <v>0.30555555555555558</v>
      </c>
      <c r="V52">
        <f>IF(RunSize_by_Stock!V4&gt;0,(RunSize_by_Stock!V4-Escapements!V5)/RunSize_by_Stock!V4,"")</f>
        <v>0.38461538461538464</v>
      </c>
      <c r="W52">
        <f>IF(RunSize_by_Stock!W4&gt;0,(RunSize_by_Stock!W4-Escapements!W5)/RunSize_by_Stock!W4,"")</f>
        <v>0.47552447552447552</v>
      </c>
      <c r="X52">
        <f>IF(RunSize_by_Stock!X4&gt;0,(RunSize_by_Stock!X4-Escapements!X5)/RunSize_by_Stock!X4,"")</f>
        <v>0.33334933652735366</v>
      </c>
      <c r="Y52">
        <f>IF(RunSize_by_Stock!Y4&gt;0,(RunSize_by_Stock!Y4-Escapements!Y5)/RunSize_by_Stock!Y4,"")</f>
        <v>0.34640522875816993</v>
      </c>
      <c r="Z52">
        <f>IF(RunSize_by_Stock!Z4&gt;0,(RunSize_by_Stock!Z4-Escapements!Z5)/RunSize_by_Stock!Z4,"")</f>
        <v>0.38791124713083397</v>
      </c>
      <c r="AA52">
        <f>IF(RunSize_by_Stock!AA4&gt;0,(RunSize_by_Stock!AA4-Escapements!AA5)/RunSize_by_Stock!AA4,"")</f>
        <v>0.33184855233853006</v>
      </c>
      <c r="AB52">
        <f>IF(RunSize_by_Stock!AB4&gt;0,(RunSize_by_Stock!AB4-Escapements!AB5)/RunSize_by_Stock!AB4,"")</f>
        <v>0.31034482758620691</v>
      </c>
      <c r="AC52">
        <f>IF(RunSize_by_Stock!AC4&gt;0,(RunSize_by_Stock!AC4-Escapements!AC5)/RunSize_by_Stock!AC4,"")</f>
        <v>0.33231475988114173</v>
      </c>
      <c r="AD52">
        <f>IF(RunSize_by_Stock!AD4&gt;0,(RunSize_by_Stock!AD4-Escapements!AD5)/RunSize_by_Stock!AD4,"")</f>
        <v>0.47594070128130872</v>
      </c>
      <c r="AE52">
        <f>IF(RunSize_by_Stock!AE4&gt;0,(RunSize_by_Stock!AE4-Escapements!AE5)/RunSize_by_Stock!AE4,"")</f>
        <v>0.34378490947878187</v>
      </c>
      <c r="AF52">
        <f>IF(RunSize_by_Stock!AF4&gt;0,(RunSize_by_Stock!AF4-Escapements!AF5)/RunSize_by_Stock!AF4,"")</f>
        <v>0.31506849315068491</v>
      </c>
      <c r="AG52" t="str">
        <f>IF(RunSize_by_Stock!AG4&gt;0,(RunSize_by_Stock!AG4-Escapements!AG5)/RunSize_by_Stock!AG4,"")</f>
        <v/>
      </c>
      <c r="AH52">
        <f>IF(RunSize_by_Stock!AH4&gt;0,(RunSize_by_Stock!AH4-Escapements!AH5)/RunSize_by_Stock!AH4,"")</f>
        <v>0.34210526315789475</v>
      </c>
      <c r="AI52">
        <f>IF(RunSize_by_Stock!AI4&gt;0,(RunSize_by_Stock!AI4-Escapements!AI5)/RunSize_by_Stock!AI4,"")</f>
        <v>0.69325153374233128</v>
      </c>
      <c r="AJ52">
        <f>IF(RunSize_by_Stock!AJ4&gt;0,(RunSize_by_Stock!AJ4-Escapements!AJ5)/RunSize_by_Stock!AJ4,"")</f>
        <v>0.71153846153846156</v>
      </c>
      <c r="AK52">
        <f>IF(RunSize_by_Stock!AK4&gt;0,(RunSize_by_Stock!AK4-Escapements!AK5)/RunSize_by_Stock!AK4,"")</f>
        <v>0.33993399339933994</v>
      </c>
      <c r="AL52">
        <f>IF(RunSize_by_Stock!AL4&gt;0,(RunSize_by_Stock!AL4-Escapements!AL5)/RunSize_by_Stock!AL4,"")</f>
        <v>0.33348144856698514</v>
      </c>
      <c r="AM52">
        <f>IF(RunSize_by_Stock!AM4&gt;0,(RunSize_by_Stock!AM4-Escapements!AM5)/RunSize_by_Stock!AM4,"")</f>
        <v>0.34895833333333331</v>
      </c>
      <c r="AN52">
        <f>IF(RunSize_by_Stock!AN4&gt;0,(RunSize_by_Stock!AN4-Escapements!AN5)/RunSize_by_Stock!AN4,"")</f>
        <v>0.30795847750865052</v>
      </c>
      <c r="AO52">
        <f>IF(RunSize_by_Stock!AO4&gt;0,(RunSize_by_Stock!AO4-Escapements!AO5)/RunSize_by_Stock!AO4,"")</f>
        <v>0.30555555555555558</v>
      </c>
      <c r="AP52">
        <f>IF(RunSize_by_Stock!AP4&gt;0,(RunSize_by_Stock!AP4-Escapements!AP5)/RunSize_by_Stock!AP4,"")</f>
        <v>0.40540540540540543</v>
      </c>
      <c r="AQ52">
        <f>IF(RunSize_by_Stock!AQ4&gt;0,(RunSize_by_Stock!AQ4-Escapements!AQ5)/RunSize_by_Stock!AQ4,"")</f>
        <v>0.32634730538922158</v>
      </c>
      <c r="AR52">
        <f>IF(RunSize_by_Stock!AR4&gt;0,(RunSize_by_Stock!AR4-Escapements!AR5)/RunSize_by_Stock!AR4,"")</f>
        <v>0.35521277550165975</v>
      </c>
      <c r="AS52">
        <f>IF(RunSize_by_Stock!AS4&gt;0,(RunSize_by_Stock!AS4-Escapements!AS5)/RunSize_by_Stock!AS4,"")</f>
        <v>0.30924062473142427</v>
      </c>
      <c r="AT52">
        <f>IF(RunSize_by_Stock!AT4&gt;0,(RunSize_by_Stock!AT4-Escapements!AT5)/RunSize_by_Stock!AT4,"")</f>
        <v>0.34821203765556036</v>
      </c>
      <c r="AU52">
        <f>IF(RunSize_by_Stock!AU4&gt;0,(RunSize_by_Stock!AU4-Escapements!AU5)/RunSize_by_Stock!AU4,"")</f>
        <v>0.36224489795918369</v>
      </c>
      <c r="AV52">
        <f>IF(RunSize_by_Stock!AV4&gt;0,(RunSize_by_Stock!AV4-Escapements!AV5)/RunSize_by_Stock!AV4,"")</f>
        <v>0.46714031971580816</v>
      </c>
      <c r="AW52">
        <f>IF(RunSize_by_Stock!AW4&gt;0,(RunSize_by_Stock!AW4-Escapements!AW5)/RunSize_by_Stock!AW4,"")</f>
        <v>0.37219730941704038</v>
      </c>
      <c r="AX52">
        <f>IF(RunSize_by_Stock!AX4&gt;0,(RunSize_by_Stock!AX4-Escapements!AX5)/RunSize_by_Stock!AX4,"")</f>
        <v>0.36608557844690964</v>
      </c>
      <c r="AY52">
        <f>IF(RunSize_by_Stock!AY4&gt;0,(RunSize_by_Stock!AY4-Escapements!AY5)/RunSize_by_Stock!AY4,"")</f>
        <v>0.36561640938887713</v>
      </c>
      <c r="AZ52">
        <f>IF(RunSize_by_Stock!AZ4&gt;0,(RunSize_by_Stock!AZ4-Escapements!AZ5)/RunSize_by_Stock!AZ4,"")</f>
        <v>0.35892788361217431</v>
      </c>
      <c r="BA52">
        <f>IF(RunSize_by_Stock!BA4&gt;0,(RunSize_by_Stock!BA4-Escapements!BA5)/RunSize_by_Stock!BA4,"")</f>
        <v>0.45652173913043476</v>
      </c>
      <c r="BB52">
        <f>IF(RunSize_by_Stock!BB4&gt;0,(RunSize_by_Stock!BB4-Escapements!BB5)/RunSize_by_Stock!BB4,"")</f>
        <v>0.45652173913043476</v>
      </c>
      <c r="BC52">
        <f>IF(RunSize_by_Stock!BC4&gt;0,(RunSize_by_Stock!BC4-Escapements!BC5)/RunSize_by_Stock!BC4,"")</f>
        <v>0.55849889624724058</v>
      </c>
      <c r="BD52">
        <f>IF(RunSize_by_Stock!BD4&gt;0,(RunSize_by_Stock!BD4-Escapements!BD5)/RunSize_by_Stock!BD4,"")</f>
        <v>0.55752212389380529</v>
      </c>
      <c r="BE52">
        <f>IF(RunSize_by_Stock!BE4&gt;0,(RunSize_by_Stock!BE4-Escapements!BE5)/RunSize_by_Stock!BE4,"")</f>
        <v>0.4773820981713186</v>
      </c>
      <c r="BF52">
        <f>IF(RunSize_by_Stock!BF4&gt;0,(RunSize_by_Stock!BF4-Escapements!BF5)/RunSize_by_Stock!BF4,"")</f>
        <v>0.31818181818181818</v>
      </c>
      <c r="BG52">
        <f>IF(RunSize_by_Stock!BG4&gt;0,(RunSize_by_Stock!BG4-Escapements!BG5)/RunSize_by_Stock!BG4,"")</f>
        <v>0.35483870967741937</v>
      </c>
      <c r="BH52">
        <f>IF(RunSize_by_Stock!BH4&gt;0,(RunSize_by_Stock!BH4-Escapements!BH5)/RunSize_by_Stock!BH4,"")</f>
        <v>0.52127659574468088</v>
      </c>
      <c r="BI52">
        <f>IF(RunSize_by_Stock!BI4&gt;0,(RunSize_by_Stock!BI4-Escapements!BI5)/RunSize_by_Stock!BI4,"")</f>
        <v>4.7034352578963282E-2</v>
      </c>
      <c r="BJ52">
        <f>IF(RunSize_by_Stock!BJ4&gt;0,(RunSize_by_Stock!BJ4-Escapements!BJ5)/RunSize_by_Stock!BJ4,"")</f>
        <v>0.30555555555555558</v>
      </c>
      <c r="BK52">
        <f>IF(RunSize_by_Stock!BK4&gt;0,(RunSize_by_Stock!BK4-Escapements!BK5)/RunSize_by_Stock!BK4,"")</f>
        <v>0.10714285714285714</v>
      </c>
      <c r="BL52" t="str">
        <f>IF(RunSize_by_Stock!BL4&gt;0,(RunSize_by_Stock!BL4-Escapements!BL5)/RunSize_by_Stock!BL4,"")</f>
        <v/>
      </c>
      <c r="BM52">
        <f>IF(RunSize_by_Stock!BM4&gt;0,(RunSize_by_Stock!BM4-Escapements!BM5)/RunSize_by_Stock!BM4,"")</f>
        <v>0.31818181818181818</v>
      </c>
      <c r="BN52" t="str">
        <f>IF(RunSize_by_Stock!BN4&gt;0,(RunSize_by_Stock!BN4-Escapements!BN5)/RunSize_by_Stock!BN4,"")</f>
        <v/>
      </c>
      <c r="BO52" t="str">
        <f>IF(RunSize_by_Stock!BO4&gt;0,(RunSize_by_Stock!BO4-Escapements!BO5)/RunSize_by_Stock!BO4,"")</f>
        <v/>
      </c>
      <c r="BP52" t="str">
        <f>IF(RunSize_by_Stock!BP4&gt;0,(RunSize_by_Stock!BP4-Escapements!BP5)/RunSize_by_Stock!BP4,"")</f>
        <v/>
      </c>
      <c r="BQ52">
        <f>IF(RunSize_by_Stock!BQ4&gt;0,(RunSize_by_Stock!BQ4-Escapements!BQ5)/RunSize_by_Stock!BQ4,"")</f>
        <v>2.539883427549583E-2</v>
      </c>
      <c r="BR52">
        <f>IF(RunSize_by_Stock!BR4&gt;0,(RunSize_by_Stock!BR4-Escapements!BR5)/RunSize_by_Stock!BR4,"")</f>
        <v>0.34871127223452186</v>
      </c>
      <c r="BS52">
        <f>IF(RunSize_by_Stock!BS4&gt;0,(RunSize_by_Stock!BS4-Escapements!BS5)/RunSize_by_Stock!BS4,"")</f>
        <v>0.32432432432432434</v>
      </c>
      <c r="BT52">
        <f>IF(RunSize_by_Stock!BT4&gt;0,(RunSize_by_Stock!BT4-Escapements!BT5)/RunSize_by_Stock!BT4,"")</f>
        <v>0.32356847587202675</v>
      </c>
      <c r="BU52">
        <f>IF(RunSize_by_Stock!BU4&gt;0,(RunSize_by_Stock!BU4-Escapements!BU5)/RunSize_by_Stock!BU4,"")</f>
        <v>0.28553139959511653</v>
      </c>
      <c r="BV52">
        <f>IF(RunSize_by_Stock!BV4&gt;0,(RunSize_by_Stock!BV4-Escapements!BV5)/RunSize_by_Stock!BV4,"")</f>
        <v>0.36803316688324195</v>
      </c>
      <c r="BW52">
        <f>IF(RunSize_by_Stock!BW4&gt;0,(RunSize_by_Stock!BW4-Escapements!BW5)/RunSize_by_Stock!BW4,"")</f>
        <v>0.33333333333333331</v>
      </c>
      <c r="BX52">
        <f>IF(RunSize_by_Stock!BX4&gt;0,(RunSize_by_Stock!BX4-Escapements!BX5)/RunSize_by_Stock!BX4,"")</f>
        <v>0.35</v>
      </c>
      <c r="BY52">
        <f>IF(RunSize_by_Stock!BY4&gt;0,(RunSize_by_Stock!BY4-Escapements!BY5)/RunSize_by_Stock!BY4,"")</f>
        <v>0.34572447745648988</v>
      </c>
      <c r="BZ52">
        <f>IF(RunSize_by_Stock!BZ4&gt;0,(RunSize_by_Stock!BZ4-Escapements!BZ5)/RunSize_by_Stock!BZ4,"")</f>
        <v>0.34478058344977935</v>
      </c>
      <c r="CA52">
        <f>IF(RunSize_by_Stock!CA4&gt;0,(RunSize_by_Stock!CA4-Escapements!CA5)/RunSize_by_Stock!CA4,"")</f>
        <v>0.33892211376543063</v>
      </c>
      <c r="CB52">
        <f>IF(RunSize_by_Stock!CB4&gt;0,(RunSize_by_Stock!CB4-Escapements!CB5)/RunSize_by_Stock!CB4,"")</f>
        <v>0.32432432432432434</v>
      </c>
      <c r="CC52">
        <f>IF(RunSize_by_Stock!CC4&gt;0,(RunSize_by_Stock!CC4-Escapements!CC5)/RunSize_by_Stock!CC4,"")</f>
        <v>0.63067694946984976</v>
      </c>
      <c r="CD52" t="str">
        <f>IF(RunSize_by_Stock!CD4&gt;0,(RunSize_by_Stock!CD4-Escapements!CD5)/RunSize_by_Stock!CD4,"")</f>
        <v/>
      </c>
      <c r="CE52">
        <f>IF(RunSize_by_Stock!CE4&gt;0,(RunSize_by_Stock!CE4-Escapements!CE5)/RunSize_by_Stock!CE4,"")</f>
        <v>0.27691482300197029</v>
      </c>
      <c r="CF52">
        <f>IF(RunSize_by_Stock!CF4&gt;0,(RunSize_by_Stock!CF4-Escapements!CF5)/RunSize_by_Stock!CF4,"")</f>
        <v>0.31670956354298352</v>
      </c>
      <c r="CG52">
        <f>IF(RunSize_by_Stock!CG4&gt;0,(RunSize_by_Stock!CG4-Escapements!CG5)/RunSize_by_Stock!CG4,"")</f>
        <v>0.32370422348365036</v>
      </c>
      <c r="CH52">
        <f t="shared" si="3"/>
        <v>0.36287520636918041</v>
      </c>
    </row>
    <row r="53" spans="1:86" x14ac:dyDescent="0.55000000000000004">
      <c r="A53">
        <f t="shared" si="2"/>
        <v>1982</v>
      </c>
      <c r="B53">
        <f>IF(RunSize_by_Stock!B5&gt;0,(RunSize_by_Stock!B5-Escapements!B6)/RunSize_by_Stock!B5,"")</f>
        <v>0.22764227642276422</v>
      </c>
      <c r="C53">
        <f>IF(RunSize_by_Stock!C5&gt;0,(RunSize_by_Stock!C5-Escapements!C6)/RunSize_by_Stock!C5,"")</f>
        <v>0.34258582907231555</v>
      </c>
      <c r="D53">
        <f>IF(RunSize_by_Stock!D5&gt;0,(RunSize_by_Stock!D5-Escapements!D6)/RunSize_by_Stock!D5,"")</f>
        <v>0.21052631578947367</v>
      </c>
      <c r="E53">
        <f>IF(RunSize_by_Stock!E5&gt;0,(RunSize_by_Stock!E5-Escapements!E6)/RunSize_by_Stock!E5,"")</f>
        <v>0.23076923076923078</v>
      </c>
      <c r="F53">
        <f>IF(RunSize_by_Stock!F5&gt;0,(RunSize_by_Stock!F5-Escapements!F6)/RunSize_by_Stock!F5,"")</f>
        <v>0.24114671163575041</v>
      </c>
      <c r="G53">
        <f>IF(RunSize_by_Stock!G5&gt;0,(RunSize_by_Stock!G5-Escapements!G6)/RunSize_by_Stock!G5,"")</f>
        <v>0.23076923076923078</v>
      </c>
      <c r="H53">
        <f>IF(RunSize_by_Stock!H5&gt;0,(RunSize_by_Stock!H5-Escapements!H6)/RunSize_by_Stock!H5,"")</f>
        <v>0.23076923076923078</v>
      </c>
      <c r="I53">
        <f>IF(RunSize_by_Stock!I5&gt;0,(RunSize_by_Stock!I5-Escapements!I6)/RunSize_by_Stock!I5,"")</f>
        <v>0.24242424242424243</v>
      </c>
      <c r="J53">
        <f>IF(RunSize_by_Stock!J5&gt;0,(RunSize_by_Stock!J5-Escapements!J6)/RunSize_by_Stock!J5,"")</f>
        <v>0.23447102191237632</v>
      </c>
      <c r="K53">
        <f>IF(RunSize_by_Stock!K5&gt;0,(RunSize_by_Stock!K5-Escapements!K6)/RunSize_by_Stock!K5,"")</f>
        <v>0.24568965517241378</v>
      </c>
      <c r="L53">
        <f>IF(RunSize_by_Stock!L5&gt;0,(RunSize_by_Stock!L5-Escapements!L6)/RunSize_by_Stock!L5,"")</f>
        <v>0.23664122137404581</v>
      </c>
      <c r="M53">
        <f>IF(RunSize_by_Stock!M5&gt;0,(RunSize_by_Stock!M5-Escapements!M6)/RunSize_by_Stock!M5,"")</f>
        <v>0.25925925925925924</v>
      </c>
      <c r="N53">
        <f>IF(RunSize_by_Stock!N5&gt;0,(RunSize_by_Stock!N5-Escapements!N6)/RunSize_by_Stock!N5,"")</f>
        <v>0.3215228043724086</v>
      </c>
      <c r="O53">
        <f>IF(RunSize_by_Stock!O5&gt;0,(RunSize_by_Stock!O5-Escapements!O6)/RunSize_by_Stock!O5,"")</f>
        <v>0.33175357624797669</v>
      </c>
      <c r="P53">
        <f>IF(RunSize_by_Stock!P5&gt;0,(RunSize_by_Stock!P5-Escapements!P6)/RunSize_by_Stock!P5,"")</f>
        <v>0.25460335478352014</v>
      </c>
      <c r="Q53">
        <f>IF(RunSize_by_Stock!Q5&gt;0,(RunSize_by_Stock!Q5-Escapements!Q6)/RunSize_by_Stock!Q5,"")</f>
        <v>0.34258834690416901</v>
      </c>
      <c r="R53">
        <f>IF(RunSize_by_Stock!R5&gt;0,(RunSize_by_Stock!R5-Escapements!R6)/RunSize_by_Stock!R5,"")</f>
        <v>0.4</v>
      </c>
      <c r="S53">
        <f>IF(RunSize_by_Stock!S5&gt;0,(RunSize_by_Stock!S5-Escapements!S6)/RunSize_by_Stock!S5,"")</f>
        <v>0.62382445141065834</v>
      </c>
      <c r="T53">
        <f>IF(RunSize_by_Stock!T5&gt;0,(RunSize_by_Stock!T5-Escapements!T6)/RunSize_by_Stock!T5,"")</f>
        <v>0.56604803493449785</v>
      </c>
      <c r="U53">
        <f>IF(RunSize_by_Stock!U5&gt;0,(RunSize_by_Stock!U5-Escapements!U6)/RunSize_by_Stock!U5,"")</f>
        <v>0.54728904638371823</v>
      </c>
      <c r="V53">
        <f>IF(RunSize_by_Stock!V5&gt;0,(RunSize_by_Stock!V5-Escapements!V6)/RunSize_by_Stock!V5,"")</f>
        <v>0.30107526881720431</v>
      </c>
      <c r="W53">
        <f>IF(RunSize_by_Stock!W5&gt;0,(RunSize_by_Stock!W5-Escapements!W6)/RunSize_by_Stock!W5,"")</f>
        <v>0.31818181818181818</v>
      </c>
      <c r="X53">
        <f>IF(RunSize_by_Stock!X5&gt;0,(RunSize_by_Stock!X5-Escapements!X6)/RunSize_by_Stock!X5,"")</f>
        <v>0.27324502776169096</v>
      </c>
      <c r="Y53">
        <f>IF(RunSize_by_Stock!Y5&gt;0,(RunSize_by_Stock!Y5-Escapements!Y6)/RunSize_by_Stock!Y5,"")</f>
        <v>0.21307506053268765</v>
      </c>
      <c r="Z53">
        <f>IF(RunSize_by_Stock!Z5&gt;0,(RunSize_by_Stock!Z5-Escapements!Z6)/RunSize_by_Stock!Z5,"")</f>
        <v>0.6538594669435791</v>
      </c>
      <c r="AA53">
        <f>IF(RunSize_by_Stock!AA5&gt;0,(RunSize_by_Stock!AA5-Escapements!AA6)/RunSize_by_Stock!AA5,"")</f>
        <v>0.61165048543689315</v>
      </c>
      <c r="AB53">
        <f>IF(RunSize_by_Stock!AB5&gt;0,(RunSize_by_Stock!AB5-Escapements!AB6)/RunSize_by_Stock!AB5,"")</f>
        <v>0.4844632768361582</v>
      </c>
      <c r="AC53">
        <f>IF(RunSize_by_Stock!AC5&gt;0,(RunSize_by_Stock!AC5-Escapements!AC6)/RunSize_by_Stock!AC5,"")</f>
        <v>0.40609307780316556</v>
      </c>
      <c r="AD53">
        <f>IF(RunSize_by_Stock!AD5&gt;0,(RunSize_by_Stock!AD5-Escapements!AD6)/RunSize_by_Stock!AD5,"")</f>
        <v>0.3179827326160839</v>
      </c>
      <c r="AE53">
        <f>IF(RunSize_by_Stock!AE5&gt;0,(RunSize_by_Stock!AE5-Escapements!AE6)/RunSize_by_Stock!AE5,"")</f>
        <v>0.37272639766035248</v>
      </c>
      <c r="AF53">
        <f>IF(RunSize_by_Stock!AF5&gt;0,(RunSize_by_Stock!AF5-Escapements!AF6)/RunSize_by_Stock!AF5,"")</f>
        <v>0.45512126417656756</v>
      </c>
      <c r="AG53" t="str">
        <f>IF(RunSize_by_Stock!AG5&gt;0,(RunSize_by_Stock!AG5-Escapements!AG6)/RunSize_by_Stock!AG5,"")</f>
        <v/>
      </c>
      <c r="AH53">
        <f>IF(RunSize_by_Stock!AH5&gt;0,(RunSize_by_Stock!AH5-Escapements!AH6)/RunSize_by_Stock!AH5,"")</f>
        <v>0.52380952380952384</v>
      </c>
      <c r="AI53">
        <f>IF(RunSize_by_Stock!AI5&gt;0,(RunSize_by_Stock!AI5-Escapements!AI6)/RunSize_by_Stock!AI5,"")</f>
        <v>0.768160741885626</v>
      </c>
      <c r="AJ53">
        <f>IF(RunSize_by_Stock!AJ5&gt;0,(RunSize_by_Stock!AJ5-Escapements!AJ6)/RunSize_by_Stock!AJ5,"")</f>
        <v>0.72527472527472525</v>
      </c>
      <c r="AK53">
        <f>IF(RunSize_by_Stock!AK5&gt;0,(RunSize_by_Stock!AK5-Escapements!AK6)/RunSize_by_Stock!AK5,"")</f>
        <v>0.52471482889733845</v>
      </c>
      <c r="AL53">
        <f>IF(RunSize_by_Stock!AL5&gt;0,(RunSize_by_Stock!AL5-Escapements!AL6)/RunSize_by_Stock!AL5,"")</f>
        <v>0.52373392602000313</v>
      </c>
      <c r="AM53">
        <f>IF(RunSize_by_Stock!AM5&gt;0,(RunSize_by_Stock!AM5-Escapements!AM6)/RunSize_by_Stock!AM5,"")</f>
        <v>0.64905037159372414</v>
      </c>
      <c r="AN53">
        <f>IF(RunSize_by_Stock!AN5&gt;0,(RunSize_by_Stock!AN5-Escapements!AN6)/RunSize_by_Stock!AN5,"")</f>
        <v>0.4863013698630137</v>
      </c>
      <c r="AO53" t="str">
        <f>IF(RunSize_by_Stock!AO5&gt;0,(RunSize_by_Stock!AO5-Escapements!AO6)/RunSize_by_Stock!AO5,"")</f>
        <v/>
      </c>
      <c r="AP53">
        <f>IF(RunSize_by_Stock!AP5&gt;0,(RunSize_by_Stock!AP5-Escapements!AP6)/RunSize_by_Stock!AP5,"")</f>
        <v>0.30232558139534882</v>
      </c>
      <c r="AQ53">
        <f>IF(RunSize_by_Stock!AQ5&gt;0,(RunSize_by_Stock!AQ5-Escapements!AQ6)/RunSize_by_Stock!AQ5,"")</f>
        <v>0.49207639171068673</v>
      </c>
      <c r="AR53">
        <f>IF(RunSize_by_Stock!AR5&gt;0,(RunSize_by_Stock!AR5-Escapements!AR6)/RunSize_by_Stock!AR5,"")</f>
        <v>0.45193085917641079</v>
      </c>
      <c r="AS53">
        <f>IF(RunSize_by_Stock!AS5&gt;0,(RunSize_by_Stock!AS5-Escapements!AS6)/RunSize_by_Stock!AS5,"")</f>
        <v>0.45503726757467305</v>
      </c>
      <c r="AT53">
        <f>IF(RunSize_by_Stock!AT5&gt;0,(RunSize_by_Stock!AT5-Escapements!AT6)/RunSize_by_Stock!AT5,"")</f>
        <v>0.54745869407915848</v>
      </c>
      <c r="AU53">
        <f>IF(RunSize_by_Stock!AU5&gt;0,(RunSize_by_Stock!AU5-Escapements!AU6)/RunSize_by_Stock!AU5,"")</f>
        <v>0.61427193828351012</v>
      </c>
      <c r="AV53">
        <f>IF(RunSize_by_Stock!AV5&gt;0,(RunSize_by_Stock!AV5-Escapements!AV6)/RunSize_by_Stock!AV5,"")</f>
        <v>0.38542581211589111</v>
      </c>
      <c r="AW53">
        <f>IF(RunSize_by_Stock!AW5&gt;0,(RunSize_by_Stock!AW5-Escapements!AW6)/RunSize_by_Stock!AW5,"")</f>
        <v>0.54792043399638335</v>
      </c>
      <c r="AX53">
        <f>IF(RunSize_by_Stock!AX5&gt;0,(RunSize_by_Stock!AX5-Escapements!AX6)/RunSize_by_Stock!AX5,"")</f>
        <v>0.56140350877192979</v>
      </c>
      <c r="AY53">
        <f>IF(RunSize_by_Stock!AY5&gt;0,(RunSize_by_Stock!AY5-Escapements!AY6)/RunSize_by_Stock!AY5,"")</f>
        <v>0.56046716061785762</v>
      </c>
      <c r="AZ53">
        <f>IF(RunSize_by_Stock!AZ5&gt;0,(RunSize_by_Stock!AZ5-Escapements!AZ6)/RunSize_by_Stock!AZ5,"")</f>
        <v>0.65810150584192739</v>
      </c>
      <c r="BA53">
        <f>IF(RunSize_by_Stock!BA5&gt;0,(RunSize_by_Stock!BA5-Escapements!BA6)/RunSize_by_Stock!BA5,"")</f>
        <v>0.4</v>
      </c>
      <c r="BB53">
        <f>IF(RunSize_by_Stock!BB5&gt;0,(RunSize_by_Stock!BB5-Escapements!BB6)/RunSize_by_Stock!BB5,"")</f>
        <v>0.4</v>
      </c>
      <c r="BC53">
        <f>IF(RunSize_by_Stock!BC5&gt;0,(RunSize_by_Stock!BC5-Escapements!BC6)/RunSize_by_Stock!BC5,"")</f>
        <v>0.35691318327974275</v>
      </c>
      <c r="BD53">
        <f>IF(RunSize_by_Stock!BD5&gt;0,(RunSize_by_Stock!BD5-Escapements!BD6)/RunSize_by_Stock!BD5,"")</f>
        <v>0.35691318327974275</v>
      </c>
      <c r="BE53">
        <f>IF(RunSize_by_Stock!BE5&gt;0,(RunSize_by_Stock!BE5-Escapements!BE6)/RunSize_by_Stock!BE5,"")</f>
        <v>0.39183463859288742</v>
      </c>
      <c r="BF53">
        <f>IF(RunSize_by_Stock!BF5&gt;0,(RunSize_by_Stock!BF5-Escapements!BF6)/RunSize_by_Stock!BF5,"")</f>
        <v>0.40740740740740738</v>
      </c>
      <c r="BG53">
        <f>IF(RunSize_by_Stock!BG5&gt;0,(RunSize_by_Stock!BG5-Escapements!BG6)/RunSize_by_Stock!BG5,"")</f>
        <v>0.41860465116279072</v>
      </c>
      <c r="BH53">
        <f>IF(RunSize_by_Stock!BH5&gt;0,(RunSize_by_Stock!BH5-Escapements!BH6)/RunSize_by_Stock!BH5,"")</f>
        <v>0.49894514767932491</v>
      </c>
      <c r="BI53">
        <f>IF(RunSize_by_Stock!BI5&gt;0,(RunSize_by_Stock!BI5-Escapements!BI6)/RunSize_by_Stock!BI5,"")</f>
        <v>0.12452552957022163</v>
      </c>
      <c r="BJ53">
        <f>IF(RunSize_by_Stock!BJ5&gt;0,(RunSize_by_Stock!BJ5-Escapements!BJ6)/RunSize_by_Stock!BJ5,"")</f>
        <v>0.34883720930232559</v>
      </c>
      <c r="BK53">
        <f>IF(RunSize_by_Stock!BK5&gt;0,(RunSize_by_Stock!BK5-Escapements!BK6)/RunSize_by_Stock!BK5,"")</f>
        <v>7.9754601226993863E-2</v>
      </c>
      <c r="BL53">
        <f>IF(RunSize_by_Stock!BL5&gt;0,(RunSize_by_Stock!BL5-Escapements!BL6)/RunSize_by_Stock!BL5,"")</f>
        <v>0.64873257065039458</v>
      </c>
      <c r="BM53">
        <f>IF(RunSize_by_Stock!BM5&gt;0,(RunSize_by_Stock!BM5-Escapements!BM6)/RunSize_by_Stock!BM5,"")</f>
        <v>0.375</v>
      </c>
      <c r="BN53">
        <f>IF(RunSize_by_Stock!BN5&gt;0,(RunSize_by_Stock!BN5-Escapements!BN6)/RunSize_by_Stock!BN5,"")</f>
        <v>0.52643796447485014</v>
      </c>
      <c r="BO53" t="str">
        <f>IF(RunSize_by_Stock!BO5&gt;0,(RunSize_by_Stock!BO5-Escapements!BO6)/RunSize_by_Stock!BO5,"")</f>
        <v/>
      </c>
      <c r="BP53">
        <f>IF(RunSize_by_Stock!BP5&gt;0,(RunSize_by_Stock!BP5-Escapements!BP6)/RunSize_by_Stock!BP5,"")</f>
        <v>0.45945945945945948</v>
      </c>
      <c r="BQ53">
        <f>IF(RunSize_by_Stock!BQ5&gt;0,(RunSize_by_Stock!BQ5-Escapements!BQ6)/RunSize_by_Stock!BQ5,"")</f>
        <v>0.11467714150498526</v>
      </c>
      <c r="BR53">
        <f>IF(RunSize_by_Stock!BR5&gt;0,(RunSize_by_Stock!BR5-Escapements!BR6)/RunSize_by_Stock!BR5,"")</f>
        <v>0.21215534840128353</v>
      </c>
      <c r="BS53">
        <f>IF(RunSize_by_Stock!BS5&gt;0,(RunSize_by_Stock!BS5-Escapements!BS6)/RunSize_by_Stock!BS5,"")</f>
        <v>0.35483870967741937</v>
      </c>
      <c r="BT53">
        <f>IF(RunSize_by_Stock!BT5&gt;0,(RunSize_by_Stock!BT5-Escapements!BT6)/RunSize_by_Stock!BT5,"")</f>
        <v>0.34681340744957612</v>
      </c>
      <c r="BU53">
        <f>IF(RunSize_by_Stock!BU5&gt;0,(RunSize_by_Stock!BU5-Escapements!BU6)/RunSize_by_Stock!BU5,"")</f>
        <v>0.34210526315789475</v>
      </c>
      <c r="BV53">
        <f>IF(RunSize_by_Stock!BV5&gt;0,(RunSize_by_Stock!BV5-Escapements!BV6)/RunSize_by_Stock!BV5,"")</f>
        <v>0.25094677106786489</v>
      </c>
      <c r="BW53">
        <f>IF(RunSize_by_Stock!BW5&gt;0,(RunSize_by_Stock!BW5-Escapements!BW6)/RunSize_by_Stock!BW5,"")</f>
        <v>0.60252203290828454</v>
      </c>
      <c r="BX53">
        <f>IF(RunSize_by_Stock!BX5&gt;0,(RunSize_by_Stock!BX5-Escapements!BX6)/RunSize_by_Stock!BX5,"")</f>
        <v>0.625</v>
      </c>
      <c r="BY53">
        <f>IF(RunSize_by_Stock!BY5&gt;0,(RunSize_by_Stock!BY5-Escapements!BY6)/RunSize_by_Stock!BY5,"")</f>
        <v>0.21316468510581862</v>
      </c>
      <c r="BZ53">
        <f>IF(RunSize_by_Stock!BZ5&gt;0,(RunSize_by_Stock!BZ5-Escapements!BZ6)/RunSize_by_Stock!BZ5,"")</f>
        <v>0.21198926205365534</v>
      </c>
      <c r="CA53">
        <f>IF(RunSize_by_Stock!CA5&gt;0,(RunSize_by_Stock!CA5-Escapements!CA6)/RunSize_by_Stock!CA5,"")</f>
        <v>0.6120461973978345</v>
      </c>
      <c r="CB53">
        <f>IF(RunSize_by_Stock!CB5&gt;0,(RunSize_by_Stock!CB5-Escapements!CB6)/RunSize_by_Stock!CB5,"")</f>
        <v>0.34210526315789475</v>
      </c>
      <c r="CC53">
        <f>IF(RunSize_by_Stock!CC5&gt;0,(RunSize_by_Stock!CC5-Escapements!CC6)/RunSize_by_Stock!CC5,"")</f>
        <v>0.81821506380434872</v>
      </c>
      <c r="CD53" t="str">
        <f>IF(RunSize_by_Stock!CD5&gt;0,(RunSize_by_Stock!CD5-Escapements!CD6)/RunSize_by_Stock!CD5,"")</f>
        <v/>
      </c>
      <c r="CE53">
        <f>IF(RunSize_by_Stock!CE5&gt;0,(RunSize_by_Stock!CE5-Escapements!CE6)/RunSize_by_Stock!CE5,"")</f>
        <v>0.45214619966267844</v>
      </c>
      <c r="CF53">
        <f>IF(RunSize_by_Stock!CF5&gt;0,(RunSize_by_Stock!CF5-Escapements!CF6)/RunSize_by_Stock!CF5,"")</f>
        <v>0.48230065955572005</v>
      </c>
      <c r="CG53">
        <f>IF(RunSize_by_Stock!CG5&gt;0,(RunSize_by_Stock!CG5-Escapements!CG6)/RunSize_by_Stock!CG5,"")</f>
        <v>0.34717191064478409</v>
      </c>
      <c r="CH53">
        <f t="shared" si="3"/>
        <v>0.40783532274646744</v>
      </c>
    </row>
    <row r="54" spans="1:86" x14ac:dyDescent="0.55000000000000004">
      <c r="A54">
        <f t="shared" si="2"/>
        <v>1983</v>
      </c>
      <c r="B54">
        <f>IF(RunSize_by_Stock!B6&gt;0,(RunSize_by_Stock!B6-Escapements!B7)/RunSize_by_Stock!B6,"")</f>
        <v>0.20273348519362186</v>
      </c>
      <c r="C54">
        <f>IF(RunSize_by_Stock!C6&gt;0,(RunSize_by_Stock!C6-Escapements!C7)/RunSize_by_Stock!C6,"")</f>
        <v>0.23487544483985764</v>
      </c>
      <c r="D54">
        <f>IF(RunSize_by_Stock!D6&gt;0,(RunSize_by_Stock!D6-Escapements!D7)/RunSize_by_Stock!D6,"")</f>
        <v>0.2</v>
      </c>
      <c r="E54">
        <f>IF(RunSize_by_Stock!E6&gt;0,(RunSize_by_Stock!E6-Escapements!E7)/RunSize_by_Stock!E6,"")</f>
        <v>0.21052631578947367</v>
      </c>
      <c r="F54">
        <f>IF(RunSize_by_Stock!F6&gt;0,(RunSize_by_Stock!F6-Escapements!F7)/RunSize_by_Stock!F6,"")</f>
        <v>0.21819474058280028</v>
      </c>
      <c r="G54">
        <f>IF(RunSize_by_Stock!G6&gt;0,(RunSize_by_Stock!G6-Escapements!G7)/RunSize_by_Stock!G6,"")</f>
        <v>0.21052631578947367</v>
      </c>
      <c r="H54">
        <f>IF(RunSize_by_Stock!H6&gt;0,(RunSize_by_Stock!H6-Escapements!H7)/RunSize_by_Stock!H6,"")</f>
        <v>0.23076923076923078</v>
      </c>
      <c r="I54">
        <f>IF(RunSize_by_Stock!I6&gt;0,(RunSize_by_Stock!I6-Escapements!I7)/RunSize_by_Stock!I6,"")</f>
        <v>0.23076923076923078</v>
      </c>
      <c r="J54">
        <f>IF(RunSize_by_Stock!J6&gt;0,(RunSize_by_Stock!J6-Escapements!J7)/RunSize_by_Stock!J6,"")</f>
        <v>0.21283741855333718</v>
      </c>
      <c r="K54">
        <f>IF(RunSize_by_Stock!K6&gt;0,(RunSize_by_Stock!K6-Escapements!K7)/RunSize_by_Stock!K6,"")</f>
        <v>0.21875</v>
      </c>
      <c r="L54">
        <f>IF(RunSize_by_Stock!L6&gt;0,(RunSize_by_Stock!L6-Escapements!L7)/RunSize_by_Stock!L6,"")</f>
        <v>0.21568627450980393</v>
      </c>
      <c r="M54">
        <f>IF(RunSize_by_Stock!M6&gt;0,(RunSize_by_Stock!M6-Escapements!M7)/RunSize_by_Stock!M6,"")</f>
        <v>0.22680412371134021</v>
      </c>
      <c r="N54">
        <f>IF(RunSize_by_Stock!N6&gt;0,(RunSize_by_Stock!N6-Escapements!N7)/RunSize_by_Stock!N6,"")</f>
        <v>0.23459624952162267</v>
      </c>
      <c r="O54">
        <f>IF(RunSize_by_Stock!O6&gt;0,(RunSize_by_Stock!O6-Escapements!O7)/RunSize_by_Stock!O6,"")</f>
        <v>0.23469801824868253</v>
      </c>
      <c r="P54">
        <f>IF(RunSize_by_Stock!P6&gt;0,(RunSize_by_Stock!P6-Escapements!P7)/RunSize_by_Stock!P6,"")</f>
        <v>0.2254329414834946</v>
      </c>
      <c r="Q54">
        <f>IF(RunSize_by_Stock!Q6&gt;0,(RunSize_by_Stock!Q6-Escapements!Q7)/RunSize_by_Stock!Q6,"")</f>
        <v>0.23495557920061125</v>
      </c>
      <c r="R54">
        <f>IF(RunSize_by_Stock!R6&gt;0,(RunSize_by_Stock!R6-Escapements!R7)/RunSize_by_Stock!R6,"")</f>
        <v>0.23547400611620795</v>
      </c>
      <c r="S54">
        <f>IF(RunSize_by_Stock!S6&gt;0,(RunSize_by_Stock!S6-Escapements!S7)/RunSize_by_Stock!S6,"")</f>
        <v>0.30555555555555558</v>
      </c>
      <c r="T54">
        <f>IF(RunSize_by_Stock!T6&gt;0,(RunSize_by_Stock!T6-Escapements!T7)/RunSize_by_Stock!T6,"")</f>
        <v>0.28314028314028317</v>
      </c>
      <c r="U54" t="str">
        <f>IF(RunSize_by_Stock!U6&gt;0,(RunSize_by_Stock!U6-Escapements!U7)/RunSize_by_Stock!U6,"")</f>
        <v/>
      </c>
      <c r="V54">
        <f>IF(RunSize_by_Stock!V6&gt;0,(RunSize_by_Stock!V6-Escapements!V7)/RunSize_by_Stock!V6,"")</f>
        <v>0.32432432432432434</v>
      </c>
      <c r="W54">
        <f>IF(RunSize_by_Stock!W6&gt;0,(RunSize_by_Stock!W6-Escapements!W7)/RunSize_by_Stock!W6,"")</f>
        <v>0.35344827586206895</v>
      </c>
      <c r="X54">
        <f>IF(RunSize_by_Stock!X6&gt;0,(RunSize_by_Stock!X6-Escapements!X7)/RunSize_by_Stock!X6,"")</f>
        <v>0.21760946346331744</v>
      </c>
      <c r="Y54">
        <f>IF(RunSize_by_Stock!Y6&gt;0,(RunSize_by_Stock!Y6-Escapements!Y7)/RunSize_by_Stock!Y6,"")</f>
        <v>0.24559932942162616</v>
      </c>
      <c r="Z54">
        <f>IF(RunSize_by_Stock!Z6&gt;0,(RunSize_by_Stock!Z6-Escapements!Z7)/RunSize_by_Stock!Z6,"")</f>
        <v>0.47643979057591623</v>
      </c>
      <c r="AA54">
        <f>IF(RunSize_by_Stock!AA6&gt;0,(RunSize_by_Stock!AA6-Escapements!AA7)/RunSize_by_Stock!AA6,"")</f>
        <v>0.2805755395683453</v>
      </c>
      <c r="AB54">
        <f>IF(RunSize_by_Stock!AB6&gt;0,(RunSize_by_Stock!AB6-Escapements!AB7)/RunSize_by_Stock!AB6,"")</f>
        <v>0.24242424242424243</v>
      </c>
      <c r="AC54">
        <f>IF(RunSize_by_Stock!AC6&gt;0,(RunSize_by_Stock!AC6-Escapements!AC7)/RunSize_by_Stock!AC6,"")</f>
        <v>0.21398938447222071</v>
      </c>
      <c r="AD54">
        <f>IF(RunSize_by_Stock!AD6&gt;0,(RunSize_by_Stock!AD6-Escapements!AD7)/RunSize_by_Stock!AD6,"")</f>
        <v>0.3533775617622294</v>
      </c>
      <c r="AE54">
        <f>IF(RunSize_by_Stock!AE6&gt;0,(RunSize_by_Stock!AE6-Escapements!AE7)/RunSize_by_Stock!AE6,"")</f>
        <v>0.22605157926587538</v>
      </c>
      <c r="AF54">
        <f>IF(RunSize_by_Stock!AF6&gt;0,(RunSize_by_Stock!AF6-Escapements!AF7)/RunSize_by_Stock!AF6,"")</f>
        <v>0.23499956596304147</v>
      </c>
      <c r="AG54" t="str">
        <f>IF(RunSize_by_Stock!AG6&gt;0,(RunSize_by_Stock!AG6-Escapements!AG7)/RunSize_by_Stock!AG6,"")</f>
        <v/>
      </c>
      <c r="AH54">
        <f>IF(RunSize_by_Stock!AH6&gt;0,(RunSize_by_Stock!AH6-Escapements!AH7)/RunSize_by_Stock!AH6,"")</f>
        <v>0.18604651162790697</v>
      </c>
      <c r="AI54">
        <f>IF(RunSize_by_Stock!AI6&gt;0,(RunSize_by_Stock!AI6-Escapements!AI7)/RunSize_by_Stock!AI6,"")</f>
        <v>0.66019417475728159</v>
      </c>
      <c r="AJ54">
        <f>IF(RunSize_by_Stock!AJ6&gt;0,(RunSize_by_Stock!AJ6-Escapements!AJ7)/RunSize_by_Stock!AJ6,"")</f>
        <v>0.68421052631578949</v>
      </c>
      <c r="AK54">
        <f>IF(RunSize_by_Stock!AK6&gt;0,(RunSize_by_Stock!AK6-Escapements!AK7)/RunSize_by_Stock!AK6,"")</f>
        <v>0.19137466307277629</v>
      </c>
      <c r="AL54">
        <f>IF(RunSize_by_Stock!AL6&gt;0,(RunSize_by_Stock!AL6-Escapements!AL7)/RunSize_by_Stock!AL6,"")</f>
        <v>0.19452275473217881</v>
      </c>
      <c r="AM54">
        <f>IF(RunSize_by_Stock!AM6&gt;0,(RunSize_by_Stock!AM6-Escapements!AM7)/RunSize_by_Stock!AM6,"")</f>
        <v>0.20724801812004531</v>
      </c>
      <c r="AN54">
        <f>IF(RunSize_by_Stock!AN6&gt;0,(RunSize_by_Stock!AN6-Escapements!AN7)/RunSize_by_Stock!AN6,"")</f>
        <v>0.18981481481481483</v>
      </c>
      <c r="AO54">
        <f>IF(RunSize_by_Stock!AO6&gt;0,(RunSize_by_Stock!AO6-Escapements!AO7)/RunSize_by_Stock!AO6,"")</f>
        <v>0.1875</v>
      </c>
      <c r="AP54">
        <f>IF(RunSize_by_Stock!AP6&gt;0,(RunSize_by_Stock!AP6-Escapements!AP7)/RunSize_by_Stock!AP6,"")</f>
        <v>0.31034482758620691</v>
      </c>
      <c r="AQ54">
        <f>IF(RunSize_by_Stock!AQ6&gt;0,(RunSize_by_Stock!AQ6-Escapements!AQ7)/RunSize_by_Stock!AQ6,"")</f>
        <v>0.22696351267779838</v>
      </c>
      <c r="AR54">
        <f>IF(RunSize_by_Stock!AR6&gt;0,(RunSize_by_Stock!AR6-Escapements!AR7)/RunSize_by_Stock!AR6,"")</f>
        <v>0.90350895408035392</v>
      </c>
      <c r="AS54">
        <f>IF(RunSize_by_Stock!AS6&gt;0,(RunSize_by_Stock!AS6-Escapements!AS7)/RunSize_by_Stock!AS6,"")</f>
        <v>0.16089407199389807</v>
      </c>
      <c r="AT54">
        <f>IF(RunSize_by_Stock!AT6&gt;0,(RunSize_by_Stock!AT6-Escapements!AT7)/RunSize_by_Stock!AT6,"")</f>
        <v>0.26112556483636862</v>
      </c>
      <c r="AU54">
        <f>IF(RunSize_by_Stock!AU6&gt;0,(RunSize_by_Stock!AU6-Escapements!AU7)/RunSize_by_Stock!AU6,"")</f>
        <v>0.2113564668769716</v>
      </c>
      <c r="AV54">
        <f>IF(RunSize_by_Stock!AV6&gt;0,(RunSize_by_Stock!AV6-Escapements!AV7)/RunSize_by_Stock!AV6,"")</f>
        <v>0.30715935334872979</v>
      </c>
      <c r="AW54">
        <f>IF(RunSize_by_Stock!AW6&gt;0,(RunSize_by_Stock!AW6-Escapements!AW7)/RunSize_by_Stock!AW6,"")</f>
        <v>0.43820224719101125</v>
      </c>
      <c r="AX54">
        <f>IF(RunSize_by_Stock!AX6&gt;0,(RunSize_by_Stock!AX6-Escapements!AX7)/RunSize_by_Stock!AX6,"")</f>
        <v>0.61389961389961389</v>
      </c>
      <c r="AY54">
        <f>IF(RunSize_by_Stock!AY6&gt;0,(RunSize_by_Stock!AY6-Escapements!AY7)/RunSize_by_Stock!AY6,"")</f>
        <v>0.61365099806825496</v>
      </c>
      <c r="AZ54">
        <f>IF(RunSize_by_Stock!AZ6&gt;0,(RunSize_by_Stock!AZ6-Escapements!AZ7)/RunSize_by_Stock!AZ6,"")</f>
        <v>0.72074880281981035</v>
      </c>
      <c r="BA54">
        <f>IF(RunSize_by_Stock!BA6&gt;0,(RunSize_by_Stock!BA6-Escapements!BA7)/RunSize_by_Stock!BA6,"")</f>
        <v>0.29565217391304349</v>
      </c>
      <c r="BB54">
        <f>IF(RunSize_by_Stock!BB6&gt;0,(RunSize_by_Stock!BB6-Escapements!BB7)/RunSize_by_Stock!BB6,"")</f>
        <v>0.28888888888888886</v>
      </c>
      <c r="BC54">
        <f>IF(RunSize_by_Stock!BC6&gt;0,(RunSize_by_Stock!BC6-Escapements!BC7)/RunSize_by_Stock!BC6,"")</f>
        <v>0.46001974333662388</v>
      </c>
      <c r="BD54">
        <f>IF(RunSize_by_Stock!BD6&gt;0,(RunSize_by_Stock!BD6-Escapements!BD7)/RunSize_by_Stock!BD6,"")</f>
        <v>0.46031746031746029</v>
      </c>
      <c r="BE54">
        <f>IF(RunSize_by_Stock!BE6&gt;0,(RunSize_by_Stock!BE6-Escapements!BE7)/RunSize_by_Stock!BE6,"")</f>
        <v>0.3087306145893165</v>
      </c>
      <c r="BF54">
        <f>IF(RunSize_by_Stock!BF6&gt;0,(RunSize_by_Stock!BF6-Escapements!BF7)/RunSize_by_Stock!BF6,"")</f>
        <v>0.16666666666666666</v>
      </c>
      <c r="BG54">
        <f>IF(RunSize_by_Stock!BG6&gt;0,(RunSize_by_Stock!BG6-Escapements!BG7)/RunSize_by_Stock!BG6,"")</f>
        <v>0.30555555555555558</v>
      </c>
      <c r="BH54">
        <f>IF(RunSize_by_Stock!BH6&gt;0,(RunSize_by_Stock!BH6-Escapements!BH7)/RunSize_by_Stock!BH6,"")</f>
        <v>0.26352128883774456</v>
      </c>
      <c r="BI54">
        <f>IF(RunSize_by_Stock!BI6&gt;0,(RunSize_by_Stock!BI6-Escapements!BI7)/RunSize_by_Stock!BI6,"")</f>
        <v>0.31060388448195858</v>
      </c>
      <c r="BJ54">
        <f>IF(RunSize_by_Stock!BJ6&gt;0,(RunSize_by_Stock!BJ6-Escapements!BJ7)/RunSize_by_Stock!BJ6,"")</f>
        <v>0.48979591836734693</v>
      </c>
      <c r="BK54">
        <f>IF(RunSize_by_Stock!BK6&gt;0,(RunSize_by_Stock!BK6-Escapements!BK7)/RunSize_by_Stock!BK6,"")</f>
        <v>4.1533546325878593E-2</v>
      </c>
      <c r="BL54">
        <f>IF(RunSize_by_Stock!BL6&gt;0,(RunSize_by_Stock!BL6-Escapements!BL7)/RunSize_by_Stock!BL6,"")</f>
        <v>0.20666317738978857</v>
      </c>
      <c r="BM54">
        <f>IF(RunSize_by_Stock!BM6&gt;0,(RunSize_by_Stock!BM6-Escapements!BM7)/RunSize_by_Stock!BM6,"")</f>
        <v>0.16666666666666666</v>
      </c>
      <c r="BN54">
        <f>IF(RunSize_by_Stock!BN6&gt;0,(RunSize_by_Stock!BN6-Escapements!BN7)/RunSize_by_Stock!BN6,"")</f>
        <v>0.27391132929916839</v>
      </c>
      <c r="BO54" t="str">
        <f>IF(RunSize_by_Stock!BO6&gt;0,(RunSize_by_Stock!BO6-Escapements!BO7)/RunSize_by_Stock!BO6,"")</f>
        <v/>
      </c>
      <c r="BP54" t="str">
        <f>IF(RunSize_by_Stock!BP6&gt;0,(RunSize_by_Stock!BP6-Escapements!BP7)/RunSize_by_Stock!BP6,"")</f>
        <v/>
      </c>
      <c r="BQ54">
        <f>IF(RunSize_by_Stock!BQ6&gt;0,(RunSize_by_Stock!BQ6-Escapements!BQ7)/RunSize_by_Stock!BQ6,"")</f>
        <v>0.23415114194340358</v>
      </c>
      <c r="BR54">
        <f>IF(RunSize_by_Stock!BR6&gt;0,(RunSize_by_Stock!BR6-Escapements!BR7)/RunSize_by_Stock!BR6,"")</f>
        <v>0.24606104057711531</v>
      </c>
      <c r="BS54">
        <f>IF(RunSize_by_Stock!BS6&gt;0,(RunSize_by_Stock!BS6-Escapements!BS7)/RunSize_by_Stock!BS6,"")</f>
        <v>0.15730337078651685</v>
      </c>
      <c r="BT54">
        <f>IF(RunSize_by_Stock!BT6&gt;0,(RunSize_by_Stock!BT6-Escapements!BT7)/RunSize_by_Stock!BT6,"")</f>
        <v>0.15916334397434728</v>
      </c>
      <c r="BU54">
        <f>IF(RunSize_by_Stock!BU6&gt;0,(RunSize_by_Stock!BU6-Escapements!BU7)/RunSize_by_Stock!BU6,"")</f>
        <v>0.16666666666666666</v>
      </c>
      <c r="BV54">
        <f>IF(RunSize_by_Stock!BV6&gt;0,(RunSize_by_Stock!BV6-Escapements!BV7)/RunSize_by_Stock!BV6,"")</f>
        <v>0.22094878800672069</v>
      </c>
      <c r="BW54" t="str">
        <f>IF(RunSize_by_Stock!BW6&gt;0,(RunSize_by_Stock!BW6-Escapements!BW7)/RunSize_by_Stock!BW6,"")</f>
        <v/>
      </c>
      <c r="BX54">
        <f>IF(RunSize_by_Stock!BX6&gt;0,(RunSize_by_Stock!BX6-Escapements!BX7)/RunSize_by_Stock!BX6,"")</f>
        <v>0.41176470588235292</v>
      </c>
      <c r="BY54">
        <f>IF(RunSize_by_Stock!BY6&gt;0,(RunSize_by_Stock!BY6-Escapements!BY7)/RunSize_by_Stock!BY6,"")</f>
        <v>0.24500836386158925</v>
      </c>
      <c r="BZ54">
        <f>IF(RunSize_by_Stock!BZ6&gt;0,(RunSize_by_Stock!BZ6-Escapements!BZ7)/RunSize_by_Stock!BZ6,"")</f>
        <v>0.24613209072535835</v>
      </c>
      <c r="CA54" t="str">
        <f>IF(RunSize_by_Stock!CA6&gt;0,(RunSize_by_Stock!CA6-Escapements!CA7)/RunSize_by_Stock!CA6,"")</f>
        <v/>
      </c>
      <c r="CB54">
        <f>IF(RunSize_by_Stock!CB6&gt;0,(RunSize_by_Stock!CB6-Escapements!CB7)/RunSize_by_Stock!CB6,"")</f>
        <v>0.16666666666666666</v>
      </c>
      <c r="CC54">
        <f>IF(RunSize_by_Stock!CC6&gt;0,(RunSize_by_Stock!CC6-Escapements!CC7)/RunSize_by_Stock!CC6,"")</f>
        <v>0.70190030009647508</v>
      </c>
      <c r="CD54" t="str">
        <f>IF(RunSize_by_Stock!CD6&gt;0,(RunSize_by_Stock!CD6-Escapements!CD7)/RunSize_by_Stock!CD6,"")</f>
        <v/>
      </c>
      <c r="CE54">
        <f>IF(RunSize_by_Stock!CE6&gt;0,(RunSize_by_Stock!CE6-Escapements!CE7)/RunSize_by_Stock!CE6,"")</f>
        <v>8.533717835694006E-2</v>
      </c>
      <c r="CF54">
        <f>IF(RunSize_by_Stock!CF6&gt;0,(RunSize_by_Stock!CF6-Escapements!CF7)/RunSize_by_Stock!CF6,"")</f>
        <v>0.24568366740337974</v>
      </c>
      <c r="CG54">
        <f>IF(RunSize_by_Stock!CG6&gt;0,(RunSize_by_Stock!CG6-Escapements!CG7)/RunSize_by_Stock!CG6,"")</f>
        <v>0.15893419443937737</v>
      </c>
      <c r="CH54">
        <f t="shared" si="3"/>
        <v>0.28945686469767107</v>
      </c>
    </row>
    <row r="55" spans="1:86" x14ac:dyDescent="0.55000000000000004">
      <c r="A55">
        <f t="shared" si="2"/>
        <v>1984</v>
      </c>
      <c r="B55">
        <f>IF(RunSize_by_Stock!B7&gt;0,(RunSize_by_Stock!B7-Escapements!B8)/RunSize_by_Stock!B7,"")</f>
        <v>9.6385542168674704E-2</v>
      </c>
      <c r="C55">
        <f>IF(RunSize_by_Stock!C7&gt;0,(RunSize_by_Stock!C7-Escapements!C8)/RunSize_by_Stock!C7,"")</f>
        <v>0.18181818181818182</v>
      </c>
      <c r="D55">
        <f>IF(RunSize_by_Stock!D7&gt;0,(RunSize_by_Stock!D7-Escapements!D8)/RunSize_by_Stock!D7,"")</f>
        <v>9.7472924187725629E-2</v>
      </c>
      <c r="E55">
        <f>IF(RunSize_by_Stock!E7&gt;0,(RunSize_by_Stock!E7-Escapements!E8)/RunSize_by_Stock!E7,"")</f>
        <v>0.1044776119402985</v>
      </c>
      <c r="F55">
        <f>IF(RunSize_by_Stock!F7&gt;0,(RunSize_by_Stock!F7-Escapements!F8)/RunSize_by_Stock!F7,"")</f>
        <v>0.10348360655737705</v>
      </c>
      <c r="G55">
        <f>IF(RunSize_by_Stock!G7&gt;0,(RunSize_by_Stock!G7-Escapements!G8)/RunSize_by_Stock!G7,"")</f>
        <v>7.6923076923076927E-2</v>
      </c>
      <c r="H55">
        <f>IF(RunSize_by_Stock!H7&gt;0,(RunSize_by_Stock!H7-Escapements!H8)/RunSize_by_Stock!H7,"")</f>
        <v>0.1</v>
      </c>
      <c r="I55">
        <f>IF(RunSize_by_Stock!I7&gt;0,(RunSize_by_Stock!I7-Escapements!I8)/RunSize_by_Stock!I7,"")</f>
        <v>0.10344827586206896</v>
      </c>
      <c r="J55">
        <f>IF(RunSize_by_Stock!J7&gt;0,(RunSize_by_Stock!J7-Escapements!J8)/RunSize_by_Stock!J7,"")</f>
        <v>0.10179640718562874</v>
      </c>
      <c r="K55">
        <f>IF(RunSize_by_Stock!K7&gt;0,(RunSize_by_Stock!K7-Escapements!K8)/RunSize_by_Stock!K7,"")</f>
        <v>0.10514541387024609</v>
      </c>
      <c r="L55">
        <f>IF(RunSize_by_Stock!L7&gt;0,(RunSize_by_Stock!L7-Escapements!L8)/RunSize_by_Stock!L7,"")</f>
        <v>0.1012582384661474</v>
      </c>
      <c r="M55">
        <f>IF(RunSize_by_Stock!M7&gt;0,(RunSize_by_Stock!M7-Escapements!M8)/RunSize_by_Stock!M7,"")</f>
        <v>0.11504424778761062</v>
      </c>
      <c r="N55">
        <f>IF(RunSize_by_Stock!N7&gt;0,(RunSize_by_Stock!N7-Escapements!N8)/RunSize_by_Stock!N7,"")</f>
        <v>0.16395726892707849</v>
      </c>
      <c r="O55">
        <f>IF(RunSize_by_Stock!O7&gt;0,(RunSize_by_Stock!O7-Escapements!O8)/RunSize_by_Stock!O7,"")</f>
        <v>0.17244801076925673</v>
      </c>
      <c r="P55">
        <f>IF(RunSize_by_Stock!P7&gt;0,(RunSize_by_Stock!P7-Escapements!P8)/RunSize_by_Stock!P7,"")</f>
        <v>0.1122007147988871</v>
      </c>
      <c r="Q55">
        <f>IF(RunSize_by_Stock!Q7&gt;0,(RunSize_by_Stock!Q7-Escapements!Q8)/RunSize_by_Stock!Q7,"")</f>
        <v>0.18188772059185471</v>
      </c>
      <c r="R55">
        <f>IF(RunSize_by_Stock!R7&gt;0,(RunSize_by_Stock!R7-Escapements!R8)/RunSize_by_Stock!R7,"")</f>
        <v>0.23037142652846576</v>
      </c>
      <c r="S55">
        <f>IF(RunSize_by_Stock!S7&gt;0,(RunSize_by_Stock!S7-Escapements!S8)/RunSize_by_Stock!S7,"")</f>
        <v>0.40828402366863903</v>
      </c>
      <c r="T55">
        <f>IF(RunSize_by_Stock!T7&gt;0,(RunSize_by_Stock!T7-Escapements!T8)/RunSize_by_Stock!T7,"")</f>
        <v>0.38337250293772035</v>
      </c>
      <c r="U55" t="str">
        <f>IF(RunSize_by_Stock!U7&gt;0,(RunSize_by_Stock!U7-Escapements!U8)/RunSize_by_Stock!U7,"")</f>
        <v/>
      </c>
      <c r="V55">
        <f>IF(RunSize_by_Stock!V7&gt;0,(RunSize_by_Stock!V7-Escapements!V8)/RunSize_by_Stock!V7,"")</f>
        <v>0.33035714285714285</v>
      </c>
      <c r="W55">
        <f>IF(RunSize_by_Stock!W7&gt;0,(RunSize_by_Stock!W7-Escapements!W8)/RunSize_by_Stock!W7,"")</f>
        <v>0.15730337078651685</v>
      </c>
      <c r="X55">
        <f>IF(RunSize_by_Stock!X7&gt;0,(RunSize_by_Stock!X7-Escapements!X8)/RunSize_by_Stock!X7,"")</f>
        <v>0.13655918875225517</v>
      </c>
      <c r="Y55">
        <f>IF(RunSize_by_Stock!Y7&gt;0,(RunSize_by_Stock!Y7-Escapements!Y8)/RunSize_by_Stock!Y7,"")</f>
        <v>0.11678115799803729</v>
      </c>
      <c r="Z55">
        <f>IF(RunSize_by_Stock!Z7&gt;0,(RunSize_by_Stock!Z7-Escapements!Z8)/RunSize_by_Stock!Z7,"")</f>
        <v>0.52025586353944564</v>
      </c>
      <c r="AA55">
        <f>IF(RunSize_by_Stock!AA7&gt;0,(RunSize_by_Stock!AA7-Escapements!AA8)/RunSize_by_Stock!AA7,"")</f>
        <v>0.41348973607038125</v>
      </c>
      <c r="AB55">
        <f>IF(RunSize_by_Stock!AB7&gt;0,(RunSize_by_Stock!AB7-Escapements!AB8)/RunSize_by_Stock!AB7,"")</f>
        <v>0.29971988795518206</v>
      </c>
      <c r="AC55">
        <f>IF(RunSize_by_Stock!AC7&gt;0,(RunSize_by_Stock!AC7-Escapements!AC8)/RunSize_by_Stock!AC7,"")</f>
        <v>0.27878098043670624</v>
      </c>
      <c r="AD55">
        <f>IF(RunSize_by_Stock!AD7&gt;0,(RunSize_by_Stock!AD7-Escapements!AD8)/RunSize_by_Stock!AD7,"")</f>
        <v>0.15753627025024</v>
      </c>
      <c r="AE55">
        <f>IF(RunSize_by_Stock!AE7&gt;0,(RunSize_by_Stock!AE7-Escapements!AE8)/RunSize_by_Stock!AE7,"")</f>
        <v>0.26224936115839426</v>
      </c>
      <c r="AF55">
        <f>IF(RunSize_by_Stock!AF7&gt;0,(RunSize_by_Stock!AF7-Escapements!AF8)/RunSize_by_Stock!AF7,"")</f>
        <v>0.3273542600896861</v>
      </c>
      <c r="AG55" t="str">
        <f>IF(RunSize_by_Stock!AG7&gt;0,(RunSize_by_Stock!AG7-Escapements!AG8)/RunSize_by_Stock!AG7,"")</f>
        <v/>
      </c>
      <c r="AH55">
        <f>IF(RunSize_by_Stock!AH7&gt;0,(RunSize_by_Stock!AH7-Escapements!AH8)/RunSize_by_Stock!AH7,"")</f>
        <v>0.21774193548387097</v>
      </c>
      <c r="AI55">
        <f>IF(RunSize_by_Stock!AI7&gt;0,(RunSize_by_Stock!AI7-Escapements!AI8)/RunSize_by_Stock!AI7,"")</f>
        <v>0.75916230366492143</v>
      </c>
      <c r="AJ55">
        <f>IF(RunSize_by_Stock!AJ7&gt;0,(RunSize_by_Stock!AJ7-Escapements!AJ8)/RunSize_by_Stock!AJ7,"")</f>
        <v>0.67223382045929014</v>
      </c>
      <c r="AK55">
        <f>IF(RunSize_by_Stock!AK7&gt;0,(RunSize_by_Stock!AK7-Escapements!AK8)/RunSize_by_Stock!AK7,"")</f>
        <v>0.40476190476190477</v>
      </c>
      <c r="AL55">
        <f>IF(RunSize_by_Stock!AL7&gt;0,(RunSize_by_Stock!AL7-Escapements!AL8)/RunSize_by_Stock!AL7,"")</f>
        <v>0.401964972234088</v>
      </c>
      <c r="AM55">
        <f>IF(RunSize_by_Stock!AM7&gt;0,(RunSize_by_Stock!AM7-Escapements!AM8)/RunSize_by_Stock!AM7,"")</f>
        <v>0.35511607910576098</v>
      </c>
      <c r="AN55">
        <f>IF(RunSize_by_Stock!AN7&gt;0,(RunSize_by_Stock!AN7-Escapements!AN8)/RunSize_by_Stock!AN7,"")</f>
        <v>0.34210526315789475</v>
      </c>
      <c r="AO55">
        <f>IF(RunSize_by_Stock!AO7&gt;0,(RunSize_by_Stock!AO7-Escapements!AO8)/RunSize_by_Stock!AO7,"")</f>
        <v>0.34210526315789475</v>
      </c>
      <c r="AP55">
        <f>IF(RunSize_by_Stock!AP7&gt;0,(RunSize_by_Stock!AP7-Escapements!AP8)/RunSize_by_Stock!AP7,"")</f>
        <v>0.13793103448275862</v>
      </c>
      <c r="AQ55">
        <f>IF(RunSize_by_Stock!AQ7&gt;0,(RunSize_by_Stock!AQ7-Escapements!AQ8)/RunSize_by_Stock!AQ7,"")</f>
        <v>0.37532535137948986</v>
      </c>
      <c r="AR55">
        <f>IF(RunSize_by_Stock!AR7&gt;0,(RunSize_by_Stock!AR7-Escapements!AR8)/RunSize_by_Stock!AR7,"")</f>
        <v>0.25534084127229723</v>
      </c>
      <c r="AS55">
        <f>IF(RunSize_by_Stock!AS7&gt;0,(RunSize_by_Stock!AS7-Escapements!AS8)/RunSize_by_Stock!AS7,"")</f>
        <v>0.28875546840395649</v>
      </c>
      <c r="AT55">
        <f>IF(RunSize_by_Stock!AT7&gt;0,(RunSize_by_Stock!AT7-Escapements!AT8)/RunSize_by_Stock!AT7,"")</f>
        <v>0.42285148816320317</v>
      </c>
      <c r="AU55">
        <f>IF(RunSize_by_Stock!AU7&gt;0,(RunSize_by_Stock!AU7-Escapements!AU8)/RunSize_by_Stock!AU7,"")</f>
        <v>0.31537102473498235</v>
      </c>
      <c r="AV55">
        <f>IF(RunSize_by_Stock!AV7&gt;0,(RunSize_by_Stock!AV7-Escapements!AV8)/RunSize_by_Stock!AV7,"")</f>
        <v>0.13705583756345177</v>
      </c>
      <c r="AW55">
        <f>IF(RunSize_by_Stock!AW7&gt;0,(RunSize_by_Stock!AW7-Escapements!AW8)/RunSize_by_Stock!AW7,"")</f>
        <v>0.4921875</v>
      </c>
      <c r="AX55">
        <f>IF(RunSize_by_Stock!AX7&gt;0,(RunSize_by_Stock!AX7-Escapements!AX8)/RunSize_by_Stock!AX7,"")</f>
        <v>0.57191780821917804</v>
      </c>
      <c r="AY55">
        <f>IF(RunSize_by_Stock!AY7&gt;0,(RunSize_by_Stock!AY7-Escapements!AY8)/RunSize_by_Stock!AY7,"")</f>
        <v>0.57200941579285258</v>
      </c>
      <c r="AZ55">
        <f>IF(RunSize_by_Stock!AZ7&gt;0,(RunSize_by_Stock!AZ7-Escapements!AZ8)/RunSize_by_Stock!AZ7,"")</f>
        <v>0.70319741787260792</v>
      </c>
      <c r="BA55">
        <f>IF(RunSize_by_Stock!BA7&gt;0,(RunSize_by_Stock!BA7-Escapements!BA8)/RunSize_by_Stock!BA7,"")</f>
        <v>0.16228748068006182</v>
      </c>
      <c r="BB55">
        <f>IF(RunSize_by_Stock!BB7&gt;0,(RunSize_by_Stock!BB7-Escapements!BB8)/RunSize_by_Stock!BB7,"")</f>
        <v>0.16188524590163936</v>
      </c>
      <c r="BC55">
        <f>IF(RunSize_by_Stock!BC7&gt;0,(RunSize_by_Stock!BC7-Escapements!BC8)/RunSize_by_Stock!BC7,"")</f>
        <v>0.23529411764705882</v>
      </c>
      <c r="BD55">
        <f>IF(RunSize_by_Stock!BD7&gt;0,(RunSize_by_Stock!BD7-Escapements!BD8)/RunSize_by_Stock!BD7,"")</f>
        <v>0.23582089552238805</v>
      </c>
      <c r="BE55">
        <f>IF(RunSize_by_Stock!BE7&gt;0,(RunSize_by_Stock!BE7-Escapements!BE8)/RunSize_by_Stock!BE7,"")</f>
        <v>0.14865356622998543</v>
      </c>
      <c r="BF55">
        <f>IF(RunSize_by_Stock!BF7&gt;0,(RunSize_by_Stock!BF7-Escapements!BF8)/RunSize_by_Stock!BF7,"")</f>
        <v>0.21875</v>
      </c>
      <c r="BG55">
        <f>IF(RunSize_by_Stock!BG7&gt;0,(RunSize_by_Stock!BG7-Escapements!BG8)/RunSize_by_Stock!BG7,"")</f>
        <v>0.4</v>
      </c>
      <c r="BH55">
        <f>IF(RunSize_by_Stock!BH7&gt;0,(RunSize_by_Stock!BH7-Escapements!BH8)/RunSize_by_Stock!BH7,"")</f>
        <v>0.47683109118086697</v>
      </c>
      <c r="BI55">
        <f>IF(RunSize_by_Stock!BI7&gt;0,(RunSize_by_Stock!BI7-Escapements!BI8)/RunSize_by_Stock!BI7,"")</f>
        <v>7.9449479186252017E-2</v>
      </c>
      <c r="BJ55">
        <f>IF(RunSize_by_Stock!BJ7&gt;0,(RunSize_by_Stock!BJ7-Escapements!BJ8)/RunSize_by_Stock!BJ7,"")</f>
        <v>0.26807563959955505</v>
      </c>
      <c r="BK55" t="str">
        <f>IF(RunSize_by_Stock!BK7&gt;0,(RunSize_by_Stock!BK7-Escapements!BK8)/RunSize_by_Stock!BK7,"")</f>
        <v/>
      </c>
      <c r="BL55">
        <f>IF(RunSize_by_Stock!BL7&gt;0,(RunSize_by_Stock!BL7-Escapements!BL8)/RunSize_by_Stock!BL7,"")</f>
        <v>0.34782608695652173</v>
      </c>
      <c r="BM55">
        <f>IF(RunSize_by_Stock!BM7&gt;0,(RunSize_by_Stock!BM7-Escapements!BM8)/RunSize_by_Stock!BM7,"")</f>
        <v>0.26666666666666666</v>
      </c>
      <c r="BN55">
        <f>IF(RunSize_by_Stock!BN7&gt;0,(RunSize_by_Stock!BN7-Escapements!BN8)/RunSize_by_Stock!BN7,"")</f>
        <v>0.41238340650286986</v>
      </c>
      <c r="BO55">
        <f>IF(RunSize_by_Stock!BO7&gt;0,(RunSize_by_Stock!BO7-Escapements!BO8)/RunSize_by_Stock!BO7,"")</f>
        <v>0.18450635367701163</v>
      </c>
      <c r="BP55">
        <f>IF(RunSize_by_Stock!BP7&gt;0,(RunSize_by_Stock!BP7-Escapements!BP8)/RunSize_by_Stock!BP7,"")</f>
        <v>0.16666666666666666</v>
      </c>
      <c r="BQ55">
        <f>IF(RunSize_by_Stock!BQ7&gt;0,(RunSize_by_Stock!BQ7-Escapements!BQ8)/RunSize_by_Stock!BQ7,"")</f>
        <v>3.7786122401219362E-2</v>
      </c>
      <c r="BR55">
        <f>IF(RunSize_by_Stock!BR7&gt;0,(RunSize_by_Stock!BR7-Escapements!BR8)/RunSize_by_Stock!BR7,"")</f>
        <v>0.11702295914640097</v>
      </c>
      <c r="BS55">
        <f>IF(RunSize_by_Stock!BS7&gt;0,(RunSize_by_Stock!BS7-Escapements!BS8)/RunSize_by_Stock!BS7,"")</f>
        <v>0.39759036144578314</v>
      </c>
      <c r="BT55">
        <f>IF(RunSize_by_Stock!BT7&gt;0,(RunSize_by_Stock!BT7-Escapements!BT8)/RunSize_by_Stock!BT7,"")</f>
        <v>0.39421414335686655</v>
      </c>
      <c r="BU55">
        <f>IF(RunSize_by_Stock!BU7&gt;0,(RunSize_by_Stock!BU7-Escapements!BU8)/RunSize_by_Stock!BU7,"")</f>
        <v>0.38913998980836667</v>
      </c>
      <c r="BV55">
        <f>IF(RunSize_by_Stock!BV7&gt;0,(RunSize_by_Stock!BV7-Escapements!BV8)/RunSize_by_Stock!BV7,"")</f>
        <v>0.10633706326073915</v>
      </c>
      <c r="BW55" t="str">
        <f>IF(RunSize_by_Stock!BW7&gt;0,(RunSize_by_Stock!BW7-Escapements!BW8)/RunSize_by_Stock!BW7,"")</f>
        <v/>
      </c>
      <c r="BX55" t="str">
        <f>IF(RunSize_by_Stock!BX7&gt;0,(RunSize_by_Stock!BX7-Escapements!BX8)/RunSize_by_Stock!BX7,"")</f>
        <v/>
      </c>
      <c r="BY55">
        <f>IF(RunSize_by_Stock!BY7&gt;0,(RunSize_by_Stock!BY7-Escapements!BY8)/RunSize_by_Stock!BY7,"")</f>
        <v>0.11620075613780302</v>
      </c>
      <c r="BZ55">
        <f>IF(RunSize_by_Stock!BZ7&gt;0,(RunSize_by_Stock!BZ7-Escapements!BZ8)/RunSize_by_Stock!BZ7,"")</f>
        <v>0.11576359700559791</v>
      </c>
      <c r="CA55" t="str">
        <f>IF(RunSize_by_Stock!CA7&gt;0,(RunSize_by_Stock!CA7-Escapements!CA8)/RunSize_by_Stock!CA7,"")</f>
        <v/>
      </c>
      <c r="CB55">
        <f>IF(RunSize_by_Stock!CB7&gt;0,(RunSize_by_Stock!CB7-Escapements!CB8)/RunSize_by_Stock!CB7,"")</f>
        <v>0.39810439247365259</v>
      </c>
      <c r="CC55">
        <f>IF(RunSize_by_Stock!CC7&gt;0,(RunSize_by_Stock!CC7-Escapements!CC8)/RunSize_by_Stock!CC7,"")</f>
        <v>0.85149371927703055</v>
      </c>
      <c r="CD55" t="str">
        <f>IF(RunSize_by_Stock!CD7&gt;0,(RunSize_by_Stock!CD7-Escapements!CD8)/RunSize_by_Stock!CD7,"")</f>
        <v/>
      </c>
      <c r="CE55">
        <f>IF(RunSize_by_Stock!CE7&gt;0,(RunSize_by_Stock!CE7-Escapements!CE8)/RunSize_by_Stock!CE7,"")</f>
        <v>0.30303222456313555</v>
      </c>
      <c r="CF55">
        <f>IF(RunSize_by_Stock!CF7&gt;0,(RunSize_by_Stock!CF7-Escapements!CF8)/RunSize_by_Stock!CF7,"")</f>
        <v>0.30062662328917111</v>
      </c>
      <c r="CG55">
        <f>IF(RunSize_by_Stock!CG7&gt;0,(RunSize_by_Stock!CG7-Escapements!CG8)/RunSize_by_Stock!CG7,"")</f>
        <v>0.39429696746741977</v>
      </c>
      <c r="CH55">
        <f t="shared" si="3"/>
        <v>0.27784419169927344</v>
      </c>
    </row>
    <row r="56" spans="1:86" x14ac:dyDescent="0.55000000000000004">
      <c r="A56">
        <f t="shared" si="2"/>
        <v>1985</v>
      </c>
      <c r="B56">
        <f>IF(RunSize_by_Stock!B8&gt;0,(RunSize_by_Stock!B8-Escapements!B9)/RunSize_by_Stock!B8,"")</f>
        <v>9.4339622641509441E-2</v>
      </c>
      <c r="C56">
        <f>IF(RunSize_by_Stock!C8&gt;0,(RunSize_by_Stock!C8-Escapements!C9)/RunSize_by_Stock!C8,"")</f>
        <v>0.12673210161662818</v>
      </c>
      <c r="D56">
        <f>IF(RunSize_by_Stock!D8&gt;0,(RunSize_by_Stock!D8-Escapements!D9)/RunSize_by_Stock!D8,"")</f>
        <v>9.4707520891364902E-2</v>
      </c>
      <c r="E56">
        <f>IF(RunSize_by_Stock!E8&gt;0,(RunSize_by_Stock!E8-Escapements!E9)/RunSize_by_Stock!E8,"")</f>
        <v>9.90990990990991E-2</v>
      </c>
      <c r="F56">
        <f>IF(RunSize_by_Stock!F8&gt;0,(RunSize_by_Stock!F8-Escapements!F9)/RunSize_by_Stock!F8,"")</f>
        <v>9.9437148217636023E-2</v>
      </c>
      <c r="G56">
        <f>IF(RunSize_by_Stock!G8&gt;0,(RunSize_by_Stock!G8-Escapements!G9)/RunSize_by_Stock!G8,"")</f>
        <v>0.16666666666666666</v>
      </c>
      <c r="H56">
        <f>IF(RunSize_by_Stock!H8&gt;0,(RunSize_by_Stock!H8-Escapements!H9)/RunSize_by_Stock!H8,"")</f>
        <v>9.0909090909090912E-2</v>
      </c>
      <c r="I56">
        <f>IF(RunSize_by_Stock!I8&gt;0,(RunSize_by_Stock!I8-Escapements!I9)/RunSize_by_Stock!I8,"")</f>
        <v>9.5744680851063829E-2</v>
      </c>
      <c r="J56">
        <f>IF(RunSize_by_Stock!J8&gt;0,(RunSize_by_Stock!J8-Escapements!J9)/RunSize_by_Stock!J8,"")</f>
        <v>9.7065462753950338E-2</v>
      </c>
      <c r="K56">
        <f>IF(RunSize_by_Stock!K8&gt;0,(RunSize_by_Stock!K8-Escapements!K9)/RunSize_by_Stock!K8,"")</f>
        <v>0.10071942446043165</v>
      </c>
      <c r="L56">
        <f>IF(RunSize_by_Stock!L8&gt;0,(RunSize_by_Stock!L8-Escapements!L9)/RunSize_by_Stock!L8,"")</f>
        <v>9.8557692307692304E-2</v>
      </c>
      <c r="M56">
        <f>IF(RunSize_by_Stock!M8&gt;0,(RunSize_by_Stock!M8-Escapements!M9)/RunSize_by_Stock!M8,"")</f>
        <v>0.10179640718562874</v>
      </c>
      <c r="N56">
        <f>IF(RunSize_by_Stock!N8&gt;0,(RunSize_by_Stock!N8-Escapements!N9)/RunSize_by_Stock!N8,"")</f>
        <v>0.1183212837242109</v>
      </c>
      <c r="O56">
        <f>IF(RunSize_by_Stock!O8&gt;0,(RunSize_by_Stock!O8-Escapements!O9)/RunSize_by_Stock!O8,"")</f>
        <v>0.12229726688009081</v>
      </c>
      <c r="P56">
        <f>IF(RunSize_by_Stock!P8&gt;0,(RunSize_by_Stock!P8-Escapements!P9)/RunSize_by_Stock!P8,"")</f>
        <v>0.10111407694218844</v>
      </c>
      <c r="Q56">
        <f>IF(RunSize_by_Stock!Q8&gt;0,(RunSize_by_Stock!Q8-Escapements!Q9)/RunSize_by_Stock!Q8,"")</f>
        <v>0.12673408377782244</v>
      </c>
      <c r="R56">
        <f>IF(RunSize_by_Stock!R8&gt;0,(RunSize_by_Stock!R8-Escapements!R9)/RunSize_by_Stock!R8,"")</f>
        <v>0.15662650602409639</v>
      </c>
      <c r="S56">
        <f>IF(RunSize_by_Stock!S8&gt;0,(RunSize_by_Stock!S8-Escapements!S9)/RunSize_by_Stock!S8,"")</f>
        <v>0.36695505380882043</v>
      </c>
      <c r="T56">
        <f>IF(RunSize_by_Stock!T8&gt;0,(RunSize_by_Stock!T8-Escapements!T9)/RunSize_by_Stock!T8,"")</f>
        <v>0.31145362742492694</v>
      </c>
      <c r="U56">
        <f>IF(RunSize_by_Stock!U8&gt;0,(RunSize_by_Stock!U8-Escapements!U9)/RunSize_by_Stock!U8,"")</f>
        <v>0.30232558139534882</v>
      </c>
      <c r="V56">
        <f>IF(RunSize_by_Stock!V8&gt;0,(RunSize_by_Stock!V8-Escapements!V9)/RunSize_by_Stock!V8,"")</f>
        <v>0.20424403183023873</v>
      </c>
      <c r="W56">
        <f>IF(RunSize_by_Stock!W8&gt;0,(RunSize_by_Stock!W8-Escapements!W9)/RunSize_by_Stock!W8,"")</f>
        <v>0.17061611374407584</v>
      </c>
      <c r="X56">
        <f>IF(RunSize_by_Stock!X8&gt;0,(RunSize_by_Stock!X8-Escapements!X9)/RunSize_by_Stock!X8,"")</f>
        <v>0.10936042638890087</v>
      </c>
      <c r="Y56">
        <f>IF(RunSize_by_Stock!Y8&gt;0,(RunSize_by_Stock!Y8-Escapements!Y9)/RunSize_by_Stock!Y8,"")</f>
        <v>9.3655589123867067E-2</v>
      </c>
      <c r="Z56">
        <f>IF(RunSize_by_Stock!Z8&gt;0,(RunSize_by_Stock!Z8-Escapements!Z9)/RunSize_by_Stock!Z8,"")</f>
        <v>0.45652173913043476</v>
      </c>
      <c r="AA56">
        <f>IF(RunSize_by_Stock!AA8&gt;0,(RunSize_by_Stock!AA8-Escapements!AA9)/RunSize_by_Stock!AA8,"")</f>
        <v>0.37124111536358667</v>
      </c>
      <c r="AB56">
        <f>IF(RunSize_by_Stock!AB8&gt;0,(RunSize_by_Stock!AB8-Escapements!AB9)/RunSize_by_Stock!AB8,"")</f>
        <v>0.22118380062305296</v>
      </c>
      <c r="AC56">
        <f>IF(RunSize_by_Stock!AC8&gt;0,(RunSize_by_Stock!AC8-Escapements!AC9)/RunSize_by_Stock!AC8,"")</f>
        <v>0.24322750156761136</v>
      </c>
      <c r="AD56">
        <f>IF(RunSize_by_Stock!AD8&gt;0,(RunSize_by_Stock!AD8-Escapements!AD9)/RunSize_by_Stock!AD8,"")</f>
        <v>0.16872161745405778</v>
      </c>
      <c r="AE56">
        <f>IF(RunSize_by_Stock!AE8&gt;0,(RunSize_by_Stock!AE8-Escapements!AE9)/RunSize_by_Stock!AE8,"")</f>
        <v>0.24219078803947805</v>
      </c>
      <c r="AF56">
        <f>IF(RunSize_by_Stock!AF8&gt;0,(RunSize_by_Stock!AF8-Escapements!AF9)/RunSize_by_Stock!AF8,"")</f>
        <v>0.28698752228163993</v>
      </c>
      <c r="AG56" t="str">
        <f>IF(RunSize_by_Stock!AG8&gt;0,(RunSize_by_Stock!AG8-Escapements!AG9)/RunSize_by_Stock!AG8,"")</f>
        <v/>
      </c>
      <c r="AH56">
        <f>IF(RunSize_by_Stock!AH8&gt;0,(RunSize_by_Stock!AH8-Escapements!AH9)/RunSize_by_Stock!AH8,"")</f>
        <v>0.13405797101449277</v>
      </c>
      <c r="AI56">
        <f>IF(RunSize_by_Stock!AI8&gt;0,(RunSize_by_Stock!AI8-Escapements!AI9)/RunSize_by_Stock!AI8,"")</f>
        <v>0.24496644295302014</v>
      </c>
      <c r="AJ56">
        <f>IF(RunSize_by_Stock!AJ8&gt;0,(RunSize_by_Stock!AJ8-Escapements!AJ9)/RunSize_by_Stock!AJ8,"")</f>
        <v>0.28301886792452829</v>
      </c>
      <c r="AK56">
        <f>IF(RunSize_by_Stock!AK8&gt;0,(RunSize_by_Stock!AK8-Escapements!AK9)/RunSize_by_Stock!AK8,"")</f>
        <v>0.37185929648241206</v>
      </c>
      <c r="AL56">
        <f>IF(RunSize_by_Stock!AL8&gt;0,(RunSize_by_Stock!AL8-Escapements!AL9)/RunSize_by_Stock!AL8,"")</f>
        <v>0.37684486716956378</v>
      </c>
      <c r="AM56">
        <f>IF(RunSize_by_Stock!AM8&gt;0,(RunSize_by_Stock!AM8-Escapements!AM9)/RunSize_by_Stock!AM8,"")</f>
        <v>0.25028835063437138</v>
      </c>
      <c r="AN56">
        <f>IF(RunSize_by_Stock!AN8&gt;0,(RunSize_by_Stock!AN8-Escapements!AN9)/RunSize_by_Stock!AN8,"")</f>
        <v>0.31282722513089006</v>
      </c>
      <c r="AO56">
        <f>IF(RunSize_by_Stock!AO8&gt;0,(RunSize_by_Stock!AO8-Escapements!AO9)/RunSize_by_Stock!AO8,"")</f>
        <v>0.31506849315068491</v>
      </c>
      <c r="AP56">
        <f>IF(RunSize_by_Stock!AP8&gt;0,(RunSize_by_Stock!AP8-Escapements!AP9)/RunSize_by_Stock!AP8,"")</f>
        <v>0.12587412587412589</v>
      </c>
      <c r="AQ56">
        <f>IF(RunSize_by_Stock!AQ8&gt;0,(RunSize_by_Stock!AQ8-Escapements!AQ9)/RunSize_by_Stock!AQ8,"")</f>
        <v>0.34469200524246396</v>
      </c>
      <c r="AR56">
        <f>IF(RunSize_by_Stock!AR8&gt;0,(RunSize_by_Stock!AR8-Escapements!AR9)/RunSize_by_Stock!AR8,"")</f>
        <v>0.24299842427681045</v>
      </c>
      <c r="AS56">
        <f>IF(RunSize_by_Stock!AS8&gt;0,(RunSize_by_Stock!AS8-Escapements!AS9)/RunSize_by_Stock!AS8,"")</f>
        <v>0.25395576760579758</v>
      </c>
      <c r="AT56">
        <f>IF(RunSize_by_Stock!AT8&gt;0,(RunSize_by_Stock!AT8-Escapements!AT9)/RunSize_by_Stock!AT8,"")</f>
        <v>0.39756487938721846</v>
      </c>
      <c r="AU56">
        <f>IF(RunSize_by_Stock!AU8&gt;0,(RunSize_by_Stock!AU8-Escapements!AU9)/RunSize_by_Stock!AU8,"")</f>
        <v>0.20785804816223066</v>
      </c>
      <c r="AV56">
        <f>IF(RunSize_by_Stock!AV8&gt;0,(RunSize_by_Stock!AV8-Escapements!AV9)/RunSize_by_Stock!AV8,"")</f>
        <v>9.5831077422847855E-2</v>
      </c>
      <c r="AW56">
        <f>IF(RunSize_by_Stock!AW8&gt;0,(RunSize_by_Stock!AW8-Escapements!AW9)/RunSize_by_Stock!AW8,"")</f>
        <v>0.43095599393019729</v>
      </c>
      <c r="AX56">
        <f>IF(RunSize_by_Stock!AX8&gt;0,(RunSize_by_Stock!AX8-Escapements!AX9)/RunSize_by_Stock!AX8,"")</f>
        <v>0.36350777934936351</v>
      </c>
      <c r="AY56">
        <f>IF(RunSize_by_Stock!AY8&gt;0,(RunSize_by_Stock!AY8-Escapements!AY9)/RunSize_by_Stock!AY8,"")</f>
        <v>0.36311527613501954</v>
      </c>
      <c r="AZ56">
        <f>IF(RunSize_by_Stock!AZ8&gt;0,(RunSize_by_Stock!AZ8-Escapements!AZ9)/RunSize_by_Stock!AZ8,"")</f>
        <v>0.22496745554836056</v>
      </c>
      <c r="BA56">
        <f>IF(RunSize_by_Stock!BA8&gt;0,(RunSize_by_Stock!BA8-Escapements!BA9)/RunSize_by_Stock!BA8,"")</f>
        <v>0.12985507246376812</v>
      </c>
      <c r="BB56">
        <f>IF(RunSize_by_Stock!BB8&gt;0,(RunSize_by_Stock!BB8-Escapements!BB9)/RunSize_by_Stock!BB8,"")</f>
        <v>0.12948857453754081</v>
      </c>
      <c r="BC56">
        <f>IF(RunSize_by_Stock!BC8&gt;0,(RunSize_by_Stock!BC8-Escapements!BC9)/RunSize_by_Stock!BC8,"")</f>
        <v>0.26181948424068768</v>
      </c>
      <c r="BD56">
        <f>IF(RunSize_by_Stock!BD8&gt;0,(RunSize_by_Stock!BD8-Escapements!BD9)/RunSize_by_Stock!BD8,"")</f>
        <v>0.25925925925925924</v>
      </c>
      <c r="BE56">
        <f>IF(RunSize_by_Stock!BE8&gt;0,(RunSize_by_Stock!BE8-Escapements!BE9)/RunSize_by_Stock!BE8,"")</f>
        <v>0.11554779136511105</v>
      </c>
      <c r="BF56">
        <f>IF(RunSize_by_Stock!BF8&gt;0,(RunSize_by_Stock!BF8-Escapements!BF9)/RunSize_by_Stock!BF8,"")</f>
        <v>0.16376306620209058</v>
      </c>
      <c r="BG56">
        <f>IF(RunSize_by_Stock!BG8&gt;0,(RunSize_by_Stock!BG8-Escapements!BG9)/RunSize_by_Stock!BG8,"")</f>
        <v>0.43342776203966005</v>
      </c>
      <c r="BH56">
        <f>IF(RunSize_by_Stock!BH8&gt;0,(RunSize_by_Stock!BH8-Escapements!BH9)/RunSize_by_Stock!BH8,"")</f>
        <v>0.62763157894736843</v>
      </c>
      <c r="BI56">
        <f>IF(RunSize_by_Stock!BI8&gt;0,(RunSize_by_Stock!BI8-Escapements!BI9)/RunSize_by_Stock!BI8,"")</f>
        <v>2.378527583462722E-2</v>
      </c>
      <c r="BJ56">
        <f>IF(RunSize_by_Stock!BJ8&gt;0,(RunSize_by_Stock!BJ8-Escapements!BJ9)/RunSize_by_Stock!BJ8,"")</f>
        <v>0.28952380952380952</v>
      </c>
      <c r="BK56" t="str">
        <f>IF(RunSize_by_Stock!BK8&gt;0,(RunSize_by_Stock!BK8-Escapements!BK9)/RunSize_by_Stock!BK8,"")</f>
        <v/>
      </c>
      <c r="BL56">
        <f>IF(RunSize_by_Stock!BL8&gt;0,(RunSize_by_Stock!BL8-Escapements!BL9)/RunSize_by_Stock!BL8,"")</f>
        <v>0.25</v>
      </c>
      <c r="BM56">
        <f>IF(RunSize_by_Stock!BM8&gt;0,(RunSize_by_Stock!BM8-Escapements!BM9)/RunSize_by_Stock!BM8,"")</f>
        <v>0.24242424242424243</v>
      </c>
      <c r="BN56">
        <f>IF(RunSize_by_Stock!BN8&gt;0,(RunSize_by_Stock!BN8-Escapements!BN9)/RunSize_by_Stock!BN8,"")</f>
        <v>0.39992576931351193</v>
      </c>
      <c r="BO56">
        <f>IF(RunSize_by_Stock!BO8&gt;0,(RunSize_by_Stock!BO8-Escapements!BO9)/RunSize_by_Stock!BO8,"")</f>
        <v>0.10544313596397438</v>
      </c>
      <c r="BP56">
        <f>IF(RunSize_by_Stock!BP8&gt;0,(RunSize_by_Stock!BP8-Escapements!BP9)/RunSize_by_Stock!BP8,"")</f>
        <v>0.10654716711603074</v>
      </c>
      <c r="BQ56">
        <f>IF(RunSize_by_Stock!BQ8&gt;0,(RunSize_by_Stock!BQ8-Escapements!BQ9)/RunSize_by_Stock!BQ8,"")</f>
        <v>1.8046351634897338E-2</v>
      </c>
      <c r="BR56">
        <f>IF(RunSize_by_Stock!BR8&gt;0,(RunSize_by_Stock!BR8-Escapements!BR9)/RunSize_by_Stock!BR8,"")</f>
        <v>9.4312125847367159E-2</v>
      </c>
      <c r="BS56">
        <f>IF(RunSize_by_Stock!BS8&gt;0,(RunSize_by_Stock!BS8-Escapements!BS9)/RunSize_by_Stock!BS8,"")</f>
        <v>0.44444444444444442</v>
      </c>
      <c r="BT56">
        <f>IF(RunSize_by_Stock!BT8&gt;0,(RunSize_by_Stock!BT8-Escapements!BT9)/RunSize_by_Stock!BT8,"")</f>
        <v>0.44013507787487444</v>
      </c>
      <c r="BU56">
        <f>IF(RunSize_by_Stock!BU8&gt;0,(RunSize_by_Stock!BU8-Escapements!BU9)/RunSize_by_Stock!BU8,"")</f>
        <v>0.45054220198482692</v>
      </c>
      <c r="BV56">
        <f>IF(RunSize_by_Stock!BV8&gt;0,(RunSize_by_Stock!BV8-Escapements!BV9)/RunSize_by_Stock!BV8,"")</f>
        <v>9.6931360231429328E-2</v>
      </c>
      <c r="BW56">
        <f>IF(RunSize_by_Stock!BW8&gt;0,(RunSize_by_Stock!BW8-Escapements!BW9)/RunSize_by_Stock!BW8,"")</f>
        <v>0.375</v>
      </c>
      <c r="BX56" t="str">
        <f>IF(RunSize_by_Stock!BX8&gt;0,(RunSize_by_Stock!BX8-Escapements!BX9)/RunSize_by_Stock!BX8,"")</f>
        <v/>
      </c>
      <c r="BY56">
        <f>IF(RunSize_by_Stock!BY8&gt;0,(RunSize_by_Stock!BY8-Escapements!BY9)/RunSize_by_Stock!BY8,"")</f>
        <v>9.2912621033599513E-2</v>
      </c>
      <c r="BZ56">
        <f>IF(RunSize_by_Stock!BZ8&gt;0,(RunSize_by_Stock!BZ8-Escapements!BZ9)/RunSize_by_Stock!BZ8,"")</f>
        <v>9.0909090909090912E-2</v>
      </c>
      <c r="CA56" t="str">
        <f>IF(RunSize_by_Stock!CA8&gt;0,(RunSize_by_Stock!CA8-Escapements!CA9)/RunSize_by_Stock!CA8,"")</f>
        <v/>
      </c>
      <c r="CB56">
        <f>IF(RunSize_by_Stock!CB8&gt;0,(RunSize_by_Stock!CB8-Escapements!CB9)/RunSize_by_Stock!CB8,"")</f>
        <v>0.43778265950551959</v>
      </c>
      <c r="CC56">
        <f>IF(RunSize_by_Stock!CC8&gt;0,(RunSize_by_Stock!CC8-Escapements!CC9)/RunSize_by_Stock!CC8,"")</f>
        <v>0.25360272785151067</v>
      </c>
      <c r="CD56" t="str">
        <f>IF(RunSize_by_Stock!CD8&gt;0,(RunSize_by_Stock!CD8-Escapements!CD9)/RunSize_by_Stock!CD8,"")</f>
        <v/>
      </c>
      <c r="CE56">
        <f>IF(RunSize_by_Stock!CE8&gt;0,(RunSize_by_Stock!CE8-Escapements!CE9)/RunSize_by_Stock!CE8,"")</f>
        <v>0.23161888274530007</v>
      </c>
      <c r="CF56">
        <f>IF(RunSize_by_Stock!CF8&gt;0,(RunSize_by_Stock!CF8-Escapements!CF9)/RunSize_by_Stock!CF8,"")</f>
        <v>0.220796681008987</v>
      </c>
      <c r="CG56">
        <f>IF(RunSize_by_Stock!CG8&gt;0,(RunSize_by_Stock!CG8-Escapements!CG9)/RunSize_by_Stock!CG8,"")</f>
        <v>0.44028013351256806</v>
      </c>
      <c r="CH56">
        <f t="shared" si="3"/>
        <v>0.22791849795361657</v>
      </c>
    </row>
    <row r="57" spans="1:86" x14ac:dyDescent="0.55000000000000004">
      <c r="A57">
        <f t="shared" si="2"/>
        <v>1986</v>
      </c>
      <c r="B57">
        <f>IF(RunSize_by_Stock!B9&gt;0,(RunSize_by_Stock!B9-Escapements!B10)/RunSize_by_Stock!B9,"")</f>
        <v>9.90990990990991E-2</v>
      </c>
      <c r="C57">
        <f>IF(RunSize_by_Stock!C9&gt;0,(RunSize_by_Stock!C9-Escapements!C10)/RunSize_by_Stock!C9,"")</f>
        <v>8.4249084249084255E-2</v>
      </c>
      <c r="D57">
        <f>IF(RunSize_by_Stock!D9&gt;0,(RunSize_by_Stock!D9-Escapements!D10)/RunSize_by_Stock!D9,"")</f>
        <v>9.7938144329896906E-2</v>
      </c>
      <c r="E57">
        <f>IF(RunSize_by_Stock!E9&gt;0,(RunSize_by_Stock!E9-Escapements!E10)/RunSize_by_Stock!E9,"")</f>
        <v>0.10071942446043165</v>
      </c>
      <c r="F57">
        <f>IF(RunSize_by_Stock!F9&gt;0,(RunSize_by_Stock!F9-Escapements!F10)/RunSize_by_Stock!F9,"")</f>
        <v>0.10152740341419586</v>
      </c>
      <c r="G57">
        <f>IF(RunSize_by_Stock!G9&gt;0,(RunSize_by_Stock!G9-Escapements!G10)/RunSize_by_Stock!G9,"")</f>
        <v>0.1111111111111111</v>
      </c>
      <c r="H57">
        <f>IF(RunSize_by_Stock!H9&gt;0,(RunSize_by_Stock!H9-Escapements!H10)/RunSize_by_Stock!H9,"")</f>
        <v>0.10714285714285714</v>
      </c>
      <c r="I57">
        <f>IF(RunSize_by_Stock!I9&gt;0,(RunSize_by_Stock!I9-Escapements!I10)/RunSize_by_Stock!I9,"")</f>
        <v>0.10179640718562874</v>
      </c>
      <c r="J57">
        <f>IF(RunSize_by_Stock!J9&gt;0,(RunSize_by_Stock!J9-Escapements!J10)/RunSize_by_Stock!J9,"")</f>
        <v>0.10152740341419586</v>
      </c>
      <c r="K57">
        <f>IF(RunSize_by_Stock!K9&gt;0,(RunSize_by_Stock!K9-Escapements!K10)/RunSize_by_Stock!K9,"")</f>
        <v>0.10071942446043165</v>
      </c>
      <c r="L57">
        <f>IF(RunSize_by_Stock!L9&gt;0,(RunSize_by_Stock!L9-Escapements!L10)/RunSize_by_Stock!L9,"")</f>
        <v>0.10152740341419586</v>
      </c>
      <c r="M57">
        <f>IF(RunSize_by_Stock!M9&gt;0,(RunSize_by_Stock!M9-Escapements!M10)/RunSize_by_Stock!M9,"")</f>
        <v>9.8196392785571143E-2</v>
      </c>
      <c r="N57">
        <f>IF(RunSize_by_Stock!N9&gt;0,(RunSize_by_Stock!N9-Escapements!N10)/RunSize_by_Stock!N9,"")</f>
        <v>8.5619285120532004E-2</v>
      </c>
      <c r="O57">
        <f>IF(RunSize_by_Stock!O9&gt;0,(RunSize_by_Stock!O9-Escapements!O10)/RunSize_by_Stock!O9,"")</f>
        <v>8.5662895093576566E-2</v>
      </c>
      <c r="P57">
        <f>IF(RunSize_by_Stock!P9&gt;0,(RunSize_by_Stock!P9-Escapements!P10)/RunSize_by_Stock!P9,"")</f>
        <v>9.8960555188382301E-2</v>
      </c>
      <c r="Q57">
        <f>IF(RunSize_by_Stock!Q9&gt;0,(RunSize_by_Stock!Q9-Escapements!Q10)/RunSize_by_Stock!Q9,"")</f>
        <v>8.4227478559466828E-2</v>
      </c>
      <c r="R57">
        <f>IF(RunSize_by_Stock!R9&gt;0,(RunSize_by_Stock!R9-Escapements!R10)/RunSize_by_Stock!R9,"")</f>
        <v>8.9068825910931168E-2</v>
      </c>
      <c r="S57">
        <f>IF(RunSize_by_Stock!S9&gt;0,(RunSize_by_Stock!S9-Escapements!S10)/RunSize_by_Stock!S9,"")</f>
        <v>0.22912474849094566</v>
      </c>
      <c r="T57">
        <f>IF(RunSize_by_Stock!T9&gt;0,(RunSize_by_Stock!T9-Escapements!T10)/RunSize_by_Stock!T9,"")</f>
        <v>0.17155199012650416</v>
      </c>
      <c r="U57">
        <f>IF(RunSize_by_Stock!U9&gt;0,(RunSize_by_Stock!U9-Escapements!U10)/RunSize_by_Stock!U9,"")</f>
        <v>0.15730337078651685</v>
      </c>
      <c r="V57">
        <f>IF(RunSize_by_Stock!V9&gt;0,(RunSize_by_Stock!V9-Escapements!V10)/RunSize_by_Stock!V9,"")</f>
        <v>9.6385542168674704E-2</v>
      </c>
      <c r="W57">
        <f>IF(RunSize_by_Stock!W9&gt;0,(RunSize_by_Stock!W9-Escapements!W10)/RunSize_by_Stock!W9,"")</f>
        <v>0.14772727272727273</v>
      </c>
      <c r="X57">
        <f>IF(RunSize_by_Stock!X9&gt;0,(RunSize_by_Stock!X9-Escapements!X10)/RunSize_by_Stock!X9,"")</f>
        <v>9.5724742457618014E-2</v>
      </c>
      <c r="Y57">
        <f>IF(RunSize_by_Stock!Y9&gt;0,(RunSize_by_Stock!Y9-Escapements!Y10)/RunSize_by_Stock!Y9,"")</f>
        <v>0.10292326431181487</v>
      </c>
      <c r="Z57">
        <f>IF(RunSize_by_Stock!Z9&gt;0,(RunSize_by_Stock!Z9-Escapements!Z10)/RunSize_by_Stock!Z9,"")</f>
        <v>0.30383663366336633</v>
      </c>
      <c r="AA57">
        <f>IF(RunSize_by_Stock!AA9&gt;0,(RunSize_by_Stock!AA9-Escapements!AA10)/RunSize_by_Stock!AA9,"")</f>
        <v>0.22005571030640669</v>
      </c>
      <c r="AB57">
        <f>IF(RunSize_by_Stock!AB9&gt;0,(RunSize_by_Stock!AB9-Escapements!AB10)/RunSize_by_Stock!AB9,"")</f>
        <v>0.1166077738515901</v>
      </c>
      <c r="AC57">
        <f>IF(RunSize_by_Stock!AC9&gt;0,(RunSize_by_Stock!AC9-Escapements!AC10)/RunSize_by_Stock!AC9,"")</f>
        <v>0.11595284705041899</v>
      </c>
      <c r="AD57">
        <f>IF(RunSize_by_Stock!AD9&gt;0,(RunSize_by_Stock!AD9-Escapements!AD10)/RunSize_by_Stock!AD9,"")</f>
        <v>0.14833688445912666</v>
      </c>
      <c r="AE57">
        <f>IF(RunSize_by_Stock!AE9&gt;0,(RunSize_by_Stock!AE9-Escapements!AE10)/RunSize_by_Stock!AE9,"")</f>
        <v>0.11376796390978929</v>
      </c>
      <c r="AF57">
        <f>IF(RunSize_by_Stock!AF9&gt;0,(RunSize_by_Stock!AF9-Escapements!AF10)/RunSize_by_Stock!AF9,"")</f>
        <v>0.14712153518123666</v>
      </c>
      <c r="AG57" t="str">
        <f>IF(RunSize_by_Stock!AG9&gt;0,(RunSize_by_Stock!AG9-Escapements!AG10)/RunSize_by_Stock!AG9,"")</f>
        <v/>
      </c>
      <c r="AH57">
        <f>IF(RunSize_by_Stock!AH9&gt;0,(RunSize_by_Stock!AH9-Escapements!AH10)/RunSize_by_Stock!AH9,"")</f>
        <v>0.10874200426439233</v>
      </c>
      <c r="AI57">
        <f>IF(RunSize_by_Stock!AI9&gt;0,(RunSize_by_Stock!AI9-Escapements!AI10)/RunSize_by_Stock!AI9,"")</f>
        <v>0.47872340425531917</v>
      </c>
      <c r="AJ57">
        <f>IF(RunSize_by_Stock!AJ9&gt;0,(RunSize_by_Stock!AJ9-Escapements!AJ10)/RunSize_by_Stock!AJ9,"")</f>
        <v>0.49029126213592233</v>
      </c>
      <c r="AK57">
        <f>IF(RunSize_by_Stock!AK9&gt;0,(RunSize_by_Stock!AK9-Escapements!AK10)/RunSize_by_Stock!AK9,"")</f>
        <v>0.17898193760262726</v>
      </c>
      <c r="AL57">
        <f>IF(RunSize_by_Stock!AL9&gt;0,(RunSize_by_Stock!AL9-Escapements!AL10)/RunSize_by_Stock!AL9,"")</f>
        <v>0.1787308889189555</v>
      </c>
      <c r="AM57">
        <f>IF(RunSize_by_Stock!AM9&gt;0,(RunSize_by_Stock!AM9-Escapements!AM10)/RunSize_by_Stock!AM9,"")</f>
        <v>0.12390414962010521</v>
      </c>
      <c r="AN57">
        <f>IF(RunSize_by_Stock!AN9&gt;0,(RunSize_by_Stock!AN9-Escapements!AN10)/RunSize_by_Stock!AN9,"")</f>
        <v>0.11949685534591195</v>
      </c>
      <c r="AO57">
        <f>IF(RunSize_by_Stock!AO9&gt;0,(RunSize_by_Stock!AO9-Escapements!AO10)/RunSize_by_Stock!AO9,"")</f>
        <v>0.16666666666666666</v>
      </c>
      <c r="AP57">
        <f>IF(RunSize_by_Stock!AP9&gt;0,(RunSize_by_Stock!AP9-Escapements!AP10)/RunSize_by_Stock!AP9,"")</f>
        <v>0.14285714285714285</v>
      </c>
      <c r="AQ57">
        <f>IF(RunSize_by_Stock!AQ9&gt;0,(RunSize_by_Stock!AQ9-Escapements!AQ10)/RunSize_by_Stock!AQ9,"")</f>
        <v>0.16367076631977295</v>
      </c>
      <c r="AR57">
        <f>IF(RunSize_by_Stock!AR9&gt;0,(RunSize_by_Stock!AR9-Escapements!AR10)/RunSize_by_Stock!AR9,"")</f>
        <v>0.10977470063965025</v>
      </c>
      <c r="AS57">
        <f>IF(RunSize_by_Stock!AS9&gt;0,(RunSize_by_Stock!AS9-Escapements!AS10)/RunSize_by_Stock!AS9,"")</f>
        <v>0.14342386878950528</v>
      </c>
      <c r="AT57">
        <f>IF(RunSize_by_Stock!AT9&gt;0,(RunSize_by_Stock!AT9-Escapements!AT10)/RunSize_by_Stock!AT9,"")</f>
        <v>0.21527658617591799</v>
      </c>
      <c r="AU57">
        <f>IF(RunSize_by_Stock!AU9&gt;0,(RunSize_by_Stock!AU9-Escapements!AU10)/RunSize_by_Stock!AU9,"")</f>
        <v>0.10996563573883161</v>
      </c>
      <c r="AV57">
        <f>IF(RunSize_by_Stock!AV9&gt;0,(RunSize_by_Stock!AV9-Escapements!AV10)/RunSize_by_Stock!AV9,"")</f>
        <v>0.11213047910295616</v>
      </c>
      <c r="AW57">
        <f>IF(RunSize_by_Stock!AW9&gt;0,(RunSize_by_Stock!AW9-Escapements!AW10)/RunSize_by_Stock!AW9,"")</f>
        <v>0.27995391705069123</v>
      </c>
      <c r="AX57">
        <f>IF(RunSize_by_Stock!AX9&gt;0,(RunSize_by_Stock!AX9-Escapements!AX10)/RunSize_by_Stock!AX9,"")</f>
        <v>0.30139720558882238</v>
      </c>
      <c r="AY57">
        <f>IF(RunSize_by_Stock!AY9&gt;0,(RunSize_by_Stock!AY9-Escapements!AY10)/RunSize_by_Stock!AY9,"")</f>
        <v>0.30182599355531686</v>
      </c>
      <c r="AZ57">
        <f>IF(RunSize_by_Stock!AZ9&gt;0,(RunSize_by_Stock!AZ9-Escapements!AZ10)/RunSize_by_Stock!AZ9,"")</f>
        <v>0.33267253096109634</v>
      </c>
      <c r="BA57">
        <f>IF(RunSize_by_Stock!BA9&gt;0,(RunSize_by_Stock!BA9-Escapements!BA10)/RunSize_by_Stock!BA9,"")</f>
        <v>0.14142259414225941</v>
      </c>
      <c r="BB57">
        <f>IF(RunSize_by_Stock!BB9&gt;0,(RunSize_by_Stock!BB9-Escapements!BB10)/RunSize_by_Stock!BB9,"")</f>
        <v>0.14134495641344957</v>
      </c>
      <c r="BC57">
        <f>IF(RunSize_by_Stock!BC9&gt;0,(RunSize_by_Stock!BC9-Escapements!BC10)/RunSize_by_Stock!BC9,"")</f>
        <v>0.20639431616341031</v>
      </c>
      <c r="BD57">
        <f>IF(RunSize_by_Stock!BD9&gt;0,(RunSize_by_Stock!BD9-Escapements!BD10)/RunSize_by_Stock!BD9,"")</f>
        <v>0.20655737704918034</v>
      </c>
      <c r="BE57">
        <f>IF(RunSize_by_Stock!BE9&gt;0,(RunSize_by_Stock!BE9-Escapements!BE10)/RunSize_by_Stock!BE9,"")</f>
        <v>0.13475777448698964</v>
      </c>
      <c r="BF57">
        <f>IF(RunSize_by_Stock!BF9&gt;0,(RunSize_by_Stock!BF9-Escapements!BF10)/RunSize_by_Stock!BF9,"")</f>
        <v>5.9224951125758214E-2</v>
      </c>
      <c r="BG57">
        <f>IF(RunSize_by_Stock!BG9&gt;0,(RunSize_by_Stock!BG9-Escapements!BG10)/RunSize_by_Stock!BG9,"")</f>
        <v>0.25170068027210885</v>
      </c>
      <c r="BH57">
        <f>IF(RunSize_by_Stock!BH9&gt;0,(RunSize_by_Stock!BH9-Escapements!BH10)/RunSize_by_Stock!BH9,"")</f>
        <v>0.18909090909090909</v>
      </c>
      <c r="BI57">
        <f>IF(RunSize_by_Stock!BI9&gt;0,(RunSize_by_Stock!BI9-Escapements!BI10)/RunSize_by_Stock!BI9,"")</f>
        <v>9.2466438477951635E-2</v>
      </c>
      <c r="BJ57">
        <f>IF(RunSize_by_Stock!BJ9&gt;0,(RunSize_by_Stock!BJ9-Escapements!BJ10)/RunSize_by_Stock!BJ9,"")</f>
        <v>0.13974975938402309</v>
      </c>
      <c r="BK57">
        <f>IF(RunSize_by_Stock!BK9&gt;0,(RunSize_by_Stock!BK9-Escapements!BK10)/RunSize_by_Stock!BK9,"")</f>
        <v>5.362776025236593E-2</v>
      </c>
      <c r="BL57">
        <f>IF(RunSize_by_Stock!BL9&gt;0,(RunSize_by_Stock!BL9-Escapements!BL10)/RunSize_by_Stock!BL9,"")</f>
        <v>0.13043478260869565</v>
      </c>
      <c r="BM57">
        <f>IF(RunSize_by_Stock!BM9&gt;0,(RunSize_by_Stock!BM9-Escapements!BM10)/RunSize_by_Stock!BM9,"")</f>
        <v>0.10714285714285714</v>
      </c>
      <c r="BN57">
        <f>IF(RunSize_by_Stock!BN9&gt;0,(RunSize_by_Stock!BN9-Escapements!BN10)/RunSize_by_Stock!BN9,"")</f>
        <v>0.20389011256291603</v>
      </c>
      <c r="BO57">
        <f>IF(RunSize_by_Stock!BO9&gt;0,(RunSize_by_Stock!BO9-Escapements!BO10)/RunSize_by_Stock!BO9,"")</f>
        <v>9.79160570449467E-2</v>
      </c>
      <c r="BP57">
        <f>IF(RunSize_by_Stock!BP9&gt;0,(RunSize_by_Stock!BP9-Escapements!BP10)/RunSize_by_Stock!BP9,"")</f>
        <v>8.9429995277649874E-2</v>
      </c>
      <c r="BQ57">
        <f>IF(RunSize_by_Stock!BQ9&gt;0,(RunSize_by_Stock!BQ9-Escapements!BQ10)/RunSize_by_Stock!BQ9,"")</f>
        <v>9.7864958762049939E-2</v>
      </c>
      <c r="BR57">
        <f>IF(RunSize_by_Stock!BR9&gt;0,(RunSize_by_Stock!BR9-Escapements!BR10)/RunSize_by_Stock!BR9,"")</f>
        <v>0.10238481328551537</v>
      </c>
      <c r="BS57">
        <f>IF(RunSize_by_Stock!BS9&gt;0,(RunSize_by_Stock!BS9-Escapements!BS10)/RunSize_by_Stock!BS9,"")</f>
        <v>0.21875</v>
      </c>
      <c r="BT57">
        <f>IF(RunSize_by_Stock!BT9&gt;0,(RunSize_by_Stock!BT9-Escapements!BT10)/RunSize_by_Stock!BT9,"")</f>
        <v>0.22045084254816899</v>
      </c>
      <c r="BU57">
        <f>IF(RunSize_by_Stock!BU9&gt;0,(RunSize_by_Stock!BU9-Escapements!BU10)/RunSize_by_Stock!BU9,"")</f>
        <v>0.22023427136675494</v>
      </c>
      <c r="BV57">
        <f>IF(RunSize_by_Stock!BV9&gt;0,(RunSize_by_Stock!BV9-Escapements!BV10)/RunSize_by_Stock!BV9,"")</f>
        <v>0.10017393844139107</v>
      </c>
      <c r="BW57">
        <f>IF(RunSize_by_Stock!BW9&gt;0,(RunSize_by_Stock!BW9-Escapements!BW10)/RunSize_by_Stock!BW9,"")</f>
        <v>0.24323578401562318</v>
      </c>
      <c r="BX57">
        <f>IF(RunSize_by_Stock!BX9&gt;0,(RunSize_by_Stock!BX9-Escapements!BX10)/RunSize_by_Stock!BX9,"")</f>
        <v>0.2236024844720497</v>
      </c>
      <c r="BY57">
        <f>IF(RunSize_by_Stock!BY9&gt;0,(RunSize_by_Stock!BY9-Escapements!BY10)/RunSize_by_Stock!BY9,"")</f>
        <v>0.10246261680483428</v>
      </c>
      <c r="BZ57">
        <f>IF(RunSize_by_Stock!BZ9&gt;0,(RunSize_by_Stock!BZ9-Escapements!BZ10)/RunSize_by_Stock!BZ9,"")</f>
        <v>9.90990990990991E-2</v>
      </c>
      <c r="CA57">
        <f>IF(RunSize_by_Stock!CA9&gt;0,(RunSize_by_Stock!CA9-Escapements!CA10)/RunSize_by_Stock!CA9,"")</f>
        <v>0.33333333333333331</v>
      </c>
      <c r="CB57">
        <f>IF(RunSize_by_Stock!CB9&gt;0,(RunSize_by_Stock!CB9-Escapements!CB10)/RunSize_by_Stock!CB9,"")</f>
        <v>0.22207334148145597</v>
      </c>
      <c r="CC57">
        <f>IF(RunSize_by_Stock!CC9&gt;0,(RunSize_by_Stock!CC9-Escapements!CC10)/RunSize_by_Stock!CC9,"")</f>
        <v>0.48582511690985319</v>
      </c>
      <c r="CD57" t="str">
        <f>IF(RunSize_by_Stock!CD9&gt;0,(RunSize_by_Stock!CD9-Escapements!CD10)/RunSize_by_Stock!CD9,"")</f>
        <v/>
      </c>
      <c r="CE57">
        <f>IF(RunSize_by_Stock!CE9&gt;0,(RunSize_by_Stock!CE9-Escapements!CE10)/RunSize_by_Stock!CE9,"")</f>
        <v>7.2977857336625901E-2</v>
      </c>
      <c r="CF57">
        <f>IF(RunSize_by_Stock!CF9&gt;0,(RunSize_by_Stock!CF9-Escapements!CF10)/RunSize_by_Stock!CF9,"")</f>
        <v>0.11504424778761062</v>
      </c>
      <c r="CG57">
        <f>IF(RunSize_by_Stock!CG9&gt;0,(RunSize_by_Stock!CG9-Escapements!CG10)/RunSize_by_Stock!CG9,"")</f>
        <v>0.22038616780781203</v>
      </c>
      <c r="CH57">
        <f t="shared" si="3"/>
        <v>0.16093963006058681</v>
      </c>
    </row>
    <row r="58" spans="1:86" x14ac:dyDescent="0.55000000000000004">
      <c r="A58">
        <f t="shared" si="2"/>
        <v>1987</v>
      </c>
      <c r="B58">
        <f>IF(RunSize_by_Stock!B10&gt;0,(RunSize_by_Stock!B10-Escapements!B11)/RunSize_by_Stock!B10,"")</f>
        <v>0.15325994919559696</v>
      </c>
      <c r="C58">
        <f>IF(RunSize_by_Stock!C10&gt;0,(RunSize_by_Stock!C10-Escapements!C11)/RunSize_by_Stock!C10,"")</f>
        <v>8.5206481965499223E-2</v>
      </c>
      <c r="D58">
        <f>IF(RunSize_by_Stock!D10&gt;0,(RunSize_by_Stock!D10-Escapements!D11)/RunSize_by_Stock!D10,"")</f>
        <v>0.15254237288135594</v>
      </c>
      <c r="E58">
        <f>IF(RunSize_by_Stock!E10&gt;0,(RunSize_by_Stock!E10-Escapements!E11)/RunSize_by_Stock!E10,"")</f>
        <v>0.140625</v>
      </c>
      <c r="F58">
        <f>IF(RunSize_by_Stock!F10&gt;0,(RunSize_by_Stock!F10-Escapements!F11)/RunSize_by_Stock!F10,"")</f>
        <v>0.13544668587896252</v>
      </c>
      <c r="G58">
        <f>IF(RunSize_by_Stock!G10&gt;0,(RunSize_by_Stock!G10-Escapements!G11)/RunSize_by_Stock!G10,"")</f>
        <v>0.11764705882352941</v>
      </c>
      <c r="H58">
        <f>IF(RunSize_by_Stock!H10&gt;0,(RunSize_by_Stock!H10-Escapements!H11)/RunSize_by_Stock!H10,"")</f>
        <v>0.13934426229508196</v>
      </c>
      <c r="I58">
        <f>IF(RunSize_by_Stock!I10&gt;0,(RunSize_by_Stock!I10-Escapements!I11)/RunSize_by_Stock!I10,"")</f>
        <v>0.13978494623655913</v>
      </c>
      <c r="J58">
        <f>IF(RunSize_by_Stock!J10&gt;0,(RunSize_by_Stock!J10-Escapements!J11)/RunSize_by_Stock!J10,"")</f>
        <v>0.14273467638234033</v>
      </c>
      <c r="K58">
        <f>IF(RunSize_by_Stock!K10&gt;0,(RunSize_by_Stock!K10-Escapements!K11)/RunSize_by_Stock!K10,"")</f>
        <v>0.13194444444444445</v>
      </c>
      <c r="L58">
        <f>IF(RunSize_by_Stock!L10&gt;0,(RunSize_by_Stock!L10-Escapements!L11)/RunSize_by_Stock!L10,"")</f>
        <v>0.13899138991389914</v>
      </c>
      <c r="M58">
        <f>IF(RunSize_by_Stock!M10&gt;0,(RunSize_by_Stock!M10-Escapements!M11)/RunSize_by_Stock!M10,"")</f>
        <v>0.11940298507462686</v>
      </c>
      <c r="N58">
        <f>IF(RunSize_by_Stock!N10&gt;0,(RunSize_by_Stock!N10-Escapements!N11)/RunSize_by_Stock!N10,"")</f>
        <v>9.1349648655197485E-2</v>
      </c>
      <c r="O58">
        <f>IF(RunSize_by_Stock!O10&gt;0,(RunSize_by_Stock!O10-Escapements!O11)/RunSize_by_Stock!O10,"")</f>
        <v>9.5660062106371152E-2</v>
      </c>
      <c r="P58">
        <f>IF(RunSize_by_Stock!P10&gt;0,(RunSize_by_Stock!P10-Escapements!P11)/RunSize_by_Stock!P10,"")</f>
        <v>0.12414376823043222</v>
      </c>
      <c r="Q58">
        <f>IF(RunSize_by_Stock!Q10&gt;0,(RunSize_by_Stock!Q10-Escapements!Q11)/RunSize_by_Stock!Q10,"")</f>
        <v>8.5235644622347534E-2</v>
      </c>
      <c r="R58">
        <f>IF(RunSize_by_Stock!R10&gt;0,(RunSize_by_Stock!R10-Escapements!R11)/RunSize_by_Stock!R10,"")</f>
        <v>7.6517150395778361E-2</v>
      </c>
      <c r="S58">
        <f>IF(RunSize_by_Stock!S10&gt;0,(RunSize_by_Stock!S10-Escapements!S11)/RunSize_by_Stock!S10,"")</f>
        <v>0.17867013493740855</v>
      </c>
      <c r="T58">
        <f>IF(RunSize_by_Stock!T10&gt;0,(RunSize_by_Stock!T10-Escapements!T11)/RunSize_by_Stock!T10,"")</f>
        <v>0.12209802235597593</v>
      </c>
      <c r="U58">
        <f>IF(RunSize_by_Stock!U10&gt;0,(RunSize_by_Stock!U10-Escapements!U11)/RunSize_by_Stock!U10,"")</f>
        <v>0.10714285714285714</v>
      </c>
      <c r="V58">
        <f>IF(RunSize_by_Stock!V10&gt;0,(RunSize_by_Stock!V10-Escapements!V11)/RunSize_by_Stock!V10,"")</f>
        <v>0.16107382550335569</v>
      </c>
      <c r="W58">
        <f>IF(RunSize_by_Stock!W10&gt;0,(RunSize_by_Stock!W10-Escapements!W11)/RunSize_by_Stock!W10,"")</f>
        <v>0.291497975708502</v>
      </c>
      <c r="X58">
        <f>IF(RunSize_by_Stock!X10&gt;0,(RunSize_by_Stock!X10-Escapements!X11)/RunSize_by_Stock!X10,"")</f>
        <v>0.1651061366193847</v>
      </c>
      <c r="Y58">
        <f>IF(RunSize_by_Stock!Y10&gt;0,(RunSize_by_Stock!Y10-Escapements!Y11)/RunSize_by_Stock!Y10,"")</f>
        <v>0.24665178571428573</v>
      </c>
      <c r="Z58">
        <f>IF(RunSize_by_Stock!Z10&gt;0,(RunSize_by_Stock!Z10-Escapements!Z11)/RunSize_by_Stock!Z10,"")</f>
        <v>0.27917550772961502</v>
      </c>
      <c r="AA58">
        <f>IF(RunSize_by_Stock!AA10&gt;0,(RunSize_by_Stock!AA10-Escapements!AA11)/RunSize_by_Stock!AA10,"")</f>
        <v>0.18464730290456433</v>
      </c>
      <c r="AB58">
        <f>IF(RunSize_by_Stock!AB10&gt;0,(RunSize_by_Stock!AB10-Escapements!AB11)/RunSize_by_Stock!AB10,"")</f>
        <v>8.7591240875912413E-2</v>
      </c>
      <c r="AC58">
        <f>IF(RunSize_by_Stock!AC10&gt;0,(RunSize_by_Stock!AC10-Escapements!AC11)/RunSize_by_Stock!AC10,"")</f>
        <v>8.5996010963678746E-2</v>
      </c>
      <c r="AD58">
        <f>IF(RunSize_by_Stock!AD10&gt;0,(RunSize_by_Stock!AD10-Escapements!AD11)/RunSize_by_Stock!AD10,"")</f>
        <v>0.28939262797388082</v>
      </c>
      <c r="AE58">
        <f>IF(RunSize_by_Stock!AE10&gt;0,(RunSize_by_Stock!AE10-Escapements!AE11)/RunSize_by_Stock!AE10,"")</f>
        <v>7.8119517296394311E-2</v>
      </c>
      <c r="AF58">
        <f>IF(RunSize_by_Stock!AF10&gt;0,(RunSize_by_Stock!AF10-Escapements!AF11)/RunSize_by_Stock!AF10,"")</f>
        <v>8.9068825910931168E-2</v>
      </c>
      <c r="AG58" t="str">
        <f>IF(RunSize_by_Stock!AG10&gt;0,(RunSize_by_Stock!AG10-Escapements!AG11)/RunSize_by_Stock!AG10,"")</f>
        <v/>
      </c>
      <c r="AH58">
        <f>IF(RunSize_by_Stock!AH10&gt;0,(RunSize_by_Stock!AH10-Escapements!AH11)/RunSize_by_Stock!AH10,"")</f>
        <v>0.23664122137404581</v>
      </c>
      <c r="AI58">
        <f>IF(RunSize_by_Stock!AI10&gt;0,(RunSize_by_Stock!AI10-Escapements!AI11)/RunSize_by_Stock!AI10,"")</f>
        <v>0.6</v>
      </c>
      <c r="AJ58">
        <f>IF(RunSize_by_Stock!AJ10&gt;0,(RunSize_by_Stock!AJ10-Escapements!AJ11)/RunSize_by_Stock!AJ10,"")</f>
        <v>0.66666666666666663</v>
      </c>
      <c r="AK58">
        <f>IF(RunSize_by_Stock!AK10&gt;0,(RunSize_by_Stock!AK10-Escapements!AK11)/RunSize_by_Stock!AK10,"")</f>
        <v>0.17355371900826447</v>
      </c>
      <c r="AL58">
        <f>IF(RunSize_by_Stock!AL10&gt;0,(RunSize_by_Stock!AL10-Escapements!AL11)/RunSize_by_Stock!AL10,"")</f>
        <v>0.18967504033187371</v>
      </c>
      <c r="AM58">
        <f>IF(RunSize_by_Stock!AM10&gt;0,(RunSize_by_Stock!AM10-Escapements!AM11)/RunSize_by_Stock!AM10,"")</f>
        <v>0.13710128707330721</v>
      </c>
      <c r="AN58">
        <f>IF(RunSize_by_Stock!AN10&gt;0,(RunSize_by_Stock!AN10-Escapements!AN11)/RunSize_by_Stock!AN10,"")</f>
        <v>0.11202185792349727</v>
      </c>
      <c r="AO58">
        <f>IF(RunSize_by_Stock!AO10&gt;0,(RunSize_by_Stock!AO10-Escapements!AO11)/RunSize_by_Stock!AO10,"")</f>
        <v>0.10714285714285714</v>
      </c>
      <c r="AP58">
        <f>IF(RunSize_by_Stock!AP10&gt;0,(RunSize_by_Stock!AP10-Escapements!AP11)/RunSize_by_Stock!AP10,"")</f>
        <v>0.375</v>
      </c>
      <c r="AQ58">
        <f>IF(RunSize_by_Stock!AQ10&gt;0,(RunSize_by_Stock!AQ10-Escapements!AQ11)/RunSize_by_Stock!AQ10,"")</f>
        <v>0.15103683070256887</v>
      </c>
      <c r="AR58" t="str">
        <f>IF(RunSize_by_Stock!AR10&gt;0,(RunSize_by_Stock!AR10-Escapements!AR11)/RunSize_by_Stock!AR10,"")</f>
        <v/>
      </c>
      <c r="AS58">
        <f>IF(RunSize_by_Stock!AS10&gt;0,(RunSize_by_Stock!AS10-Escapements!AS11)/RunSize_by_Stock!AS10,"")</f>
        <v>8.8639686562010211E-2</v>
      </c>
      <c r="AT58">
        <f>IF(RunSize_by_Stock!AT10&gt;0,(RunSize_by_Stock!AT10-Escapements!AT11)/RunSize_by_Stock!AT10,"")</f>
        <v>0.19941611770951315</v>
      </c>
      <c r="AU58">
        <f>IF(RunSize_by_Stock!AU10&gt;0,(RunSize_by_Stock!AU10-Escapements!AU11)/RunSize_by_Stock!AU10,"")</f>
        <v>0.12116679132385939</v>
      </c>
      <c r="AV58">
        <f>IF(RunSize_by_Stock!AV10&gt;0,(RunSize_by_Stock!AV10-Escapements!AV11)/RunSize_by_Stock!AV10,"")</f>
        <v>0.12907608695652173</v>
      </c>
      <c r="AW58">
        <f>IF(RunSize_by_Stock!AW10&gt;0,(RunSize_by_Stock!AW10-Escapements!AW11)/RunSize_by_Stock!AW10,"")</f>
        <v>0.23722349351639971</v>
      </c>
      <c r="AX58">
        <f>IF(RunSize_by_Stock!AX10&gt;0,(RunSize_by_Stock!AX10-Escapements!AX11)/RunSize_by_Stock!AX10,"")</f>
        <v>0.23664122137404581</v>
      </c>
      <c r="AY58">
        <f>IF(RunSize_by_Stock!AY10&gt;0,(RunSize_by_Stock!AY10-Escapements!AY11)/RunSize_by_Stock!AY10,"")</f>
        <v>0.23882869168084533</v>
      </c>
      <c r="AZ58">
        <f>IF(RunSize_by_Stock!AZ10&gt;0,(RunSize_by_Stock!AZ10-Escapements!AZ11)/RunSize_by_Stock!AZ10,"")</f>
        <v>0.22369330751954078</v>
      </c>
      <c r="BA58">
        <f>IF(RunSize_by_Stock!BA10&gt;0,(RunSize_by_Stock!BA10-Escapements!BA11)/RunSize_by_Stock!BA10,"")</f>
        <v>0.21707670043415339</v>
      </c>
      <c r="BB58">
        <f>IF(RunSize_by_Stock!BB10&gt;0,(RunSize_by_Stock!BB10-Escapements!BB11)/RunSize_by_Stock!BB10,"")</f>
        <v>0.21804511278195488</v>
      </c>
      <c r="BC58">
        <f>IF(RunSize_by_Stock!BC10&gt;0,(RunSize_by_Stock!BC10-Escapements!BC11)/RunSize_by_Stock!BC10,"")</f>
        <v>0.40067624683009301</v>
      </c>
      <c r="BD58">
        <f>IF(RunSize_by_Stock!BD10&gt;0,(RunSize_by_Stock!BD10-Escapements!BD11)/RunSize_by_Stock!BD10,"")</f>
        <v>0.40100882723833542</v>
      </c>
      <c r="BE58">
        <f>IF(RunSize_by_Stock!BE10&gt;0,(RunSize_by_Stock!BE10-Escapements!BE11)/RunSize_by_Stock!BE10,"")</f>
        <v>0.16194613379669853</v>
      </c>
      <c r="BF58">
        <f>IF(RunSize_by_Stock!BF10&gt;0,(RunSize_by_Stock!BF10-Escapements!BF11)/RunSize_by_Stock!BF10,"")</f>
        <v>6.25E-2</v>
      </c>
      <c r="BG58">
        <f>IF(RunSize_by_Stock!BG10&gt;0,(RunSize_by_Stock!BG10-Escapements!BG11)/RunSize_by_Stock!BG10,"")</f>
        <v>0.2</v>
      </c>
      <c r="BH58">
        <f>IF(RunSize_by_Stock!BH10&gt;0,(RunSize_by_Stock!BH10-Escapements!BH11)/RunSize_by_Stock!BH10,"")</f>
        <v>0.51293103448275867</v>
      </c>
      <c r="BI58">
        <f>IF(RunSize_by_Stock!BI10&gt;0,(RunSize_by_Stock!BI10-Escapements!BI11)/RunSize_by_Stock!BI10,"")</f>
        <v>2.5616652042507557E-2</v>
      </c>
      <c r="BJ58">
        <f>IF(RunSize_by_Stock!BJ10&gt;0,(RunSize_by_Stock!BJ10-Escapements!BJ11)/RunSize_by_Stock!BJ10,"")</f>
        <v>6.3547145258363608E-2</v>
      </c>
      <c r="BK58">
        <f>IF(RunSize_by_Stock!BK10&gt;0,(RunSize_by_Stock!BK10-Escapements!BK11)/RunSize_by_Stock!BK10,"")</f>
        <v>4.3715846994535519E-2</v>
      </c>
      <c r="BL58">
        <f>IF(RunSize_by_Stock!BL10&gt;0,(RunSize_by_Stock!BL10-Escapements!BL11)/RunSize_by_Stock!BL10,"")</f>
        <v>0.13793103448275862</v>
      </c>
      <c r="BM58" t="str">
        <f>IF(RunSize_by_Stock!BM10&gt;0,(RunSize_by_Stock!BM10-Escapements!BM11)/RunSize_by_Stock!BM10,"")</f>
        <v/>
      </c>
      <c r="BN58">
        <f>IF(RunSize_by_Stock!BN10&gt;0,(RunSize_by_Stock!BN10-Escapements!BN11)/RunSize_by_Stock!BN10,"")</f>
        <v>0.19029704126624072</v>
      </c>
      <c r="BO58">
        <f>IF(RunSize_by_Stock!BO10&gt;0,(RunSize_by_Stock!BO10-Escapements!BO11)/RunSize_by_Stock!BO10,"")</f>
        <v>0.11130679537071404</v>
      </c>
      <c r="BP58">
        <f>IF(RunSize_by_Stock!BP10&gt;0,(RunSize_by_Stock!BP10-Escapements!BP11)/RunSize_by_Stock!BP10,"")</f>
        <v>0.10721296751517971</v>
      </c>
      <c r="BQ58">
        <f>IF(RunSize_by_Stock!BQ10&gt;0,(RunSize_by_Stock!BQ10-Escapements!BQ11)/RunSize_by_Stock!BQ10,"")</f>
        <v>1.2150564248909857E-2</v>
      </c>
      <c r="BR58">
        <f>IF(RunSize_by_Stock!BR10&gt;0,(RunSize_by_Stock!BR10-Escapements!BR11)/RunSize_by_Stock!BR10,"")</f>
        <v>0.24638585006311331</v>
      </c>
      <c r="BS58">
        <f>IF(RunSize_by_Stock!BS10&gt;0,(RunSize_by_Stock!BS10-Escapements!BS11)/RunSize_by_Stock!BS10,"")</f>
        <v>0.16555617053285332</v>
      </c>
      <c r="BT58">
        <f>IF(RunSize_by_Stock!BT10&gt;0,(RunSize_by_Stock!BT10-Escapements!BT11)/RunSize_by_Stock!BT10,"")</f>
        <v>0.16707090175278475</v>
      </c>
      <c r="BU58" t="str">
        <f>IF(RunSize_by_Stock!BU10&gt;0,(RunSize_by_Stock!BU10-Escapements!BU11)/RunSize_by_Stock!BU10,"")</f>
        <v/>
      </c>
      <c r="BV58">
        <f>IF(RunSize_by_Stock!BV10&gt;0,(RunSize_by_Stock!BV10-Escapements!BV11)/RunSize_by_Stock!BV10,"")</f>
        <v>0.13632652873810322</v>
      </c>
      <c r="BW58">
        <f>IF(RunSize_by_Stock!BW10&gt;0,(RunSize_by_Stock!BW10-Escapements!BW11)/RunSize_by_Stock!BW10,"")</f>
        <v>0.11851880316152134</v>
      </c>
      <c r="BX58">
        <f>IF(RunSize_by_Stock!BX10&gt;0,(RunSize_by_Stock!BX10-Escapements!BX11)/RunSize_by_Stock!BX10,"")</f>
        <v>0.16666666666666666</v>
      </c>
      <c r="BY58">
        <f>IF(RunSize_by_Stock!BY10&gt;0,(RunSize_by_Stock!BY10-Escapements!BY11)/RunSize_by_Stock!BY10,"")</f>
        <v>0.24623115577889448</v>
      </c>
      <c r="BZ58">
        <f>IF(RunSize_by_Stock!BZ10&gt;0,(RunSize_by_Stock!BZ10-Escapements!BZ11)/RunSize_by_Stock!BZ10,"")</f>
        <v>0.24812030075187969</v>
      </c>
      <c r="CA58">
        <f>IF(RunSize_by_Stock!CA10&gt;0,(RunSize_by_Stock!CA10-Escapements!CA11)/RunSize_by_Stock!CA10,"")</f>
        <v>0.16198740882182444</v>
      </c>
      <c r="CB58">
        <f>IF(RunSize_by_Stock!CB10&gt;0,(RunSize_by_Stock!CB10-Escapements!CB11)/RunSize_by_Stock!CB10,"")</f>
        <v>0.1635711330877834</v>
      </c>
      <c r="CC58">
        <f>IF(RunSize_by_Stock!CC10&gt;0,(RunSize_by_Stock!CC10-Escapements!CC11)/RunSize_by_Stock!CC10,"")</f>
        <v>0.49748297547971276</v>
      </c>
      <c r="CD58" t="str">
        <f>IF(RunSize_by_Stock!CD10&gt;0,(RunSize_by_Stock!CD10-Escapements!CD11)/RunSize_by_Stock!CD10,"")</f>
        <v/>
      </c>
      <c r="CE58">
        <f>IF(RunSize_by_Stock!CE10&gt;0,(RunSize_by_Stock!CE10-Escapements!CE11)/RunSize_by_Stock!CE10,"")</f>
        <v>6.6524475857252185E-2</v>
      </c>
      <c r="CF58">
        <f>IF(RunSize_by_Stock!CF10&gt;0,(RunSize_by_Stock!CF10-Escapements!CF11)/RunSize_by_Stock!CF10,"")</f>
        <v>9.1057025121428228E-2</v>
      </c>
      <c r="CG58">
        <f>IF(RunSize_by_Stock!CG10&gt;0,(RunSize_by_Stock!CG10-Escapements!CG11)/RunSize_by_Stock!CG10,"")</f>
        <v>0.16728670570249679</v>
      </c>
      <c r="CH58">
        <f t="shared" si="3"/>
        <v>0.17934609341600127</v>
      </c>
    </row>
    <row r="59" spans="1:86" x14ac:dyDescent="0.55000000000000004">
      <c r="A59">
        <f t="shared" si="2"/>
        <v>1988</v>
      </c>
      <c r="B59">
        <f>IF(RunSize_by_Stock!B11&gt;0,(RunSize_by_Stock!B11-Escapements!B12)/RunSize_by_Stock!B11,"")</f>
        <v>0.13892078071182548</v>
      </c>
      <c r="C59">
        <f>IF(RunSize_by_Stock!C11&gt;0,(RunSize_by_Stock!C11-Escapements!C12)/RunSize_by_Stock!C11,"")</f>
        <v>8.3199633279853316E-2</v>
      </c>
      <c r="D59">
        <f>IF(RunSize_by_Stock!D11&gt;0,(RunSize_by_Stock!D11-Escapements!D12)/RunSize_by_Stock!D11,"")</f>
        <v>0.13875598086124402</v>
      </c>
      <c r="E59">
        <f>IF(RunSize_by_Stock!E11&gt;0,(RunSize_by_Stock!E11-Escapements!E12)/RunSize_by_Stock!E11,"")</f>
        <v>0.13043478260869565</v>
      </c>
      <c r="F59">
        <f>IF(RunSize_by_Stock!F11&gt;0,(RunSize_by_Stock!F11-Escapements!F12)/RunSize_by_Stock!F11,"")</f>
        <v>0.12479740680713128</v>
      </c>
      <c r="G59">
        <f>IF(RunSize_by_Stock!G11&gt;0,(RunSize_by_Stock!G11-Escapements!G12)/RunSize_by_Stock!G11,"")</f>
        <v>0.12790697674418605</v>
      </c>
      <c r="H59">
        <f>IF(RunSize_by_Stock!H11&gt;0,(RunSize_by_Stock!H11-Escapements!H12)/RunSize_by_Stock!H11,"")</f>
        <v>0.125</v>
      </c>
      <c r="I59">
        <f>IF(RunSize_by_Stock!I11&gt;0,(RunSize_by_Stock!I11-Escapements!I12)/RunSize_by_Stock!I11,"")</f>
        <v>0.12698412698412698</v>
      </c>
      <c r="J59">
        <f>IF(RunSize_by_Stock!J11&gt;0,(RunSize_by_Stock!J11-Escapements!J12)/RunSize_by_Stock!J11,"")</f>
        <v>0.13085465958474168</v>
      </c>
      <c r="K59">
        <f>IF(RunSize_by_Stock!K11&gt;0,(RunSize_by_Stock!K11-Escapements!K12)/RunSize_by_Stock!K11,"")</f>
        <v>0.12184412733260154</v>
      </c>
      <c r="L59">
        <f>IF(RunSize_by_Stock!L11&gt;0,(RunSize_by_Stock!L11-Escapements!L12)/RunSize_by_Stock!L11,"")</f>
        <v>0.12778020061055387</v>
      </c>
      <c r="M59">
        <f>IF(RunSize_by_Stock!M11&gt;0,(RunSize_by_Stock!M11-Escapements!M12)/RunSize_by_Stock!M11,"")</f>
        <v>0.11255411255411256</v>
      </c>
      <c r="N59">
        <f>IF(RunSize_by_Stock!N11&gt;0,(RunSize_by_Stock!N11-Escapements!N12)/RunSize_by_Stock!N11,"")</f>
        <v>8.7700342157392405E-2</v>
      </c>
      <c r="O59">
        <f>IF(RunSize_by_Stock!O11&gt;0,(RunSize_by_Stock!O11-Escapements!O12)/RunSize_by_Stock!O11,"")</f>
        <v>9.8898257694934294E-2</v>
      </c>
      <c r="P59">
        <f>IF(RunSize_by_Stock!P11&gt;0,(RunSize_by_Stock!P11-Escapements!P12)/RunSize_by_Stock!P11,"")</f>
        <v>0.11538961335253865</v>
      </c>
      <c r="Q59">
        <f>IF(RunSize_by_Stock!Q11&gt;0,(RunSize_by_Stock!Q11-Escapements!Q12)/RunSize_by_Stock!Q11,"")</f>
        <v>8.3242465407648555E-2</v>
      </c>
      <c r="R59">
        <f>IF(RunSize_by_Stock!R11&gt;0,(RunSize_by_Stock!R11-Escapements!R12)/RunSize_by_Stock!R11,"")</f>
        <v>7.7632590315142191E-2</v>
      </c>
      <c r="S59">
        <f>IF(RunSize_by_Stock!S11&gt;0,(RunSize_by_Stock!S11-Escapements!S12)/RunSize_by_Stock!S11,"")</f>
        <v>0.15354874344103839</v>
      </c>
      <c r="T59">
        <f>IF(RunSize_by_Stock!T11&gt;0,(RunSize_by_Stock!T11-Escapements!T12)/RunSize_by_Stock!T11,"")</f>
        <v>0.11556678244395327</v>
      </c>
      <c r="U59">
        <f>IF(RunSize_by_Stock!U11&gt;0,(RunSize_by_Stock!U11-Escapements!U12)/RunSize_by_Stock!U11,"")</f>
        <v>0.10714285714285714</v>
      </c>
      <c r="V59">
        <f>IF(RunSize_by_Stock!V11&gt;0,(RunSize_by_Stock!V11-Escapements!V12)/RunSize_by_Stock!V11,"")</f>
        <v>0.14772727272727273</v>
      </c>
      <c r="W59">
        <f>IF(RunSize_by_Stock!W11&gt;0,(RunSize_by_Stock!W11-Escapements!W12)/RunSize_by_Stock!W11,"")</f>
        <v>0.31318681318681318</v>
      </c>
      <c r="X59">
        <f>IF(RunSize_by_Stock!X11&gt;0,(RunSize_by_Stock!X11-Escapements!X12)/RunSize_by_Stock!X11,"")</f>
        <v>0.14539286823920577</v>
      </c>
      <c r="Y59">
        <f>IF(RunSize_by_Stock!Y11&gt;0,(RunSize_by_Stock!Y11-Escapements!Y12)/RunSize_by_Stock!Y11,"")</f>
        <v>0.21081451060917181</v>
      </c>
      <c r="Z59">
        <f>IF(RunSize_by_Stock!Z11&gt;0,(RunSize_by_Stock!Z11-Escapements!Z12)/RunSize_by_Stock!Z11,"")</f>
        <v>0.11180036655857888</v>
      </c>
      <c r="AA59">
        <f>IF(RunSize_by_Stock!AA11&gt;0,(RunSize_by_Stock!AA11-Escapements!AA12)/RunSize_by_Stock!AA11,"")</f>
        <v>0.12692816218598502</v>
      </c>
      <c r="AB59">
        <f>IF(RunSize_by_Stock!AB11&gt;0,(RunSize_by_Stock!AB11-Escapements!AB12)/RunSize_by_Stock!AB11,"")</f>
        <v>8.7591240875912413E-2</v>
      </c>
      <c r="AC59">
        <f>IF(RunSize_by_Stock!AC11&gt;0,(RunSize_by_Stock!AC11-Escapements!AC12)/RunSize_by_Stock!AC11,"")</f>
        <v>0.10912812121790226</v>
      </c>
      <c r="AD59">
        <f>IF(RunSize_by_Stock!AD11&gt;0,(RunSize_by_Stock!AD11-Escapements!AD12)/RunSize_by_Stock!AD11,"")</f>
        <v>0.31410562540101383</v>
      </c>
      <c r="AE59">
        <f>IF(RunSize_by_Stock!AE11&gt;0,(RunSize_by_Stock!AE11-Escapements!AE12)/RunSize_by_Stock!AE11,"")</f>
        <v>0.11280658323643117</v>
      </c>
      <c r="AF59">
        <f>IF(RunSize_by_Stock!AF11&gt;0,(RunSize_by_Stock!AF11-Escapements!AF12)/RunSize_by_Stock!AF11,"")</f>
        <v>0.13544668587896252</v>
      </c>
      <c r="AG59" t="str">
        <f>IF(RunSize_by_Stock!AG11&gt;0,(RunSize_by_Stock!AG11-Escapements!AG12)/RunSize_by_Stock!AG11,"")</f>
        <v/>
      </c>
      <c r="AH59">
        <f>IF(RunSize_by_Stock!AH11&gt;0,(RunSize_by_Stock!AH11-Escapements!AH12)/RunSize_by_Stock!AH11,"")</f>
        <v>0.11142061281337047</v>
      </c>
      <c r="AI59">
        <f>IF(RunSize_by_Stock!AI11&gt;0,(RunSize_by_Stock!AI11-Escapements!AI12)/RunSize_by_Stock!AI11,"")</f>
        <v>0.51550387596899228</v>
      </c>
      <c r="AJ59">
        <f>IF(RunSize_by_Stock!AJ11&gt;0,(RunSize_by_Stock!AJ11-Escapements!AJ12)/RunSize_by_Stock!AJ11,"")</f>
        <v>0.49664429530201343</v>
      </c>
      <c r="AK59">
        <f>IF(RunSize_by_Stock!AK11&gt;0,(RunSize_by_Stock!AK11-Escapements!AK12)/RunSize_by_Stock!AK11,"")</f>
        <v>0.12609238451935081</v>
      </c>
      <c r="AL59">
        <f>IF(RunSize_by_Stock!AL11&gt;0,(RunSize_by_Stock!AL11-Escapements!AL12)/RunSize_by_Stock!AL11,"")</f>
        <v>0.14974139018544216</v>
      </c>
      <c r="AM59">
        <f>IF(RunSize_by_Stock!AM11&gt;0,(RunSize_by_Stock!AM11-Escapements!AM12)/RunSize_by_Stock!AM11,"")</f>
        <v>0.10376447876447877</v>
      </c>
      <c r="AN59">
        <f>IF(RunSize_by_Stock!AN11&gt;0,(RunSize_by_Stock!AN11-Escapements!AN12)/RunSize_by_Stock!AN11,"")</f>
        <v>0.10614525139664804</v>
      </c>
      <c r="AO59">
        <f>IF(RunSize_by_Stock!AO11&gt;0,(RunSize_by_Stock!AO11-Escapements!AO12)/RunSize_by_Stock!AO11,"")</f>
        <v>0.10714285714285714</v>
      </c>
      <c r="AP59">
        <f>IF(RunSize_by_Stock!AP11&gt;0,(RunSize_by_Stock!AP11-Escapements!AP12)/RunSize_by_Stock!AP11,"")</f>
        <v>0.27927927927927926</v>
      </c>
      <c r="AQ59">
        <f>IF(RunSize_by_Stock!AQ11&gt;0,(RunSize_by_Stock!AQ11-Escapements!AQ12)/RunSize_by_Stock!AQ11,"")</f>
        <v>9.9681020733652315E-2</v>
      </c>
      <c r="AR59">
        <f>IF(RunSize_by_Stock!AR11&gt;0,(RunSize_by_Stock!AR11-Escapements!AR12)/RunSize_by_Stock!AR11,"")</f>
        <v>8.6551431960684599E-2</v>
      </c>
      <c r="AS59">
        <f>IF(RunSize_by_Stock!AS11&gt;0,(RunSize_by_Stock!AS11-Escapements!AS12)/RunSize_by_Stock!AS11,"")</f>
        <v>8.0019160548357546E-2</v>
      </c>
      <c r="AT59">
        <f>IF(RunSize_by_Stock!AT11&gt;0,(RunSize_by_Stock!AT11-Escapements!AT12)/RunSize_by_Stock!AT11,"")</f>
        <v>0.1166252219213862</v>
      </c>
      <c r="AU59">
        <f>IF(RunSize_by_Stock!AU11&gt;0,(RunSize_by_Stock!AU11-Escapements!AU12)/RunSize_by_Stock!AU11,"")</f>
        <v>9.2939481268011534E-2</v>
      </c>
      <c r="AV59">
        <f>IF(RunSize_by_Stock!AV11&gt;0,(RunSize_by_Stock!AV11-Escapements!AV12)/RunSize_by_Stock!AV11,"")</f>
        <v>9.5375722543352595E-2</v>
      </c>
      <c r="AW59">
        <f>IF(RunSize_by_Stock!AW11&gt;0,(RunSize_by_Stock!AW11-Escapements!AW12)/RunSize_by_Stock!AW11,"")</f>
        <v>0.1116046640755136</v>
      </c>
      <c r="AX59">
        <f>IF(RunSize_by_Stock!AX11&gt;0,(RunSize_by_Stock!AX11-Escapements!AX12)/RunSize_by_Stock!AX11,"")</f>
        <v>0.17695473251028807</v>
      </c>
      <c r="AY59">
        <f>IF(RunSize_by_Stock!AY11&gt;0,(RunSize_by_Stock!AY11-Escapements!AY12)/RunSize_by_Stock!AY11,"")</f>
        <v>0.18957249949348282</v>
      </c>
      <c r="AZ59">
        <f>IF(RunSize_by_Stock!AZ11&gt;0,(RunSize_by_Stock!AZ11-Escapements!AZ12)/RunSize_by_Stock!AZ11,"")</f>
        <v>0.34213220447940179</v>
      </c>
      <c r="BA59">
        <f>IF(RunSize_by_Stock!BA11&gt;0,(RunSize_by_Stock!BA11-Escapements!BA12)/RunSize_by_Stock!BA11,"")</f>
        <v>0.16591056383668179</v>
      </c>
      <c r="BB59">
        <f>IF(RunSize_by_Stock!BB11&gt;0,(RunSize_by_Stock!BB11-Escapements!BB12)/RunSize_by_Stock!BB11,"")</f>
        <v>0.16698841698841699</v>
      </c>
      <c r="BC59">
        <f>IF(RunSize_by_Stock!BC11&gt;0,(RunSize_by_Stock!BC11-Escapements!BC12)/RunSize_by_Stock!BC11,"")</f>
        <v>0.45719844357976652</v>
      </c>
      <c r="BD59">
        <f>IF(RunSize_by_Stock!BD11&gt;0,(RunSize_by_Stock!BD11-Escapements!BD12)/RunSize_by_Stock!BD11,"")</f>
        <v>0.45721271393643031</v>
      </c>
      <c r="BE59">
        <f>IF(RunSize_by_Stock!BE11&gt;0,(RunSize_by_Stock!BE11-Escapements!BE12)/RunSize_by_Stock!BE11,"")</f>
        <v>0.15075722808627812</v>
      </c>
      <c r="BF59">
        <f>IF(RunSize_by_Stock!BF11&gt;0,(RunSize_by_Stock!BF11-Escapements!BF12)/RunSize_by_Stock!BF11,"")</f>
        <v>5.6603773584905662E-2</v>
      </c>
      <c r="BG59">
        <f>IF(RunSize_by_Stock!BG11&gt;0,(RunSize_by_Stock!BG11-Escapements!BG12)/RunSize_by_Stock!BG11,"")</f>
        <v>5.6338028169014086E-2</v>
      </c>
      <c r="BH59">
        <f>IF(RunSize_by_Stock!BH11&gt;0,(RunSize_by_Stock!BH11-Escapements!BH12)/RunSize_by_Stock!BH11,"")</f>
        <v>0.18270799347471453</v>
      </c>
      <c r="BI59">
        <f>IF(RunSize_by_Stock!BI11&gt;0,(RunSize_by_Stock!BI11-Escapements!BI12)/RunSize_by_Stock!BI11,"")</f>
        <v>6.9339820046034742E-2</v>
      </c>
      <c r="BJ59">
        <f>IF(RunSize_by_Stock!BJ11&gt;0,(RunSize_by_Stock!BJ11-Escapements!BJ12)/RunSize_by_Stock!BJ11,"")</f>
        <v>0.10967897367945552</v>
      </c>
      <c r="BK59">
        <f>IF(RunSize_by_Stock!BK11&gt;0,(RunSize_by_Stock!BK11-Escapements!BK12)/RunSize_by_Stock!BK11,"")</f>
        <v>3.1890660592255128E-2</v>
      </c>
      <c r="BL59">
        <f>IF(RunSize_by_Stock!BL11&gt;0,(RunSize_by_Stock!BL11-Escapements!BL12)/RunSize_by_Stock!BL11,"")</f>
        <v>9.8360655737704916E-2</v>
      </c>
      <c r="BM59">
        <f>IF(RunSize_by_Stock!BM11&gt;0,(RunSize_by_Stock!BM11-Escapements!BM12)/RunSize_by_Stock!BM11,"")</f>
        <v>9.0909090909090912E-2</v>
      </c>
      <c r="BN59">
        <f>IF(RunSize_by_Stock!BN11&gt;0,(RunSize_by_Stock!BN11-Escapements!BN12)/RunSize_by_Stock!BN11,"")</f>
        <v>0.11142785313953545</v>
      </c>
      <c r="BO59">
        <f>IF(RunSize_by_Stock!BO11&gt;0,(RunSize_by_Stock!BO11-Escapements!BO12)/RunSize_by_Stock!BO11,"")</f>
        <v>8.104728386908798E-2</v>
      </c>
      <c r="BP59">
        <f>IF(RunSize_by_Stock!BP11&gt;0,(RunSize_by_Stock!BP11-Escapements!BP12)/RunSize_by_Stock!BP11,"")</f>
        <v>8.0562695890226188E-2</v>
      </c>
      <c r="BQ59">
        <f>IF(RunSize_by_Stock!BQ11&gt;0,(RunSize_by_Stock!BQ11-Escapements!BQ12)/RunSize_by_Stock!BQ11,"")</f>
        <v>5.1594003708288039E-2</v>
      </c>
      <c r="BR59">
        <f>IF(RunSize_by_Stock!BR11&gt;0,(RunSize_by_Stock!BR11-Escapements!BR12)/RunSize_by_Stock!BR11,"")</f>
        <v>0.21105898605303375</v>
      </c>
      <c r="BS59">
        <f>IF(RunSize_by_Stock!BS11&gt;0,(RunSize_by_Stock!BS11-Escapements!BS12)/RunSize_by_Stock!BS11,"")</f>
        <v>7.969279387026551E-2</v>
      </c>
      <c r="BT59">
        <f>IF(RunSize_by_Stock!BT11&gt;0,(RunSize_by_Stock!BT11-Escapements!BT12)/RunSize_by_Stock!BT11,"")</f>
        <v>7.4708950409206235E-2</v>
      </c>
      <c r="BU59">
        <f>IF(RunSize_by_Stock!BU11&gt;0,(RunSize_by_Stock!BU11-Escapements!BU12)/RunSize_by_Stock!BU11,"")</f>
        <v>8.7956328425603539E-2</v>
      </c>
      <c r="BV59">
        <f>IF(RunSize_by_Stock!BV11&gt;0,(RunSize_by_Stock!BV11-Escapements!BV12)/RunSize_by_Stock!BV11,"")</f>
        <v>0.13333605215542432</v>
      </c>
      <c r="BW59">
        <f>IF(RunSize_by_Stock!BW11&gt;0,(RunSize_by_Stock!BW11-Escapements!BW12)/RunSize_by_Stock!BW11,"")</f>
        <v>0.15700930760285267</v>
      </c>
      <c r="BX59">
        <f>IF(RunSize_by_Stock!BX11&gt;0,(RunSize_by_Stock!BX11-Escapements!BX12)/RunSize_by_Stock!BX11,"")</f>
        <v>0.16666666666666666</v>
      </c>
      <c r="BY59">
        <f>IF(RunSize_by_Stock!BY11&gt;0,(RunSize_by_Stock!BY11-Escapements!BY12)/RunSize_by_Stock!BY11,"")</f>
        <v>0.21169515947607051</v>
      </c>
      <c r="BZ59">
        <f>IF(RunSize_by_Stock!BZ11&gt;0,(RunSize_by_Stock!BZ11-Escapements!BZ12)/RunSize_by_Stock!BZ11,"")</f>
        <v>0.21093545021912591</v>
      </c>
      <c r="CA59">
        <f>IF(RunSize_by_Stock!CA11&gt;0,(RunSize_by_Stock!CA11-Escapements!CA12)/RunSize_by_Stock!CA11,"")</f>
        <v>0.16107382550335569</v>
      </c>
      <c r="CB59">
        <f>IF(RunSize_by_Stock!CB11&gt;0,(RunSize_by_Stock!CB11-Escapements!CB12)/RunSize_by_Stock!CB11,"")</f>
        <v>8.0916540223056749E-2</v>
      </c>
      <c r="CC59">
        <f>IF(RunSize_by_Stock!CC11&gt;0,(RunSize_by_Stock!CC11-Escapements!CC12)/RunSize_by_Stock!CC11,"")</f>
        <v>0.51219144680118167</v>
      </c>
      <c r="CD59" t="str">
        <f>IF(RunSize_by_Stock!CD11&gt;0,(RunSize_by_Stock!CD11-Escapements!CD12)/RunSize_by_Stock!CD11,"")</f>
        <v/>
      </c>
      <c r="CE59">
        <f>IF(RunSize_by_Stock!CE11&gt;0,(RunSize_by_Stock!CE11-Escapements!CE12)/RunSize_by_Stock!CE11,"")</f>
        <v>7.3269351910722105E-2</v>
      </c>
      <c r="CF59">
        <f>IF(RunSize_by_Stock!CF11&gt;0,(RunSize_by_Stock!CF11-Escapements!CF12)/RunSize_by_Stock!CF11,"")</f>
        <v>8.4370348007955301E-2</v>
      </c>
      <c r="CG59">
        <f>IF(RunSize_by_Stock!CG11&gt;0,(RunSize_by_Stock!CG11-Escapements!CG12)/RunSize_by_Stock!CG11,"")</f>
        <v>7.4487494086923942E-2</v>
      </c>
      <c r="CH59">
        <f t="shared" si="3"/>
        <v>0.14961183116704541</v>
      </c>
    </row>
    <row r="60" spans="1:86" x14ac:dyDescent="0.55000000000000004">
      <c r="A60">
        <f t="shared" si="2"/>
        <v>1989</v>
      </c>
      <c r="B60">
        <f>IF(RunSize_by_Stock!B12&gt;0,(RunSize_by_Stock!B12-Escapements!B13)/RunSize_by_Stock!B12,"")</f>
        <v>0.19047619047619047</v>
      </c>
      <c r="C60">
        <f>IF(RunSize_by_Stock!C12&gt;0,(RunSize_by_Stock!C12-Escapements!C13)/RunSize_by_Stock!C12,"")</f>
        <v>0.22203205227944608</v>
      </c>
      <c r="D60">
        <f>IF(RunSize_by_Stock!D12&gt;0,(RunSize_by_Stock!D12-Escapements!D13)/RunSize_by_Stock!D12,"")</f>
        <v>0.19354838709677419</v>
      </c>
      <c r="E60">
        <f>IF(RunSize_by_Stock!E12&gt;0,(RunSize_by_Stock!E12-Escapements!E13)/RunSize_by_Stock!E12,"")</f>
        <v>0.21052631578947367</v>
      </c>
      <c r="F60">
        <f>IF(RunSize_by_Stock!F12&gt;0,(RunSize_by_Stock!F12-Escapements!F13)/RunSize_by_Stock!F12,"")</f>
        <v>0.20886075949367089</v>
      </c>
      <c r="G60">
        <f>IF(RunSize_by_Stock!G12&gt;0,(RunSize_by_Stock!G12-Escapements!G13)/RunSize_by_Stock!G12,"")</f>
        <v>0.21169980927977017</v>
      </c>
      <c r="H60">
        <f>IF(RunSize_by_Stock!H12&gt;0,(RunSize_by_Stock!H12-Escapements!H13)/RunSize_by_Stock!H12,"")</f>
        <v>0.2</v>
      </c>
      <c r="I60">
        <f>IF(RunSize_by_Stock!I12&gt;0,(RunSize_by_Stock!I12-Escapements!I13)/RunSize_by_Stock!I12,"")</f>
        <v>0.20634920634920634</v>
      </c>
      <c r="J60">
        <f>IF(RunSize_by_Stock!J12&gt;0,(RunSize_by_Stock!J12-Escapements!J13)/RunSize_by_Stock!J12,"")</f>
        <v>0.20159680638722555</v>
      </c>
      <c r="K60">
        <f>IF(RunSize_by_Stock!K12&gt;0,(RunSize_by_Stock!K12-Escapements!K13)/RunSize_by_Stock!K12,"")</f>
        <v>0.21052631578947367</v>
      </c>
      <c r="L60">
        <f>IF(RunSize_by_Stock!L12&gt;0,(RunSize_by_Stock!L12-Escapements!L13)/RunSize_by_Stock!L12,"")</f>
        <v>0.205353408615642</v>
      </c>
      <c r="M60">
        <f>IF(RunSize_by_Stock!M12&gt;0,(RunSize_by_Stock!M12-Escapements!M13)/RunSize_by_Stock!M12,"")</f>
        <v>0.21965317919075145</v>
      </c>
      <c r="N60">
        <f>IF(RunSize_by_Stock!N12&gt;0,(RunSize_by_Stock!N12-Escapements!N13)/RunSize_by_Stock!N12,"")</f>
        <v>0.2257065427797135</v>
      </c>
      <c r="O60">
        <f>IF(RunSize_by_Stock!O12&gt;0,(RunSize_by_Stock!O12-Escapements!O13)/RunSize_by_Stock!O12,"")</f>
        <v>0.24012352329711942</v>
      </c>
      <c r="P60">
        <f>IF(RunSize_by_Stock!P12&gt;0,(RunSize_by_Stock!P12-Escapements!P13)/RunSize_by_Stock!P12,"")</f>
        <v>0.21828903063731661</v>
      </c>
      <c r="Q60">
        <f>IF(RunSize_by_Stock!Q12&gt;0,(RunSize_by_Stock!Q12-Escapements!Q13)/RunSize_by_Stock!Q12,"")</f>
        <v>0.22220999205630429</v>
      </c>
      <c r="R60">
        <f>IF(RunSize_by_Stock!R12&gt;0,(RunSize_by_Stock!R12-Escapements!R13)/RunSize_by_Stock!R12,"")</f>
        <v>0.20634920634920634</v>
      </c>
      <c r="S60">
        <f>IF(RunSize_by_Stock!S12&gt;0,(RunSize_by_Stock!S12-Escapements!S13)/RunSize_by_Stock!S12,"")</f>
        <v>0.20545977011494254</v>
      </c>
      <c r="T60">
        <f>IF(RunSize_by_Stock!T12&gt;0,(RunSize_by_Stock!T12-Escapements!T13)/RunSize_by_Stock!T12,"")</f>
        <v>0.17428087986463622</v>
      </c>
      <c r="U60">
        <f>IF(RunSize_by_Stock!U12&gt;0,(RunSize_by_Stock!U12-Escapements!U13)/RunSize_by_Stock!U12,"")</f>
        <v>0.19090867625140384</v>
      </c>
      <c r="V60">
        <f>IF(RunSize_by_Stock!V12&gt;0,(RunSize_by_Stock!V12-Escapements!V13)/RunSize_by_Stock!V12,"")</f>
        <v>0.24528301886792453</v>
      </c>
      <c r="W60">
        <f>IF(RunSize_by_Stock!W12&gt;0,(RunSize_by_Stock!W12-Escapements!W13)/RunSize_by_Stock!W12,"")</f>
        <v>0.19354838709677419</v>
      </c>
      <c r="X60">
        <f>IF(RunSize_by_Stock!X12&gt;0,(RunSize_by_Stock!X12-Escapements!X13)/RunSize_by_Stock!X12,"")</f>
        <v>0.19163463144501253</v>
      </c>
      <c r="Y60">
        <f>IF(RunSize_by_Stock!Y12&gt;0,(RunSize_by_Stock!Y12-Escapements!Y13)/RunSize_by_Stock!Y12,"")</f>
        <v>0.17695473251028807</v>
      </c>
      <c r="Z60">
        <f>IF(RunSize_by_Stock!Z12&gt;0,(RunSize_by_Stock!Z12-Escapements!Z13)/RunSize_by_Stock!Z12,"")</f>
        <v>0.32720340883606192</v>
      </c>
      <c r="AA60">
        <f>IF(RunSize_by_Stock!AA12&gt;0,(RunSize_by_Stock!AA12-Escapements!AA13)/RunSize_by_Stock!AA12,"")</f>
        <v>0.23533289386947923</v>
      </c>
      <c r="AB60">
        <f>IF(RunSize_by_Stock!AB12&gt;0,(RunSize_by_Stock!AB12-Escapements!AB13)/RunSize_by_Stock!AB12,"")</f>
        <v>0.18032786885245902</v>
      </c>
      <c r="AC60">
        <f>IF(RunSize_by_Stock!AC12&gt;0,(RunSize_by_Stock!AC12-Escapements!AC13)/RunSize_by_Stock!AC12,"")</f>
        <v>0.19299750415191538</v>
      </c>
      <c r="AD60">
        <f>IF(RunSize_by_Stock!AD12&gt;0,(RunSize_by_Stock!AD12-Escapements!AD13)/RunSize_by_Stock!AD12,"")</f>
        <v>0.19521174129828503</v>
      </c>
      <c r="AE60">
        <f>IF(RunSize_by_Stock!AE12&gt;0,(RunSize_by_Stock!AE12-Escapements!AE13)/RunSize_by_Stock!AE12,"")</f>
        <v>0.20066499965094725</v>
      </c>
      <c r="AF60">
        <f>IF(RunSize_by_Stock!AF12&gt;0,(RunSize_by_Stock!AF12-Escapements!AF13)/RunSize_by_Stock!AF12,"")</f>
        <v>0.18032786885245902</v>
      </c>
      <c r="AG60" t="str">
        <f>IF(RunSize_by_Stock!AG12&gt;0,(RunSize_by_Stock!AG12-Escapements!AG13)/RunSize_by_Stock!AG12,"")</f>
        <v/>
      </c>
      <c r="AH60">
        <f>IF(RunSize_by_Stock!AH12&gt;0,(RunSize_by_Stock!AH12-Escapements!AH13)/RunSize_by_Stock!AH12,"")</f>
        <v>0.21052631578947367</v>
      </c>
      <c r="AI60">
        <f>IF(RunSize_by_Stock!AI12&gt;0,(RunSize_by_Stock!AI12-Escapements!AI13)/RunSize_by_Stock!AI12,"")</f>
        <v>0.23076923076923078</v>
      </c>
      <c r="AJ60">
        <f>IF(RunSize_by_Stock!AJ12&gt;0,(RunSize_by_Stock!AJ12-Escapements!AJ13)/RunSize_by_Stock!AJ12,"")</f>
        <v>0.375</v>
      </c>
      <c r="AK60">
        <f>IF(RunSize_by_Stock!AK12&gt;0,(RunSize_by_Stock!AK12-Escapements!AK13)/RunSize_by_Stock!AK12,"")</f>
        <v>0.22746781115879827</v>
      </c>
      <c r="AL60">
        <f>IF(RunSize_by_Stock!AL12&gt;0,(RunSize_by_Stock!AL12-Escapements!AL13)/RunSize_by_Stock!AL12,"")</f>
        <v>0.29313280363223609</v>
      </c>
      <c r="AM60">
        <f>IF(RunSize_by_Stock!AM12&gt;0,(RunSize_by_Stock!AM12-Escapements!AM13)/RunSize_by_Stock!AM12,"")</f>
        <v>0.16715328467153284</v>
      </c>
      <c r="AN60">
        <f>IF(RunSize_by_Stock!AN12&gt;0,(RunSize_by_Stock!AN12-Escapements!AN13)/RunSize_by_Stock!AN12,"")</f>
        <v>0.15680166147455868</v>
      </c>
      <c r="AO60">
        <f>IF(RunSize_by_Stock!AO12&gt;0,(RunSize_by_Stock!AO12-Escapements!AO13)/RunSize_by_Stock!AO12,"")</f>
        <v>0.15584415584415584</v>
      </c>
      <c r="AP60">
        <f>IF(RunSize_by_Stock!AP12&gt;0,(RunSize_by_Stock!AP12-Escapements!AP13)/RunSize_by_Stock!AP12,"")</f>
        <v>0.18546365914786966</v>
      </c>
      <c r="AQ60">
        <f>IF(RunSize_by_Stock!AQ12&gt;0,(RunSize_by_Stock!AQ12-Escapements!AQ13)/RunSize_by_Stock!AQ12,"")</f>
        <v>0.21726190476190477</v>
      </c>
      <c r="AR60">
        <f>IF(RunSize_by_Stock!AR12&gt;0,(RunSize_by_Stock!AR12-Escapements!AR13)/RunSize_by_Stock!AR12,"")</f>
        <v>0.19650357440986141</v>
      </c>
      <c r="AS60">
        <f>IF(RunSize_by_Stock!AS12&gt;0,(RunSize_by_Stock!AS12-Escapements!AS13)/RunSize_by_Stock!AS12,"")</f>
        <v>0.16072473746823263</v>
      </c>
      <c r="AT60">
        <f>IF(RunSize_by_Stock!AT12&gt;0,(RunSize_by_Stock!AT12-Escapements!AT13)/RunSize_by_Stock!AT12,"")</f>
        <v>0.25815526440893538</v>
      </c>
      <c r="AU60">
        <f>IF(RunSize_by_Stock!AU12&gt;0,(RunSize_by_Stock!AU12-Escapements!AU13)/RunSize_by_Stock!AU12,"")</f>
        <v>0.18107667210440456</v>
      </c>
      <c r="AV60">
        <f>IF(RunSize_by_Stock!AV12&gt;0,(RunSize_by_Stock!AV12-Escapements!AV13)/RunSize_by_Stock!AV12,"")</f>
        <v>0.23879188296366211</v>
      </c>
      <c r="AW60">
        <f>IF(RunSize_by_Stock!AW12&gt;0,(RunSize_by_Stock!AW12-Escapements!AW13)/RunSize_by_Stock!AW12,"")</f>
        <v>0.29057888762769579</v>
      </c>
      <c r="AX60">
        <f>IF(RunSize_by_Stock!AX12&gt;0,(RunSize_by_Stock!AX12-Escapements!AX13)/RunSize_by_Stock!AX12,"")</f>
        <v>0.22330097087378642</v>
      </c>
      <c r="AY60">
        <f>IF(RunSize_by_Stock!AY12&gt;0,(RunSize_by_Stock!AY12-Escapements!AY13)/RunSize_by_Stock!AY12,"")</f>
        <v>0.24339865324960278</v>
      </c>
      <c r="AZ60">
        <f>IF(RunSize_by_Stock!AZ12&gt;0,(RunSize_by_Stock!AZ12-Escapements!AZ13)/RunSize_by_Stock!AZ12,"")</f>
        <v>0.11159611487108009</v>
      </c>
      <c r="BA60">
        <f>IF(RunSize_by_Stock!BA12&gt;0,(RunSize_by_Stock!BA12-Escapements!BA13)/RunSize_by_Stock!BA12,"")</f>
        <v>0.2107843137254902</v>
      </c>
      <c r="BB60">
        <f>IF(RunSize_by_Stock!BB12&gt;0,(RunSize_by_Stock!BB12-Escapements!BB13)/RunSize_by_Stock!BB12,"")</f>
        <v>0.21099554234769688</v>
      </c>
      <c r="BC60">
        <f>IF(RunSize_by_Stock!BC12&gt;0,(RunSize_by_Stock!BC12-Escapements!BC13)/RunSize_by_Stock!BC12,"")</f>
        <v>0.2058239576439444</v>
      </c>
      <c r="BD60">
        <f>IF(RunSize_by_Stock!BD12&gt;0,(RunSize_by_Stock!BD12-Escapements!BD13)/RunSize_by_Stock!BD12,"")</f>
        <v>0.20648259303721489</v>
      </c>
      <c r="BE60">
        <f>IF(RunSize_by_Stock!BE12&gt;0,(RunSize_by_Stock!BE12-Escapements!BE13)/RunSize_by_Stock!BE12,"")</f>
        <v>0.24299634591961022</v>
      </c>
      <c r="BF60">
        <f>IF(RunSize_by_Stock!BF12&gt;0,(RunSize_by_Stock!BF12-Escapements!BF13)/RunSize_by_Stock!BF12,"")</f>
        <v>0.16393442622950818</v>
      </c>
      <c r="BG60">
        <f>IF(RunSize_by_Stock!BG12&gt;0,(RunSize_by_Stock!BG12-Escapements!BG13)/RunSize_by_Stock!BG12,"")</f>
        <v>0.29577464788732394</v>
      </c>
      <c r="BH60">
        <f>IF(RunSize_by_Stock!BH12&gt;0,(RunSize_by_Stock!BH12-Escapements!BH13)/RunSize_by_Stock!BH12,"")</f>
        <v>0.14309764309764308</v>
      </c>
      <c r="BI60">
        <f>IF(RunSize_by_Stock!BI12&gt;0,(RunSize_by_Stock!BI12-Escapements!BI13)/RunSize_by_Stock!BI12,"")</f>
        <v>1.4111335717617789E-2</v>
      </c>
      <c r="BJ60">
        <f>IF(RunSize_by_Stock!BJ12&gt;0,(RunSize_by_Stock!BJ12-Escapements!BJ13)/RunSize_by_Stock!BJ12,"")</f>
        <v>9.5522388059701493E-2</v>
      </c>
      <c r="BK60">
        <f>IF(RunSize_by_Stock!BK12&gt;0,(RunSize_by_Stock!BK12-Escapements!BK13)/RunSize_by_Stock!BK12,"")</f>
        <v>8.3129584352078234E-2</v>
      </c>
      <c r="BL60">
        <f>IF(RunSize_by_Stock!BL12&gt;0,(RunSize_by_Stock!BL12-Escapements!BL13)/RunSize_by_Stock!BL12,"")</f>
        <v>0.16666666666666666</v>
      </c>
      <c r="BM60">
        <f>IF(RunSize_by_Stock!BM12&gt;0,(RunSize_by_Stock!BM12-Escapements!BM13)/RunSize_by_Stock!BM12,"")</f>
        <v>0.16666666666666666</v>
      </c>
      <c r="BN60">
        <f>IF(RunSize_by_Stock!BN12&gt;0,(RunSize_by_Stock!BN12-Escapements!BN13)/RunSize_by_Stock!BN12,"")</f>
        <v>0.25049065574684287</v>
      </c>
      <c r="BO60">
        <f>IF(RunSize_by_Stock!BO12&gt;0,(RunSize_by_Stock!BO12-Escapements!BO13)/RunSize_by_Stock!BO12,"")</f>
        <v>0.23282650391896198</v>
      </c>
      <c r="BP60">
        <f>IF(RunSize_by_Stock!BP12&gt;0,(RunSize_by_Stock!BP12-Escapements!BP13)/RunSize_by_Stock!BP12,"")</f>
        <v>0.23062012672063681</v>
      </c>
      <c r="BQ60">
        <f>IF(RunSize_by_Stock!BQ12&gt;0,(RunSize_by_Stock!BQ12-Escapements!BQ13)/RunSize_by_Stock!BQ12,"")</f>
        <v>1.1614802836803002E-2</v>
      </c>
      <c r="BR60">
        <f>IF(RunSize_by_Stock!BR12&gt;0,(RunSize_by_Stock!BR12-Escapements!BR13)/RunSize_by_Stock!BR12,"")</f>
        <v>0.17691679007984781</v>
      </c>
      <c r="BS60">
        <f>IF(RunSize_by_Stock!BS12&gt;0,(RunSize_by_Stock!BS12-Escapements!BS13)/RunSize_by_Stock!BS12,"")</f>
        <v>0.29196813443731234</v>
      </c>
      <c r="BT60">
        <f>IF(RunSize_by_Stock!BT12&gt;0,(RunSize_by_Stock!BT12-Escapements!BT13)/RunSize_by_Stock!BT12,"")</f>
        <v>0.29691291636229711</v>
      </c>
      <c r="BU60">
        <f>IF(RunSize_by_Stock!BU12&gt;0,(RunSize_by_Stock!BU12-Escapements!BU13)/RunSize_by_Stock!BU12,"")</f>
        <v>0.27412995848104638</v>
      </c>
      <c r="BV60">
        <f>IF(RunSize_by_Stock!BV12&gt;0,(RunSize_by_Stock!BV12-Escapements!BV13)/RunSize_by_Stock!BV12,"")</f>
        <v>0.21261890367253816</v>
      </c>
      <c r="BW60">
        <f>IF(RunSize_by_Stock!BW12&gt;0,(RunSize_by_Stock!BW12-Escapements!BW13)/RunSize_by_Stock!BW12,"")</f>
        <v>0.21726850812620924</v>
      </c>
      <c r="BX60">
        <f>IF(RunSize_by_Stock!BX12&gt;0,(RunSize_by_Stock!BX12-Escapements!BX13)/RunSize_by_Stock!BX12,"")</f>
        <v>0.1856036112108175</v>
      </c>
      <c r="BY60">
        <f>IF(RunSize_by_Stock!BY12&gt;0,(RunSize_by_Stock!BY12-Escapements!BY13)/RunSize_by_Stock!BY12,"")</f>
        <v>0.16666666666666666</v>
      </c>
      <c r="BZ60">
        <f>IF(RunSize_by_Stock!BZ12&gt;0,(RunSize_by_Stock!BZ12-Escapements!BZ13)/RunSize_by_Stock!BZ12,"")</f>
        <v>0.17615854106886675</v>
      </c>
      <c r="CA60">
        <f>IF(RunSize_by_Stock!CA12&gt;0,(RunSize_by_Stock!CA12-Escapements!CA13)/RunSize_by_Stock!CA12,"")</f>
        <v>0.16046584752566773</v>
      </c>
      <c r="CB60">
        <f>IF(RunSize_by_Stock!CB12&gt;0,(RunSize_by_Stock!CB12-Escapements!CB13)/RunSize_by_Stock!CB12,"")</f>
        <v>0.30033035374506101</v>
      </c>
      <c r="CC60">
        <f>IF(RunSize_by_Stock!CC12&gt;0,(RunSize_by_Stock!CC12-Escapements!CC13)/RunSize_by_Stock!CC12,"")</f>
        <v>0.18140867542232902</v>
      </c>
      <c r="CD60" t="str">
        <f>IF(RunSize_by_Stock!CD12&gt;0,(RunSize_by_Stock!CD12-Escapements!CD13)/RunSize_by_Stock!CD12,"")</f>
        <v/>
      </c>
      <c r="CE60">
        <f>IF(RunSize_by_Stock!CE12&gt;0,(RunSize_by_Stock!CE12-Escapements!CE13)/RunSize_by_Stock!CE12,"")</f>
        <v>0.1481207832103256</v>
      </c>
      <c r="CF60">
        <f>IF(RunSize_by_Stock!CF12&gt;0,(RunSize_by_Stock!CF12-Escapements!CF13)/RunSize_by_Stock!CF12,"")</f>
        <v>0.17907823023356925</v>
      </c>
      <c r="CG60">
        <f>IF(RunSize_by_Stock!CG12&gt;0,(RunSize_by_Stock!CG12-Escapements!CG13)/RunSize_by_Stock!CG12,"")</f>
        <v>0.29686730296091407</v>
      </c>
      <c r="CH60">
        <f t="shared" si="3"/>
        <v>0.20491509898213137</v>
      </c>
    </row>
    <row r="61" spans="1:86" x14ac:dyDescent="0.55000000000000004">
      <c r="A61">
        <f t="shared" si="2"/>
        <v>1990</v>
      </c>
      <c r="B61">
        <f>IF(RunSize_by_Stock!B13&gt;0,(RunSize_by_Stock!B13-Escapements!B14)/RunSize_by_Stock!B13,"")</f>
        <v>9.3655589123867067E-2</v>
      </c>
      <c r="C61">
        <f>IF(RunSize_by_Stock!C13&gt;0,(RunSize_by_Stock!C13-Escapements!C14)/RunSize_by_Stock!C13,"")</f>
        <v>0.1166077738515901</v>
      </c>
      <c r="D61">
        <f>IF(RunSize_by_Stock!D13&gt;0,(RunSize_by_Stock!D13-Escapements!D14)/RunSize_by_Stock!D13,"")</f>
        <v>9.0909090909090912E-2</v>
      </c>
      <c r="E61">
        <f>IF(RunSize_by_Stock!E13&gt;0,(RunSize_by_Stock!E13-Escapements!E14)/RunSize_by_Stock!E13,"")</f>
        <v>9.0909090909090912E-2</v>
      </c>
      <c r="F61">
        <f>IF(RunSize_by_Stock!F13&gt;0,(RunSize_by_Stock!F13-Escapements!F14)/RunSize_by_Stock!F13,"")</f>
        <v>9.7162510748065353E-2</v>
      </c>
      <c r="G61">
        <f>IF(RunSize_by_Stock!G13&gt;0,(RunSize_by_Stock!G13-Escapements!G14)/RunSize_by_Stock!G13,"")</f>
        <v>9.0909090909090912E-2</v>
      </c>
      <c r="H61">
        <f>IF(RunSize_by_Stock!H13&gt;0,(RunSize_by_Stock!H13-Escapements!H14)/RunSize_by_Stock!H13,"")</f>
        <v>9.0909090909090912E-2</v>
      </c>
      <c r="I61">
        <f>IF(RunSize_by_Stock!I13&gt;0,(RunSize_by_Stock!I13-Escapements!I14)/RunSize_by_Stock!I13,"")</f>
        <v>9.90990990990991E-2</v>
      </c>
      <c r="J61">
        <f>IF(RunSize_by_Stock!J13&gt;0,(RunSize_by_Stock!J13-Escapements!J14)/RunSize_by_Stock!J13,"")</f>
        <v>9.5840867992766726E-2</v>
      </c>
      <c r="K61">
        <f>IF(RunSize_by_Stock!K13&gt;0,(RunSize_by_Stock!K13-Escapements!K14)/RunSize_by_Stock!K13,"")</f>
        <v>9.90990990990991E-2</v>
      </c>
      <c r="L61">
        <f>IF(RunSize_by_Stock!L13&gt;0,(RunSize_by_Stock!L13-Escapements!L14)/RunSize_by_Stock!L13,"")</f>
        <v>9.66576332429991E-2</v>
      </c>
      <c r="M61">
        <f>IF(RunSize_by_Stock!M13&gt;0,(RunSize_by_Stock!M13-Escapements!M14)/RunSize_by_Stock!M13,"")</f>
        <v>0.1</v>
      </c>
      <c r="N61">
        <f>IF(RunSize_by_Stock!N13&gt;0,(RunSize_by_Stock!N13-Escapements!N14)/RunSize_by_Stock!N13,"")</f>
        <v>0.11190053285968028</v>
      </c>
      <c r="O61">
        <f>IF(RunSize_by_Stock!O13&gt;0,(RunSize_by_Stock!O13-Escapements!O14)/RunSize_by_Stock!O13,"")</f>
        <v>0.12563217421360776</v>
      </c>
      <c r="P61">
        <f>IF(RunSize_by_Stock!P13&gt;0,(RunSize_by_Stock!P13-Escapements!P14)/RunSize_by_Stock!P13,"")</f>
        <v>9.9690308684013823E-2</v>
      </c>
      <c r="Q61">
        <f>IF(RunSize_by_Stock!Q13&gt;0,(RunSize_by_Stock!Q13-Escapements!Q14)/RunSize_by_Stock!Q13,"")</f>
        <v>0.11647593925228729</v>
      </c>
      <c r="R61">
        <f>IF(RunSize_by_Stock!R13&gt;0,(RunSize_by_Stock!R13-Escapements!R14)/RunSize_by_Stock!R13,"")</f>
        <v>0.13043478260869565</v>
      </c>
      <c r="S61">
        <f>IF(RunSize_by_Stock!S13&gt;0,(RunSize_by_Stock!S13-Escapements!S14)/RunSize_by_Stock!S13,"")</f>
        <v>0.20242009733000133</v>
      </c>
      <c r="T61">
        <f>IF(RunSize_by_Stock!T13&gt;0,(RunSize_by_Stock!T13-Escapements!T14)/RunSize_by_Stock!T13,"")</f>
        <v>0.18207282913165265</v>
      </c>
      <c r="U61" t="str">
        <f>IF(RunSize_by_Stock!U13&gt;0,(RunSize_by_Stock!U13-Escapements!U14)/RunSize_by_Stock!U13,"")</f>
        <v/>
      </c>
      <c r="V61">
        <f>IF(RunSize_by_Stock!V13&gt;0,(RunSize_by_Stock!V13-Escapements!V14)/RunSize_by_Stock!V13,"")</f>
        <v>0.13793103448275862</v>
      </c>
      <c r="W61">
        <f>IF(RunSize_by_Stock!W13&gt;0,(RunSize_by_Stock!W13-Escapements!W14)/RunSize_by_Stock!W13,"")</f>
        <v>0.34815950920245398</v>
      </c>
      <c r="X61">
        <f>IF(RunSize_by_Stock!X13&gt;0,(RunSize_by_Stock!X13-Escapements!X14)/RunSize_by_Stock!X13,"")</f>
        <v>0.13539529780699538</v>
      </c>
      <c r="Y61">
        <f>IF(RunSize_by_Stock!Y13&gt;0,(RunSize_by_Stock!Y13-Escapements!Y14)/RunSize_by_Stock!Y13,"")</f>
        <v>0.24127465857359637</v>
      </c>
      <c r="Z61">
        <f>IF(RunSize_by_Stock!Z13&gt;0,(RunSize_by_Stock!Z13-Escapements!Z14)/RunSize_by_Stock!Z13,"")</f>
        <v>0.29466013890470227</v>
      </c>
      <c r="AA61">
        <f>IF(RunSize_by_Stock!AA13&gt;0,(RunSize_by_Stock!AA13-Escapements!AA14)/RunSize_by_Stock!AA13,"")</f>
        <v>0.21777221526908636</v>
      </c>
      <c r="AB61">
        <f>IF(RunSize_by_Stock!AB13&gt;0,(RunSize_by_Stock!AB13-Escapements!AB14)/RunSize_by_Stock!AB13,"")</f>
        <v>0.15611814345991562</v>
      </c>
      <c r="AC61">
        <f>IF(RunSize_by_Stock!AC13&gt;0,(RunSize_by_Stock!AC13-Escapements!AC14)/RunSize_by_Stock!AC13,"")</f>
        <v>0.13271751469637683</v>
      </c>
      <c r="AD61">
        <f>IF(RunSize_by_Stock!AD13&gt;0,(RunSize_by_Stock!AD13-Escapements!AD14)/RunSize_by_Stock!AD13,"")</f>
        <v>0.34839436573745841</v>
      </c>
      <c r="AE61">
        <f>IF(RunSize_by_Stock!AE13&gt;0,(RunSize_by_Stock!AE13-Escapements!AE14)/RunSize_by_Stock!AE13,"")</f>
        <v>0.12233399460477858</v>
      </c>
      <c r="AF61">
        <f>IF(RunSize_by_Stock!AF13&gt;0,(RunSize_by_Stock!AF13-Escapements!AF14)/RunSize_by_Stock!AF13,"")</f>
        <v>0.14383561643835616</v>
      </c>
      <c r="AG61" t="str">
        <f>IF(RunSize_by_Stock!AG13&gt;0,(RunSize_by_Stock!AG13-Escapements!AG14)/RunSize_by_Stock!AG13,"")</f>
        <v/>
      </c>
      <c r="AH61">
        <f>IF(RunSize_by_Stock!AH13&gt;0,(RunSize_by_Stock!AH13-Escapements!AH14)/RunSize_by_Stock!AH13,"")</f>
        <v>0.19871794871794871</v>
      </c>
      <c r="AI61">
        <f>IF(RunSize_by_Stock!AI13&gt;0,(RunSize_by_Stock!AI13-Escapements!AI14)/RunSize_by_Stock!AI13,"")</f>
        <v>0.41471571906354515</v>
      </c>
      <c r="AJ61">
        <f>IF(RunSize_by_Stock!AJ13&gt;0,(RunSize_by_Stock!AJ13-Escapements!AJ14)/RunSize_by_Stock!AJ13,"")</f>
        <v>0.31034482758620691</v>
      </c>
      <c r="AK61">
        <f>IF(RunSize_by_Stock!AK13&gt;0,(RunSize_by_Stock!AK13-Escapements!AK14)/RunSize_by_Stock!AK13,"")</f>
        <v>0.20634920634920634</v>
      </c>
      <c r="AL61">
        <f>IF(RunSize_by_Stock!AL13&gt;0,(RunSize_by_Stock!AL13-Escapements!AL14)/RunSize_by_Stock!AL13,"")</f>
        <v>0.24082140634723087</v>
      </c>
      <c r="AM61">
        <f>IF(RunSize_by_Stock!AM13&gt;0,(RunSize_by_Stock!AM13-Escapements!AM14)/RunSize_by_Stock!AM13,"")</f>
        <v>0.21540656205420827</v>
      </c>
      <c r="AN61">
        <f>IF(RunSize_by_Stock!AN13&gt;0,(RunSize_by_Stock!AN13-Escapements!AN14)/RunSize_by_Stock!AN13,"")</f>
        <v>0.16286149162861491</v>
      </c>
      <c r="AO61">
        <f>IF(RunSize_by_Stock!AO13&gt;0,(RunSize_by_Stock!AO13-Escapements!AO14)/RunSize_by_Stock!AO13,"")</f>
        <v>0.16666666666666666</v>
      </c>
      <c r="AP61">
        <f>IF(RunSize_by_Stock!AP13&gt;0,(RunSize_by_Stock!AP13-Escapements!AP14)/RunSize_by_Stock!AP13,"")</f>
        <v>0.2857142857142857</v>
      </c>
      <c r="AQ61">
        <f>IF(RunSize_by_Stock!AQ13&gt;0,(RunSize_by_Stock!AQ13-Escapements!AQ14)/RunSize_by_Stock!AQ13,"")</f>
        <v>0.19657204070701662</v>
      </c>
      <c r="AR61">
        <f>IF(RunSize_by_Stock!AR13&gt;0,(RunSize_by_Stock!AR13-Escapements!AR14)/RunSize_by_Stock!AR13,"")</f>
        <v>0.1619737907896189</v>
      </c>
      <c r="AS61">
        <f>IF(RunSize_by_Stock!AS13&gt;0,(RunSize_by_Stock!AS13-Escapements!AS14)/RunSize_by_Stock!AS13,"")</f>
        <v>0.1481054622408296</v>
      </c>
      <c r="AT61">
        <f>IF(RunSize_by_Stock!AT13&gt;0,(RunSize_by_Stock!AT13-Escapements!AT14)/RunSize_by_Stock!AT13,"")</f>
        <v>0.27782614558469065</v>
      </c>
      <c r="AU61">
        <f>IF(RunSize_by_Stock!AU13&gt;0,(RunSize_by_Stock!AU13-Escapements!AU14)/RunSize_by_Stock!AU13,"")</f>
        <v>0.20931477516059957</v>
      </c>
      <c r="AV61">
        <f>IF(RunSize_by_Stock!AV13&gt;0,(RunSize_by_Stock!AV13-Escapements!AV14)/RunSize_by_Stock!AV13,"")</f>
        <v>0.16666666666666666</v>
      </c>
      <c r="AW61">
        <f>IF(RunSize_by_Stock!AW13&gt;0,(RunSize_by_Stock!AW13-Escapements!AW14)/RunSize_by_Stock!AW13,"")</f>
        <v>0.27125717266562338</v>
      </c>
      <c r="AX61">
        <f>IF(RunSize_by_Stock!AX13&gt;0,(RunSize_by_Stock!AX13-Escapements!AX14)/RunSize_by_Stock!AX13,"")</f>
        <v>0.24385633270321361</v>
      </c>
      <c r="AY61">
        <f>IF(RunSize_by_Stock!AY13&gt;0,(RunSize_by_Stock!AY13-Escapements!AY14)/RunSize_by_Stock!AY13,"")</f>
        <v>0.24802606842962777</v>
      </c>
      <c r="AZ61">
        <f>IF(RunSize_by_Stock!AZ13&gt;0,(RunSize_by_Stock!AZ13-Escapements!AZ14)/RunSize_by_Stock!AZ13,"")</f>
        <v>0.24746177512536635</v>
      </c>
      <c r="BA61">
        <f>IF(RunSize_by_Stock!BA13&gt;0,(RunSize_by_Stock!BA13-Escapements!BA14)/RunSize_by_Stock!BA13,"")</f>
        <v>0.17647058823529413</v>
      </c>
      <c r="BB61">
        <f>IF(RunSize_by_Stock!BB13&gt;0,(RunSize_by_Stock!BB13-Escapements!BB14)/RunSize_by_Stock!BB13,"")</f>
        <v>0.1763046544428773</v>
      </c>
      <c r="BC61">
        <f>IF(RunSize_by_Stock!BC13&gt;0,(RunSize_by_Stock!BC13-Escapements!BC14)/RunSize_by_Stock!BC13,"")</f>
        <v>0.42757660167130918</v>
      </c>
      <c r="BD61">
        <f>IF(RunSize_by_Stock!BD13&gt;0,(RunSize_by_Stock!BD13-Escapements!BD14)/RunSize_by_Stock!BD13,"")</f>
        <v>0.42780748663101603</v>
      </c>
      <c r="BE61">
        <f>IF(RunSize_by_Stock!BE13&gt;0,(RunSize_by_Stock!BE13-Escapements!BE14)/RunSize_by_Stock!BE13,"")</f>
        <v>0.20543806646525681</v>
      </c>
      <c r="BF61">
        <f>IF(RunSize_by_Stock!BF13&gt;0,(RunSize_by_Stock!BF13-Escapements!BF14)/RunSize_by_Stock!BF13,"")</f>
        <v>0.15254237288135594</v>
      </c>
      <c r="BG61">
        <f>IF(RunSize_by_Stock!BG13&gt;0,(RunSize_by_Stock!BG13-Escapements!BG14)/RunSize_by_Stock!BG13,"")</f>
        <v>0.24242424242424243</v>
      </c>
      <c r="BH61">
        <f>IF(RunSize_by_Stock!BH13&gt;0,(RunSize_by_Stock!BH13-Escapements!BH14)/RunSize_by_Stock!BH13,"")</f>
        <v>0.14939759036144579</v>
      </c>
      <c r="BI61">
        <f>IF(RunSize_by_Stock!BI13&gt;0,(RunSize_by_Stock!BI13-Escapements!BI14)/RunSize_by_Stock!BI13,"")</f>
        <v>1.2042069910292103E-2</v>
      </c>
      <c r="BJ61">
        <f>IF(RunSize_by_Stock!BJ13&gt;0,(RunSize_by_Stock!BJ13-Escapements!BJ14)/RunSize_by_Stock!BJ13,"")</f>
        <v>0.1537010843941537</v>
      </c>
      <c r="BK61">
        <f>IF(RunSize_by_Stock!BK13&gt;0,(RunSize_by_Stock!BK13-Escapements!BK14)/RunSize_by_Stock!BK13,"")</f>
        <v>5.4621848739495799E-2</v>
      </c>
      <c r="BL61">
        <f>IF(RunSize_by_Stock!BL13&gt;0,(RunSize_by_Stock!BL13-Escapements!BL14)/RunSize_by_Stock!BL13,"")</f>
        <v>0.21052631578947367</v>
      </c>
      <c r="BM61" t="str">
        <f>IF(RunSize_by_Stock!BM13&gt;0,(RunSize_by_Stock!BM13-Escapements!BM14)/RunSize_by_Stock!BM13,"")</f>
        <v/>
      </c>
      <c r="BN61">
        <f>IF(RunSize_by_Stock!BN13&gt;0,(RunSize_by_Stock!BN13-Escapements!BN14)/RunSize_by_Stock!BN13,"")</f>
        <v>0.23117197744340637</v>
      </c>
      <c r="BO61">
        <f>IF(RunSize_by_Stock!BO13&gt;0,(RunSize_by_Stock!BO13-Escapements!BO14)/RunSize_by_Stock!BO13,"")</f>
        <v>0.18073189255071392</v>
      </c>
      <c r="BP61">
        <f>IF(RunSize_by_Stock!BP13&gt;0,(RunSize_by_Stock!BP13-Escapements!BP14)/RunSize_by_Stock!BP13,"")</f>
        <v>0.18833122549480169</v>
      </c>
      <c r="BQ61">
        <f>IF(RunSize_by_Stock!BQ13&gt;0,(RunSize_by_Stock!BQ13-Escapements!BQ14)/RunSize_by_Stock!BQ13,"")</f>
        <v>4.9758106738403748E-3</v>
      </c>
      <c r="BR61">
        <f>IF(RunSize_by_Stock!BR13&gt;0,(RunSize_by_Stock!BR13-Escapements!BR14)/RunSize_by_Stock!BR13,"")</f>
        <v>0.24050632911392406</v>
      </c>
      <c r="BS61">
        <f>IF(RunSize_by_Stock!BS13&gt;0,(RunSize_by_Stock!BS13-Escapements!BS14)/RunSize_by_Stock!BS13,"")</f>
        <v>0.20216823780026738</v>
      </c>
      <c r="BT61">
        <f>IF(RunSize_by_Stock!BT13&gt;0,(RunSize_by_Stock!BT13-Escapements!BT14)/RunSize_by_Stock!BT13,"")</f>
        <v>0.25873221216041398</v>
      </c>
      <c r="BU61">
        <f>IF(RunSize_by_Stock!BU13&gt;0,(RunSize_by_Stock!BU13-Escapements!BU14)/RunSize_by_Stock!BU13,"")</f>
        <v>0.21993487943014806</v>
      </c>
      <c r="BV61">
        <f>IF(RunSize_by_Stock!BV13&gt;0,(RunSize_by_Stock!BV13-Escapements!BV14)/RunSize_by_Stock!BV13,"")</f>
        <v>9.8812878975429494E-2</v>
      </c>
      <c r="BW61">
        <f>IF(RunSize_by_Stock!BW13&gt;0,(RunSize_by_Stock!BW13-Escapements!BW14)/RunSize_by_Stock!BW13,"")</f>
        <v>0.13479454118389306</v>
      </c>
      <c r="BX61" t="str">
        <f>IF(RunSize_by_Stock!BX13&gt;0,(RunSize_by_Stock!BX13-Escapements!BX14)/RunSize_by_Stock!BX13,"")</f>
        <v/>
      </c>
      <c r="BY61">
        <f>IF(RunSize_by_Stock!BY13&gt;0,(RunSize_by_Stock!BY13-Escapements!BY14)/RunSize_by_Stock!BY13,"")</f>
        <v>0.24050632911392406</v>
      </c>
      <c r="BZ61">
        <f>IF(RunSize_by_Stock!BZ13&gt;0,(RunSize_by_Stock!BZ13-Escapements!BZ14)/RunSize_by_Stock!BZ13,"")</f>
        <v>0.24242424242424243</v>
      </c>
      <c r="CA61" t="str">
        <f>IF(RunSize_by_Stock!CA13&gt;0,(RunSize_by_Stock!CA13-Escapements!CA14)/RunSize_by_Stock!CA13,"")</f>
        <v/>
      </c>
      <c r="CB61">
        <f>IF(RunSize_by_Stock!CB13&gt;0,(RunSize_by_Stock!CB13-Escapements!CB14)/RunSize_by_Stock!CB13,"")</f>
        <v>0.20182015964913547</v>
      </c>
      <c r="CC61">
        <f>IF(RunSize_by_Stock!CC13&gt;0,(RunSize_by_Stock!CC13-Escapements!CC14)/RunSize_by_Stock!CC13,"")</f>
        <v>0.42095144529791645</v>
      </c>
      <c r="CD61" t="str">
        <f>IF(RunSize_by_Stock!CD13&gt;0,(RunSize_by_Stock!CD13-Escapements!CD14)/RunSize_by_Stock!CD13,"")</f>
        <v/>
      </c>
      <c r="CE61">
        <f>IF(RunSize_by_Stock!CE13&gt;0,(RunSize_by_Stock!CE13-Escapements!CE14)/RunSize_by_Stock!CE13,"")</f>
        <v>0.15997266106878019</v>
      </c>
      <c r="CF61">
        <f>IF(RunSize_by_Stock!CF13&gt;0,(RunSize_by_Stock!CF13-Escapements!CF14)/RunSize_by_Stock!CF13,"")</f>
        <v>0.15709969788519637</v>
      </c>
      <c r="CG61">
        <f>IF(RunSize_by_Stock!CG13&gt;0,(RunSize_by_Stock!CG13-Escapements!CG14)/RunSize_by_Stock!CG13,"")</f>
        <v>0.34925226386053076</v>
      </c>
      <c r="CH61">
        <f t="shared" si="3"/>
        <v>0.1884958479528745</v>
      </c>
    </row>
    <row r="62" spans="1:86" x14ac:dyDescent="0.55000000000000004">
      <c r="A62">
        <f t="shared" si="2"/>
        <v>1991</v>
      </c>
      <c r="B62">
        <f>IF(RunSize_by_Stock!B14&gt;0,(RunSize_by_Stock!B14-Escapements!B15)/RunSize_by_Stock!B14,"")</f>
        <v>0.19354838709677419</v>
      </c>
      <c r="C62">
        <f>IF(RunSize_by_Stock!C14&gt;0,(RunSize_by_Stock!C14-Escapements!C15)/RunSize_by_Stock!C14,"")</f>
        <v>0.25906163753449862</v>
      </c>
      <c r="D62">
        <f>IF(RunSize_by_Stock!D14&gt;0,(RunSize_by_Stock!D14-Escapements!D15)/RunSize_by_Stock!D14,"")</f>
        <v>0.19354838709677419</v>
      </c>
      <c r="E62">
        <f>IF(RunSize_by_Stock!E14&gt;0,(RunSize_by_Stock!E14-Escapements!E15)/RunSize_by_Stock!E14,"")</f>
        <v>0.21428571428571427</v>
      </c>
      <c r="F62">
        <f>IF(RunSize_by_Stock!F14&gt;0,(RunSize_by_Stock!F14-Escapements!F15)/RunSize_by_Stock!F14,"")</f>
        <v>0.22037422037422039</v>
      </c>
      <c r="G62">
        <f>IF(RunSize_by_Stock!G14&gt;0,(RunSize_by_Stock!G14-Escapements!G15)/RunSize_by_Stock!G14,"")</f>
        <v>0.22222222222222221</v>
      </c>
      <c r="H62">
        <f>IF(RunSize_by_Stock!H14&gt;0,(RunSize_by_Stock!H14-Escapements!H15)/RunSize_by_Stock!H14,"")</f>
        <v>0.22222222222222221</v>
      </c>
      <c r="I62">
        <f>IF(RunSize_by_Stock!I14&gt;0,(RunSize_by_Stock!I14-Escapements!I15)/RunSize_by_Stock!I14,"")</f>
        <v>0.21323529411764705</v>
      </c>
      <c r="J62">
        <f>IF(RunSize_by_Stock!J14&gt;0,(RunSize_by_Stock!J14-Escapements!J15)/RunSize_by_Stock!J14,"")</f>
        <v>0.20948616600790515</v>
      </c>
      <c r="K62">
        <f>IF(RunSize_by_Stock!K14&gt;0,(RunSize_by_Stock!K14-Escapements!K15)/RunSize_by_Stock!K14,"")</f>
        <v>0.22480620155038761</v>
      </c>
      <c r="L62">
        <f>IF(RunSize_by_Stock!L14&gt;0,(RunSize_by_Stock!L14-Escapements!L15)/RunSize_by_Stock!L14,"")</f>
        <v>0.21537857983522951</v>
      </c>
      <c r="M62">
        <f>IF(RunSize_by_Stock!M14&gt;0,(RunSize_by_Stock!M14-Escapements!M15)/RunSize_by_Stock!M14,"")</f>
        <v>0.2391304347826087</v>
      </c>
      <c r="N62">
        <f>IF(RunSize_by_Stock!N14&gt;0,(RunSize_by_Stock!N14-Escapements!N15)/RunSize_by_Stock!N14,"")</f>
        <v>0.25903971547125076</v>
      </c>
      <c r="O62">
        <f>IF(RunSize_by_Stock!O14&gt;0,(RunSize_by_Stock!O14-Escapements!O15)/RunSize_by_Stock!O14,"")</f>
        <v>0.27044024458413124</v>
      </c>
      <c r="P62">
        <f>IF(RunSize_by_Stock!P14&gt;0,(RunSize_by_Stock!P14-Escapements!P15)/RunSize_by_Stock!P14,"")</f>
        <v>0.23535562490020562</v>
      </c>
      <c r="Q62">
        <f>IF(RunSize_by_Stock!Q14&gt;0,(RunSize_by_Stock!Q14-Escapements!Q15)/RunSize_by_Stock!Q14,"")</f>
        <v>0.25890487865680323</v>
      </c>
      <c r="R62">
        <f>IF(RunSize_by_Stock!R14&gt;0,(RunSize_by_Stock!R14-Escapements!R15)/RunSize_by_Stock!R14,"")</f>
        <v>0.25</v>
      </c>
      <c r="S62">
        <f>IF(RunSize_by_Stock!S14&gt;0,(RunSize_by_Stock!S14-Escapements!S15)/RunSize_by_Stock!S14,"")</f>
        <v>0.19032710784842924</v>
      </c>
      <c r="T62">
        <f>IF(RunSize_by_Stock!T14&gt;0,(RunSize_by_Stock!T14-Escapements!T15)/RunSize_by_Stock!T14,"")</f>
        <v>0.20141461771640282</v>
      </c>
      <c r="U62">
        <f>IF(RunSize_by_Stock!U14&gt;0,(RunSize_by_Stock!U14-Escapements!U15)/RunSize_by_Stock!U14,"")</f>
        <v>0.21818470854299221</v>
      </c>
      <c r="V62">
        <f>IF(RunSize_by_Stock!V14&gt;0,(RunSize_by_Stock!V14-Escapements!V15)/RunSize_by_Stock!V14,"")</f>
        <v>0.29078014184397161</v>
      </c>
      <c r="W62">
        <f>IF(RunSize_by_Stock!W14&gt;0,(RunSize_by_Stock!W14-Escapements!W15)/RunSize_by_Stock!W14,"")</f>
        <v>0.10714285714285714</v>
      </c>
      <c r="X62">
        <f>IF(RunSize_by_Stock!X14&gt;0,(RunSize_by_Stock!X14-Escapements!X15)/RunSize_by_Stock!X14,"")</f>
        <v>0.18359658548107627</v>
      </c>
      <c r="Y62">
        <f>IF(RunSize_by_Stock!Y14&gt;0,(RunSize_by_Stock!Y14-Escapements!Y15)/RunSize_by_Stock!Y14,"")</f>
        <v>0.1063449508489723</v>
      </c>
      <c r="Z62">
        <f>IF(RunSize_by_Stock!Z14&gt;0,(RunSize_by_Stock!Z14-Escapements!Z15)/RunSize_by_Stock!Z14,"")</f>
        <v>0.14009661835748793</v>
      </c>
      <c r="AA62">
        <f>IF(RunSize_by_Stock!AA14&gt;0,(RunSize_by_Stock!AA14-Escapements!AA15)/RunSize_by_Stock!AA14,"")</f>
        <v>0.17652495378927913</v>
      </c>
      <c r="AB62">
        <f>IF(RunSize_by_Stock!AB14&gt;0,(RunSize_by_Stock!AB14-Escapements!AB15)/RunSize_by_Stock!AB14,"")</f>
        <v>0.22118380062305296</v>
      </c>
      <c r="AC62">
        <f>IF(RunSize_by_Stock!AC14&gt;0,(RunSize_by_Stock!AC14-Escapements!AC15)/RunSize_by_Stock!AC14,"")</f>
        <v>0.24636268284409271</v>
      </c>
      <c r="AD62">
        <f>IF(RunSize_by_Stock!AD14&gt;0,(RunSize_by_Stock!AD14-Escapements!AD15)/RunSize_by_Stock!AD14,"")</f>
        <v>0.10725148487626038</v>
      </c>
      <c r="AE62">
        <f>IF(RunSize_by_Stock!AE14&gt;0,(RunSize_by_Stock!AE14-Escapements!AE15)/RunSize_by_Stock!AE14,"")</f>
        <v>0.26316566584631024</v>
      </c>
      <c r="AF62">
        <f>IF(RunSize_by_Stock!AF14&gt;0,(RunSize_by_Stock!AF14-Escapements!AF15)/RunSize_by_Stock!AF14,"")</f>
        <v>0.23857868020304568</v>
      </c>
      <c r="AG62" t="str">
        <f>IF(RunSize_by_Stock!AG14&gt;0,(RunSize_by_Stock!AG14-Escapements!AG15)/RunSize_by_Stock!AG14,"")</f>
        <v/>
      </c>
      <c r="AH62">
        <f>IF(RunSize_by_Stock!AH14&gt;0,(RunSize_by_Stock!AH14-Escapements!AH15)/RunSize_by_Stock!AH14,"")</f>
        <v>0.31724137931034485</v>
      </c>
      <c r="AI62">
        <f>IF(RunSize_by_Stock!AI14&gt;0,(RunSize_by_Stock!AI14-Escapements!AI15)/RunSize_by_Stock!AI14,"")</f>
        <v>0.56314232301640466</v>
      </c>
      <c r="AJ62">
        <f>IF(RunSize_by_Stock!AJ14&gt;0,(RunSize_by_Stock!AJ14-Escapements!AJ15)/RunSize_by_Stock!AJ14,"")</f>
        <v>0.60227272727272729</v>
      </c>
      <c r="AK62">
        <f>IF(RunSize_by_Stock!AK14&gt;0,(RunSize_by_Stock!AK14-Escapements!AK15)/RunSize_by_Stock!AK14,"")</f>
        <v>0.16666666666666666</v>
      </c>
      <c r="AL62">
        <f>IF(RunSize_by_Stock!AL14&gt;0,(RunSize_by_Stock!AL14-Escapements!AL15)/RunSize_by_Stock!AL14,"")</f>
        <v>0.19737274220032841</v>
      </c>
      <c r="AM62">
        <f>IF(RunSize_by_Stock!AM14&gt;0,(RunSize_by_Stock!AM14-Escapements!AM15)/RunSize_by_Stock!AM14,"")</f>
        <v>0.25806451612903225</v>
      </c>
      <c r="AN62">
        <f>IF(RunSize_by_Stock!AN14&gt;0,(RunSize_by_Stock!AN14-Escapements!AN15)/RunSize_by_Stock!AN14,"")</f>
        <v>0.18613138686131386</v>
      </c>
      <c r="AO62">
        <f>IF(RunSize_by_Stock!AO14&gt;0,(RunSize_by_Stock!AO14-Escapements!AO15)/RunSize_by_Stock!AO14,"")</f>
        <v>0.18032786885245902</v>
      </c>
      <c r="AP62">
        <f>IF(RunSize_by_Stock!AP14&gt;0,(RunSize_by_Stock!AP14-Escapements!AP15)/RunSize_by_Stock!AP14,"")</f>
        <v>0.16666666666666666</v>
      </c>
      <c r="AQ62">
        <f>IF(RunSize_by_Stock!AQ14&gt;0,(RunSize_by_Stock!AQ14-Escapements!AQ15)/RunSize_by_Stock!AQ14,"")</f>
        <v>0.17466918714555765</v>
      </c>
      <c r="AR62">
        <f>IF(RunSize_by_Stock!AR14&gt;0,(RunSize_by_Stock!AR14-Escapements!AR15)/RunSize_by_Stock!AR14,"")</f>
        <v>0.23879285996723723</v>
      </c>
      <c r="AS62">
        <f>IF(RunSize_by_Stock!AS14&gt;0,(RunSize_by_Stock!AS14-Escapements!AS15)/RunSize_by_Stock!AS14,"")</f>
        <v>0.25118936266979636</v>
      </c>
      <c r="AT62">
        <f>IF(RunSize_by_Stock!AT14&gt;0,(RunSize_by_Stock!AT14-Escapements!AT15)/RunSize_by_Stock!AT14,"")</f>
        <v>0.18197302336077278</v>
      </c>
      <c r="AU62">
        <f>IF(RunSize_by_Stock!AU14&gt;0,(RunSize_by_Stock!AU14-Escapements!AU15)/RunSize_by_Stock!AU14,"")</f>
        <v>0.29029733959311427</v>
      </c>
      <c r="AV62">
        <f>IF(RunSize_by_Stock!AV14&gt;0,(RunSize_by_Stock!AV14-Escapements!AV15)/RunSize_by_Stock!AV14,"")</f>
        <v>0.38053949903660889</v>
      </c>
      <c r="AW62">
        <f>IF(RunSize_by_Stock!AW14&gt;0,(RunSize_by_Stock!AW14-Escapements!AW15)/RunSize_by_Stock!AW14,"")</f>
        <v>0.12915645782289115</v>
      </c>
      <c r="AX62">
        <f>IF(RunSize_by_Stock!AX14&gt;0,(RunSize_by_Stock!AX14-Escapements!AX15)/RunSize_by_Stock!AX14,"")</f>
        <v>0.12587412587412589</v>
      </c>
      <c r="AY62">
        <f>IF(RunSize_by_Stock!AY14&gt;0,(RunSize_by_Stock!AY14-Escapements!AY15)/RunSize_by_Stock!AY14,"")</f>
        <v>0.13522862393254784</v>
      </c>
      <c r="AZ62">
        <f>IF(RunSize_by_Stock!AZ14&gt;0,(RunSize_by_Stock!AZ14-Escapements!AZ15)/RunSize_by_Stock!AZ14,"")</f>
        <v>0.14862883690667936</v>
      </c>
      <c r="BA62">
        <f>IF(RunSize_by_Stock!BA14&gt;0,(RunSize_by_Stock!BA14-Escapements!BA15)/RunSize_by_Stock!BA14,"")</f>
        <v>0.29459459459459458</v>
      </c>
      <c r="BB62">
        <f>IF(RunSize_by_Stock!BB14&gt;0,(RunSize_by_Stock!BB14-Escapements!BB15)/RunSize_by_Stock!BB14,"")</f>
        <v>0.29563614013521822</v>
      </c>
      <c r="BC62">
        <f>IF(RunSize_by_Stock!BC14&gt;0,(RunSize_by_Stock!BC14-Escapements!BC15)/RunSize_by_Stock!BC14,"")</f>
        <v>0.15466101694915255</v>
      </c>
      <c r="BD62">
        <f>IF(RunSize_by_Stock!BD14&gt;0,(RunSize_by_Stock!BD14-Escapements!BD15)/RunSize_by_Stock!BD14,"")</f>
        <v>0.15544041450777202</v>
      </c>
      <c r="BE62">
        <f>IF(RunSize_by_Stock!BE14&gt;0,(RunSize_by_Stock!BE14-Escapements!BE15)/RunSize_by_Stock!BE14,"")</f>
        <v>0.39431167956916863</v>
      </c>
      <c r="BF62">
        <f>IF(RunSize_by_Stock!BF14&gt;0,(RunSize_by_Stock!BF14-Escapements!BF15)/RunSize_by_Stock!BF14,"")</f>
        <v>0.2569829199286961</v>
      </c>
      <c r="BG62">
        <f>IF(RunSize_by_Stock!BG14&gt;0,(RunSize_by_Stock!BG14-Escapements!BG15)/RunSize_by_Stock!BG14,"")</f>
        <v>9.0729893486932722E-2</v>
      </c>
      <c r="BH62">
        <f>IF(RunSize_by_Stock!BH14&gt;0,(RunSize_by_Stock!BH14-Escapements!BH15)/RunSize_by_Stock!BH14,"")</f>
        <v>7.3426573426573424E-2</v>
      </c>
      <c r="BI62">
        <f>IF(RunSize_by_Stock!BI14&gt;0,(RunSize_by_Stock!BI14-Escapements!BI15)/RunSize_by_Stock!BI14,"")</f>
        <v>2.0634566089111545E-2</v>
      </c>
      <c r="BJ62">
        <f>IF(RunSize_by_Stock!BJ14&gt;0,(RunSize_by_Stock!BJ14-Escapements!BJ15)/RunSize_by_Stock!BJ14,"")</f>
        <v>0.15601876917523913</v>
      </c>
      <c r="BK62">
        <f>IF(RunSize_by_Stock!BK14&gt;0,(RunSize_by_Stock!BK14-Escapements!BK15)/RunSize_by_Stock!BK14,"")</f>
        <v>3.8461538461538464E-2</v>
      </c>
      <c r="BL62" t="str">
        <f>IF(RunSize_by_Stock!BL14&gt;0,(RunSize_by_Stock!BL14-Escapements!BL15)/RunSize_by_Stock!BL14,"")</f>
        <v/>
      </c>
      <c r="BM62" t="str">
        <f>IF(RunSize_by_Stock!BM14&gt;0,(RunSize_by_Stock!BM14-Escapements!BM15)/RunSize_by_Stock!BM14,"")</f>
        <v/>
      </c>
      <c r="BN62">
        <f>IF(RunSize_by_Stock!BN14&gt;0,(RunSize_by_Stock!BN14-Escapements!BN15)/RunSize_by_Stock!BN14,"")</f>
        <v>0.14285714285714285</v>
      </c>
      <c r="BO62">
        <f>IF(RunSize_by_Stock!BO14&gt;0,(RunSize_by_Stock!BO14-Escapements!BO15)/RunSize_by_Stock!BO14,"")</f>
        <v>0.36952605248652037</v>
      </c>
      <c r="BP62">
        <f>IF(RunSize_by_Stock!BP14&gt;0,(RunSize_by_Stock!BP14-Escapements!BP15)/RunSize_by_Stock!BP14,"")</f>
        <v>0.375</v>
      </c>
      <c r="BQ62">
        <f>IF(RunSize_by_Stock!BQ14&gt;0,(RunSize_by_Stock!BQ14-Escapements!BQ15)/RunSize_by_Stock!BQ14,"")</f>
        <v>1.3991252751572045E-2</v>
      </c>
      <c r="BR62">
        <f>IF(RunSize_by_Stock!BR14&gt;0,(RunSize_by_Stock!BR14-Escapements!BR15)/RunSize_by_Stock!BR14,"")</f>
        <v>0.10714285714285714</v>
      </c>
      <c r="BS62">
        <f>IF(RunSize_by_Stock!BS14&gt;0,(RunSize_by_Stock!BS14-Escapements!BS15)/RunSize_by_Stock!BS14,"")</f>
        <v>9.0570532699671497E-2</v>
      </c>
      <c r="BT62">
        <f>IF(RunSize_by_Stock!BT14&gt;0,(RunSize_by_Stock!BT14-Escapements!BT15)/RunSize_by_Stock!BT14,"")</f>
        <v>0.20306965761511217</v>
      </c>
      <c r="BU62">
        <f>IF(RunSize_by_Stock!BU14&gt;0,(RunSize_by_Stock!BU14-Escapements!BU15)/RunSize_by_Stock!BU14,"")</f>
        <v>7.961143776421313E-2</v>
      </c>
      <c r="BV62">
        <f>IF(RunSize_by_Stock!BV14&gt;0,(RunSize_by_Stock!BV14-Escapements!BV15)/RunSize_by_Stock!BV14,"")</f>
        <v>0.2082897395671415</v>
      </c>
      <c r="BW62">
        <f>IF(RunSize_by_Stock!BW14&gt;0,(RunSize_by_Stock!BW14-Escapements!BW15)/RunSize_by_Stock!BW14,"")</f>
        <v>0.13984396418096892</v>
      </c>
      <c r="BX62">
        <f>IF(RunSize_by_Stock!BX14&gt;0,(RunSize_by_Stock!BX14-Escapements!BX15)/RunSize_by_Stock!BX14,"")</f>
        <v>0.19827118783524453</v>
      </c>
      <c r="BY62">
        <f>IF(RunSize_by_Stock!BY14&gt;0,(RunSize_by_Stock!BY14-Escapements!BY15)/RunSize_by_Stock!BY14,"")</f>
        <v>0.10714285714285714</v>
      </c>
      <c r="BZ62">
        <f>IF(RunSize_by_Stock!BZ14&gt;0,(RunSize_by_Stock!BZ14-Escapements!BZ15)/RunSize_by_Stock!BZ14,"")</f>
        <v>0.10714285714285714</v>
      </c>
      <c r="CA62">
        <f>IF(RunSize_by_Stock!CA14&gt;0,(RunSize_by_Stock!CA14-Escapements!CA15)/RunSize_by_Stock!CA14,"")</f>
        <v>0.1822609591905609</v>
      </c>
      <c r="CB62">
        <f>IF(RunSize_by_Stock!CB14&gt;0,(RunSize_by_Stock!CB14-Escapements!CB15)/RunSize_by_Stock!CB14,"")</f>
        <v>0.10080362723686312</v>
      </c>
      <c r="CC62">
        <f>IF(RunSize_by_Stock!CC14&gt;0,(RunSize_by_Stock!CC14-Escapements!CC15)/RunSize_by_Stock!CC14,"")</f>
        <v>0.49043330267387647</v>
      </c>
      <c r="CD62" t="str">
        <f>IF(RunSize_by_Stock!CD14&gt;0,(RunSize_by_Stock!CD14-Escapements!CD15)/RunSize_by_Stock!CD14,"")</f>
        <v/>
      </c>
      <c r="CE62">
        <f>IF(RunSize_by_Stock!CE14&gt;0,(RunSize_by_Stock!CE14-Escapements!CE15)/RunSize_by_Stock!CE14,"")</f>
        <v>0.19579261587814839</v>
      </c>
      <c r="CF62">
        <f>IF(RunSize_by_Stock!CF14&gt;0,(RunSize_by_Stock!CF14-Escapements!CF15)/RunSize_by_Stock!CF14,"")</f>
        <v>0.21863551608109499</v>
      </c>
      <c r="CG62">
        <f>IF(RunSize_by_Stock!CG14&gt;0,(RunSize_by_Stock!CG14-Escapements!CG15)/RunSize_by_Stock!CG14,"")</f>
        <v>0.26398241810437895</v>
      </c>
      <c r="CH62">
        <f t="shared" si="3"/>
        <v>0.21014370580828964</v>
      </c>
    </row>
    <row r="63" spans="1:86" x14ac:dyDescent="0.55000000000000004">
      <c r="A63">
        <f t="shared" si="2"/>
        <v>1992</v>
      </c>
      <c r="B63">
        <f>IF(RunSize_by_Stock!B15&gt;0,(RunSize_by_Stock!B15-Escapements!B16)/RunSize_by_Stock!B15,"")</f>
        <v>0.17508417508417509</v>
      </c>
      <c r="C63">
        <f>IF(RunSize_by_Stock!C15&gt;0,(RunSize_by_Stock!C15-Escapements!C16)/RunSize_by_Stock!C15,"")</f>
        <v>0.13216689098250337</v>
      </c>
      <c r="D63">
        <f>IF(RunSize_by_Stock!D15&gt;0,(RunSize_by_Stock!D15-Escapements!D16)/RunSize_by_Stock!D15,"")</f>
        <v>0.1743119266055046</v>
      </c>
      <c r="E63">
        <f>IF(RunSize_by_Stock!E15&gt;0,(RunSize_by_Stock!E15-Escapements!E16)/RunSize_by_Stock!E15,"")</f>
        <v>0.16853932584269662</v>
      </c>
      <c r="F63">
        <f>IF(RunSize_by_Stock!F15&gt;0,(RunSize_by_Stock!F15-Escapements!F16)/RunSize_by_Stock!F15,"")</f>
        <v>0.16956353804557744</v>
      </c>
      <c r="G63">
        <f>IF(RunSize_by_Stock!G15&gt;0,(RunSize_by_Stock!G15-Escapements!G16)/RunSize_by_Stock!G15,"")</f>
        <v>0.16666666666666666</v>
      </c>
      <c r="H63">
        <f>IF(RunSize_by_Stock!H15&gt;0,(RunSize_by_Stock!H15-Escapements!H16)/RunSize_by_Stock!H15,"")</f>
        <v>0.16666666666666666</v>
      </c>
      <c r="I63">
        <f>IF(RunSize_by_Stock!I15&gt;0,(RunSize_by_Stock!I15-Escapements!I16)/RunSize_by_Stock!I15,"")</f>
        <v>0.17355371900826447</v>
      </c>
      <c r="J63">
        <f>IF(RunSize_by_Stock!J15&gt;0,(RunSize_by_Stock!J15-Escapements!J16)/RunSize_by_Stock!J15,"")</f>
        <v>0.17203311867525298</v>
      </c>
      <c r="K63">
        <f>IF(RunSize_by_Stock!K15&gt;0,(RunSize_by_Stock!K15-Escapements!K16)/RunSize_by_Stock!K15,"")</f>
        <v>0.16805324459234608</v>
      </c>
      <c r="L63">
        <f>IF(RunSize_by_Stock!L15&gt;0,(RunSize_by_Stock!L15-Escapements!L16)/RunSize_by_Stock!L15,"")</f>
        <v>0.17091836734693877</v>
      </c>
      <c r="M63">
        <f>IF(RunSize_by_Stock!M15&gt;0,(RunSize_by_Stock!M15-Escapements!M16)/RunSize_by_Stock!M15,"")</f>
        <v>0.16265060240963855</v>
      </c>
      <c r="N63">
        <f>IF(RunSize_by_Stock!N15&gt;0,(RunSize_by_Stock!N15-Escapements!N16)/RunSize_by_Stock!N15,"")</f>
        <v>0.1396508728179551</v>
      </c>
      <c r="O63">
        <f>IF(RunSize_by_Stock!O15&gt;0,(RunSize_by_Stock!O15-Escapements!O16)/RunSize_by_Stock!O15,"")</f>
        <v>0.16620427488688477</v>
      </c>
      <c r="P63">
        <f>IF(RunSize_by_Stock!P15&gt;0,(RunSize_by_Stock!P15-Escapements!P16)/RunSize_by_Stock!P15,"")</f>
        <v>0.16453572376817988</v>
      </c>
      <c r="Q63">
        <f>IF(RunSize_by_Stock!Q15&gt;0,(RunSize_by_Stock!Q15-Escapements!Q16)/RunSize_by_Stock!Q15,"")</f>
        <v>0.13258184660966738</v>
      </c>
      <c r="R63">
        <f>IF(RunSize_by_Stock!R15&gt;0,(RunSize_by_Stock!R15-Escapements!R16)/RunSize_by_Stock!R15,"")</f>
        <v>0.11242603550295859</v>
      </c>
      <c r="S63">
        <f>IF(RunSize_by_Stock!S15&gt;0,(RunSize_by_Stock!S15-Escapements!S16)/RunSize_by_Stock!S15,"")</f>
        <v>6.269494697442296E-2</v>
      </c>
      <c r="T63">
        <f>IF(RunSize_by_Stock!T15&gt;0,(RunSize_by_Stock!T15-Escapements!T16)/RunSize_by_Stock!T15,"")</f>
        <v>7.2995461422087751E-2</v>
      </c>
      <c r="U63">
        <f>IF(RunSize_by_Stock!U15&gt;0,(RunSize_by_Stock!U15-Escapements!U16)/RunSize_by_Stock!U15,"")</f>
        <v>7.9924722034488166E-2</v>
      </c>
      <c r="V63">
        <f>IF(RunSize_by_Stock!V15&gt;0,(RunSize_by_Stock!V15-Escapements!V16)/RunSize_by_Stock!V15,"")</f>
        <v>0.375</v>
      </c>
      <c r="W63">
        <f>IF(RunSize_by_Stock!W15&gt;0,(RunSize_by_Stock!W15-Escapements!W16)/RunSize_by_Stock!W15,"")</f>
        <v>0.20212765957446807</v>
      </c>
      <c r="X63">
        <f>IF(RunSize_by_Stock!X15&gt;0,(RunSize_by_Stock!X15-Escapements!X16)/RunSize_by_Stock!X15,"")</f>
        <v>0.15995131370897453</v>
      </c>
      <c r="Y63">
        <f>IF(RunSize_by_Stock!Y15&gt;0,(RunSize_by_Stock!Y15-Escapements!Y16)/RunSize_by_Stock!Y15,"")</f>
        <v>0.17695473251028807</v>
      </c>
      <c r="Z63">
        <f>IF(RunSize_by_Stock!Z15&gt;0,(RunSize_by_Stock!Z15-Escapements!Z16)/RunSize_by_Stock!Z15,"")</f>
        <v>0.10078500886300329</v>
      </c>
      <c r="AA63">
        <f>IF(RunSize_by_Stock!AA15&gt;0,(RunSize_by_Stock!AA15-Escapements!AA16)/RunSize_by_Stock!AA15,"")</f>
        <v>0.11506622516556292</v>
      </c>
      <c r="AB63">
        <f>IF(RunSize_by_Stock!AB15&gt;0,(RunSize_by_Stock!AB15-Escapements!AB16)/RunSize_by_Stock!AB15,"")</f>
        <v>8.0459770114942528E-2</v>
      </c>
      <c r="AC63">
        <f>IF(RunSize_by_Stock!AC15&gt;0,(RunSize_by_Stock!AC15-Escapements!AC16)/RunSize_by_Stock!AC15,"")</f>
        <v>9.6178982492569356E-2</v>
      </c>
      <c r="AD63">
        <f>IF(RunSize_by_Stock!AD15&gt;0,(RunSize_by_Stock!AD15-Escapements!AD16)/RunSize_by_Stock!AD15,"")</f>
        <v>0.18895756499030192</v>
      </c>
      <c r="AE63">
        <f>IF(RunSize_by_Stock!AE15&gt;0,(RunSize_by_Stock!AE15-Escapements!AE16)/RunSize_by_Stock!AE15,"")</f>
        <v>0.10572375501227453</v>
      </c>
      <c r="AF63">
        <f>IF(RunSize_by_Stock!AF15&gt;0,(RunSize_by_Stock!AF15-Escapements!AF16)/RunSize_by_Stock!AF15,"")</f>
        <v>8.006814310051108E-2</v>
      </c>
      <c r="AG63" t="str">
        <f>IF(RunSize_by_Stock!AG15&gt;0,(RunSize_by_Stock!AG15-Escapements!AG16)/RunSize_by_Stock!AG15,"")</f>
        <v/>
      </c>
      <c r="AH63">
        <f>IF(RunSize_by_Stock!AH15&gt;0,(RunSize_by_Stock!AH15-Escapements!AH16)/RunSize_by_Stock!AH15,"")</f>
        <v>0.1197252208047105</v>
      </c>
      <c r="AI63">
        <f>IF(RunSize_by_Stock!AI15&gt;0,(RunSize_by_Stock!AI15-Escapements!AI16)/RunSize_by_Stock!AI15,"")</f>
        <v>0.4845360824742268</v>
      </c>
      <c r="AJ63">
        <f>IF(RunSize_by_Stock!AJ15&gt;0,(RunSize_by_Stock!AJ15-Escapements!AJ16)/RunSize_by_Stock!AJ15,"")</f>
        <v>0.6101874004236636</v>
      </c>
      <c r="AK63">
        <f>IF(RunSize_by_Stock!AK15&gt;0,(RunSize_by_Stock!AK15-Escapements!AK16)/RunSize_by_Stock!AK15,"")</f>
        <v>7.407407407407407E-2</v>
      </c>
      <c r="AL63">
        <f>IF(RunSize_by_Stock!AL15&gt;0,(RunSize_by_Stock!AL15-Escapements!AL16)/RunSize_by_Stock!AL15,"")</f>
        <v>0.12610619469026549</v>
      </c>
      <c r="AM63">
        <f>IF(RunSize_by_Stock!AM15&gt;0,(RunSize_by_Stock!AM15-Escapements!AM16)/RunSize_by_Stock!AM15,"")</f>
        <v>8.6956521739130432E-2</v>
      </c>
      <c r="AN63">
        <f>IF(RunSize_by_Stock!AN15&gt;0,(RunSize_by_Stock!AN15-Escapements!AN16)/RunSize_by_Stock!AN15,"")</f>
        <v>5.0847457627118647E-2</v>
      </c>
      <c r="AO63">
        <f>IF(RunSize_by_Stock!AO15&gt;0,(RunSize_by_Stock!AO15-Escapements!AO16)/RunSize_by_Stock!AO15,"")</f>
        <v>4.951207970382937E-2</v>
      </c>
      <c r="AP63">
        <f>IF(RunSize_by_Stock!AP15&gt;0,(RunSize_by_Stock!AP15-Escapements!AP16)/RunSize_by_Stock!AP15,"")</f>
        <v>0.25</v>
      </c>
      <c r="AQ63">
        <f>IF(RunSize_by_Stock!AQ15&gt;0,(RunSize_by_Stock!AQ15-Escapements!AQ16)/RunSize_by_Stock!AQ15,"")</f>
        <v>7.6360310928212161E-2</v>
      </c>
      <c r="AR63">
        <f>IF(RunSize_by_Stock!AR15&gt;0,(RunSize_by_Stock!AR15-Escapements!AR16)/RunSize_by_Stock!AR15,"")</f>
        <v>0.11601751480066254</v>
      </c>
      <c r="AS63">
        <f>IF(RunSize_by_Stock!AS15&gt;0,(RunSize_by_Stock!AS15-Escapements!AS16)/RunSize_by_Stock!AS15,"")</f>
        <v>0.1087467421760738</v>
      </c>
      <c r="AT63">
        <f>IF(RunSize_by_Stock!AT15&gt;0,(RunSize_by_Stock!AT15-Escapements!AT16)/RunSize_by_Stock!AT15,"")</f>
        <v>0.10057055150470863</v>
      </c>
      <c r="AU63">
        <f>IF(RunSize_by_Stock!AU15&gt;0,(RunSize_by_Stock!AU15-Escapements!AU16)/RunSize_by_Stock!AU15,"")</f>
        <v>0.10612492419648271</v>
      </c>
      <c r="AV63">
        <f>IF(RunSize_by_Stock!AV15&gt;0,(RunSize_by_Stock!AV15-Escapements!AV16)/RunSize_by_Stock!AV15,"")</f>
        <v>0.21465968586387435</v>
      </c>
      <c r="AW63">
        <f>IF(RunSize_by_Stock!AW15&gt;0,(RunSize_by_Stock!AW15-Escapements!AW16)/RunSize_by_Stock!AW15,"")</f>
        <v>7.5037147102526E-2</v>
      </c>
      <c r="AX63">
        <f>IF(RunSize_by_Stock!AX15&gt;0,(RunSize_by_Stock!AX15-Escapements!AX16)/RunSize_by_Stock!AX15,"")</f>
        <v>4.7619047619047616E-2</v>
      </c>
      <c r="AY63">
        <f>IF(RunSize_by_Stock!AY15&gt;0,(RunSize_by_Stock!AY15-Escapements!AY16)/RunSize_by_Stock!AY15,"")</f>
        <v>5.6010069225928258E-2</v>
      </c>
      <c r="AZ63">
        <f>IF(RunSize_by_Stock!AZ15&gt;0,(RunSize_by_Stock!AZ15-Escapements!AZ16)/RunSize_by_Stock!AZ15,"")</f>
        <v>2.5036576935412114E-2</v>
      </c>
      <c r="BA63">
        <f>IF(RunSize_by_Stock!BA15&gt;0,(RunSize_by_Stock!BA15-Escapements!BA16)/RunSize_by_Stock!BA15,"")</f>
        <v>0.2435129740518962</v>
      </c>
      <c r="BB63">
        <f>IF(RunSize_by_Stock!BB15&gt;0,(RunSize_by_Stock!BB15-Escapements!BB16)/RunSize_by_Stock!BB15,"")</f>
        <v>0.24374999999999999</v>
      </c>
      <c r="BC63">
        <f>IF(RunSize_by_Stock!BC15&gt;0,(RunSize_by_Stock!BC15-Escapements!BC16)/RunSize_by_Stock!BC15,"")</f>
        <v>0.33520074696545282</v>
      </c>
      <c r="BD63">
        <f>IF(RunSize_by_Stock!BD15&gt;0,(RunSize_by_Stock!BD15-Escapements!BD16)/RunSize_by_Stock!BD15,"")</f>
        <v>0.33471933471933474</v>
      </c>
      <c r="BE63">
        <f>IF(RunSize_by_Stock!BE15&gt;0,(RunSize_by_Stock!BE15-Escapements!BE16)/RunSize_by_Stock!BE15,"")</f>
        <v>0.25553971750680315</v>
      </c>
      <c r="BF63">
        <f>IF(RunSize_by_Stock!BF15&gt;0,(RunSize_by_Stock!BF15-Escapements!BF16)/RunSize_by_Stock!BF15,"")</f>
        <v>9.0909090909090912E-2</v>
      </c>
      <c r="BG63">
        <f>IF(RunSize_by_Stock!BG15&gt;0,(RunSize_by_Stock!BG15-Escapements!BG16)/RunSize_by_Stock!BG15,"")</f>
        <v>7.6849971555622759E-2</v>
      </c>
      <c r="BH63">
        <f>IF(RunSize_by_Stock!BH15&gt;0,(RunSize_by_Stock!BH15-Escapements!BH16)/RunSize_by_Stock!BH15,"")</f>
        <v>0.26273726273726272</v>
      </c>
      <c r="BI63">
        <f>IF(RunSize_by_Stock!BI15&gt;0,(RunSize_by_Stock!BI15-Escapements!BI16)/RunSize_by_Stock!BI15,"")</f>
        <v>1.1631987218252813E-2</v>
      </c>
      <c r="BJ63">
        <f>IF(RunSize_by_Stock!BJ15&gt;0,(RunSize_by_Stock!BJ15-Escapements!BJ16)/RunSize_by_Stock!BJ15,"")</f>
        <v>8.364936872929768E-2</v>
      </c>
      <c r="BK63">
        <f>IF(RunSize_by_Stock!BK15&gt;0,(RunSize_by_Stock!BK15-Escapements!BK16)/RunSize_by_Stock!BK15,"")</f>
        <v>2.2801302931596091E-2</v>
      </c>
      <c r="BL63">
        <f>IF(RunSize_by_Stock!BL15&gt;0,(RunSize_by_Stock!BL15-Escapements!BL16)/RunSize_by_Stock!BL15,"")</f>
        <v>9.0909090909090912E-2</v>
      </c>
      <c r="BM63">
        <f>IF(RunSize_by_Stock!BM15&gt;0,(RunSize_by_Stock!BM15-Escapements!BM16)/RunSize_by_Stock!BM15,"")</f>
        <v>7.7582272591985441E-2</v>
      </c>
      <c r="BN63">
        <f>IF(RunSize_by_Stock!BN15&gt;0,(RunSize_by_Stock!BN15-Escapements!BN16)/RunSize_by_Stock!BN15,"")</f>
        <v>7.3393638588688179E-2</v>
      </c>
      <c r="BO63">
        <f>IF(RunSize_by_Stock!BO15&gt;0,(RunSize_by_Stock!BO15-Escapements!BO16)/RunSize_by_Stock!BO15,"")</f>
        <v>0.1814442122681742</v>
      </c>
      <c r="BP63">
        <f>IF(RunSize_by_Stock!BP15&gt;0,(RunSize_by_Stock!BP15-Escapements!BP16)/RunSize_by_Stock!BP15,"")</f>
        <v>0.18404810157123164</v>
      </c>
      <c r="BQ63">
        <f>IF(RunSize_by_Stock!BQ15&gt;0,(RunSize_by_Stock!BQ15-Escapements!BQ16)/RunSize_by_Stock!BQ15,"")</f>
        <v>1.0532431164095567E-2</v>
      </c>
      <c r="BR63">
        <f>IF(RunSize_by_Stock!BR15&gt;0,(RunSize_by_Stock!BR15-Escapements!BR16)/RunSize_by_Stock!BR15,"")</f>
        <v>0.17763157894736842</v>
      </c>
      <c r="BS63">
        <f>IF(RunSize_by_Stock!BS15&gt;0,(RunSize_by_Stock!BS15-Escapements!BS16)/RunSize_by_Stock!BS15,"")</f>
        <v>8.0620705882214386E-2</v>
      </c>
      <c r="BT63">
        <f>IF(RunSize_by_Stock!BT15&gt;0,(RunSize_by_Stock!BT15-Escapements!BT16)/RunSize_by_Stock!BT15,"")</f>
        <v>0.17297811041570921</v>
      </c>
      <c r="BU63">
        <f>IF(RunSize_by_Stock!BU15&gt;0,(RunSize_by_Stock!BU15-Escapements!BU16)/RunSize_by_Stock!BU15,"")</f>
        <v>5.7457836502052828E-2</v>
      </c>
      <c r="BV63">
        <f>IF(RunSize_by_Stock!BV15&gt;0,(RunSize_by_Stock!BV15-Escapements!BV16)/RunSize_by_Stock!BV15,"")</f>
        <v>0.1736555924834966</v>
      </c>
      <c r="BW63">
        <f>IF(RunSize_by_Stock!BW15&gt;0,(RunSize_by_Stock!BW15-Escapements!BW16)/RunSize_by_Stock!BW15,"")</f>
        <v>1.2662585624219196E-2</v>
      </c>
      <c r="BX63">
        <f>IF(RunSize_by_Stock!BX15&gt;0,(RunSize_by_Stock!BX15-Escapements!BX16)/RunSize_by_Stock!BX15,"")</f>
        <v>5.7283131008230619E-2</v>
      </c>
      <c r="BY63">
        <f>IF(RunSize_by_Stock!BY15&gt;0,(RunSize_by_Stock!BY15-Escapements!BY16)/RunSize_by_Stock!BY15,"")</f>
        <v>0.17695473251028807</v>
      </c>
      <c r="BZ63">
        <f>IF(RunSize_by_Stock!BZ15&gt;0,(RunSize_by_Stock!BZ15-Escapements!BZ16)/RunSize_by_Stock!BZ15,"")</f>
        <v>0.17695473251028807</v>
      </c>
      <c r="CA63">
        <f>IF(RunSize_by_Stock!CA15&gt;0,(RunSize_by_Stock!CA15-Escapements!CA16)/RunSize_by_Stock!CA15,"")</f>
        <v>7.3385251531318335E-2</v>
      </c>
      <c r="CB63">
        <f>IF(RunSize_by_Stock!CB15&gt;0,(RunSize_by_Stock!CB15-Escapements!CB16)/RunSize_by_Stock!CB15,"")</f>
        <v>7.7320278565474382E-2</v>
      </c>
      <c r="CC63">
        <f>IF(RunSize_by_Stock!CC15&gt;0,(RunSize_by_Stock!CC15-Escapements!CC16)/RunSize_by_Stock!CC15,"")</f>
        <v>0.35243021641728767</v>
      </c>
      <c r="CD63" t="str">
        <f>IF(RunSize_by_Stock!CD15&gt;0,(RunSize_by_Stock!CD15-Escapements!CD16)/RunSize_by_Stock!CD15,"")</f>
        <v/>
      </c>
      <c r="CE63">
        <f>IF(RunSize_by_Stock!CE15&gt;0,(RunSize_by_Stock!CE15-Escapements!CE16)/RunSize_by_Stock!CE15,"")</f>
        <v>5.7494007997949438E-2</v>
      </c>
      <c r="CF63">
        <f>IF(RunSize_by_Stock!CF15&gt;0,(RunSize_by_Stock!CF15-Escapements!CF16)/RunSize_by_Stock!CF15,"")</f>
        <v>8.1018847086410689E-2</v>
      </c>
      <c r="CG63">
        <f>IF(RunSize_by_Stock!CG15&gt;0,(RunSize_by_Stock!CG15-Escapements!CG16)/RunSize_by_Stock!CG15,"")</f>
        <v>0.25109309671537966</v>
      </c>
      <c r="CH63">
        <f t="shared" si="3"/>
        <v>0.14571676941440589</v>
      </c>
    </row>
    <row r="64" spans="1:86" x14ac:dyDescent="0.55000000000000004">
      <c r="A64">
        <f t="shared" si="2"/>
        <v>1993</v>
      </c>
      <c r="B64">
        <f>IF(RunSize_by_Stock!B16&gt;0,(RunSize_by_Stock!B16-Escapements!B17)/RunSize_by_Stock!B16,"")</f>
        <v>0.30410577592205984</v>
      </c>
      <c r="C64">
        <f>IF(RunSize_by_Stock!C16&gt;0,(RunSize_by_Stock!C16-Escapements!C17)/RunSize_by_Stock!C16,"")</f>
        <v>0.1716867469879518</v>
      </c>
      <c r="D64">
        <f>IF(RunSize_by_Stock!D16&gt;0,(RunSize_by_Stock!D16-Escapements!D17)/RunSize_by_Stock!D16,"")</f>
        <v>0.30481283422459893</v>
      </c>
      <c r="E64">
        <f>IF(RunSize_by_Stock!E16&gt;0,(RunSize_by_Stock!E16-Escapements!E17)/RunSize_by_Stock!E16,"")</f>
        <v>0.27272727272727271</v>
      </c>
      <c r="F64">
        <f>IF(RunSize_by_Stock!F16&gt;0,(RunSize_by_Stock!F16-Escapements!F17)/RunSize_by_Stock!F16,"")</f>
        <v>0.26727145847871597</v>
      </c>
      <c r="G64">
        <f>IF(RunSize_by_Stock!G16&gt;0,(RunSize_by_Stock!G16-Escapements!G17)/RunSize_by_Stock!G16,"")</f>
        <v>0.27622330653208665</v>
      </c>
      <c r="H64">
        <f>IF(RunSize_by_Stock!H16&gt;0,(RunSize_by_Stock!H16-Escapements!H17)/RunSize_by_Stock!H16,"")</f>
        <v>0.27710843373493976</v>
      </c>
      <c r="I64">
        <f>IF(RunSize_by_Stock!I16&gt;0,(RunSize_by_Stock!I16-Escapements!I17)/RunSize_by_Stock!I16,"")</f>
        <v>0.27631578947368424</v>
      </c>
      <c r="J64">
        <f>IF(RunSize_by_Stock!J16&gt;0,(RunSize_by_Stock!J16-Escapements!J17)/RunSize_by_Stock!J16,"")</f>
        <v>0.28290167037056024</v>
      </c>
      <c r="K64">
        <f>IF(RunSize_by_Stock!K16&gt;0,(RunSize_by_Stock!K16-Escapements!K17)/RunSize_by_Stock!K16,"")</f>
        <v>0.26108374384236455</v>
      </c>
      <c r="L64">
        <f>IF(RunSize_by_Stock!L16&gt;0,(RunSize_by_Stock!L16-Escapements!L17)/RunSize_by_Stock!L16,"")</f>
        <v>0.27536231884057971</v>
      </c>
      <c r="M64">
        <f>IF(RunSize_by_Stock!M16&gt;0,(RunSize_by_Stock!M16-Escapements!M17)/RunSize_by_Stock!M16,"")</f>
        <v>0.23454157782515991</v>
      </c>
      <c r="N64">
        <f>IF(RunSize_by_Stock!N16&gt;0,(RunSize_by_Stock!N16-Escapements!N17)/RunSize_by_Stock!N16,"")</f>
        <v>0.17981072555205047</v>
      </c>
      <c r="O64">
        <f>IF(RunSize_by_Stock!O16&gt;0,(RunSize_by_Stock!O16-Escapements!O17)/RunSize_by_Stock!O16,"")</f>
        <v>0.19766748073974616</v>
      </c>
      <c r="P64">
        <f>IF(RunSize_by_Stock!P16&gt;0,(RunSize_by_Stock!P16-Escapements!P17)/RunSize_by_Stock!P16,"")</f>
        <v>0.24296887931215858</v>
      </c>
      <c r="Q64">
        <f>IF(RunSize_by_Stock!Q16&gt;0,(RunSize_by_Stock!Q16-Escapements!Q17)/RunSize_by_Stock!Q16,"")</f>
        <v>0.17142146541818981</v>
      </c>
      <c r="R64">
        <f>IF(RunSize_by_Stock!R16&gt;0,(RunSize_by_Stock!R16-Escapements!R17)/RunSize_by_Stock!R16,"")</f>
        <v>0.16666666666666666</v>
      </c>
      <c r="S64">
        <f>IF(RunSize_by_Stock!S16&gt;0,(RunSize_by_Stock!S16-Escapements!S17)/RunSize_by_Stock!S16,"")</f>
        <v>0.23168023686158401</v>
      </c>
      <c r="T64">
        <f>IF(RunSize_by_Stock!T16&gt;0,(RunSize_by_Stock!T16-Escapements!T17)/RunSize_by_Stock!T16,"")</f>
        <v>0.209919261822376</v>
      </c>
      <c r="U64">
        <f>IF(RunSize_by_Stock!U16&gt;0,(RunSize_by_Stock!U16-Escapements!U17)/RunSize_by_Stock!U16,"")</f>
        <v>0.19615844109233174</v>
      </c>
      <c r="V64">
        <f>IF(RunSize_by_Stock!V16&gt;0,(RunSize_by_Stock!V16-Escapements!V17)/RunSize_by_Stock!V16,"")</f>
        <v>0.2857142857142857</v>
      </c>
      <c r="W64">
        <f>IF(RunSize_by_Stock!W16&gt;0,(RunSize_by_Stock!W16-Escapements!W17)/RunSize_by_Stock!W16,"")</f>
        <v>0.2857142857142857</v>
      </c>
      <c r="X64">
        <f>IF(RunSize_by_Stock!X16&gt;0,(RunSize_by_Stock!X16-Escapements!X17)/RunSize_by_Stock!X16,"")</f>
        <v>0.27633448679548334</v>
      </c>
      <c r="Y64">
        <f>IF(RunSize_by_Stock!Y16&gt;0,(RunSize_by_Stock!Y16-Escapements!Y17)/RunSize_by_Stock!Y16,"")</f>
        <v>0.27786752827140548</v>
      </c>
      <c r="Z64">
        <f>IF(RunSize_by_Stock!Z16&gt;0,(RunSize_by_Stock!Z16-Escapements!Z17)/RunSize_by_Stock!Z16,"")</f>
        <v>0.23816656680647094</v>
      </c>
      <c r="AA64">
        <f>IF(RunSize_by_Stock!AA16&gt;0,(RunSize_by_Stock!AA16-Escapements!AA17)/RunSize_by_Stock!AA16,"")</f>
        <v>0.22813569872393402</v>
      </c>
      <c r="AB64">
        <f>IF(RunSize_by_Stock!AB16&gt;0,(RunSize_by_Stock!AB16-Escapements!AB17)/RunSize_by_Stock!AB16,"")</f>
        <v>0.17695473251028807</v>
      </c>
      <c r="AC64">
        <f>IF(RunSize_by_Stock!AC16&gt;0,(RunSize_by_Stock!AC16-Escapements!AC17)/RunSize_by_Stock!AC16,"")</f>
        <v>0.17110389157629707</v>
      </c>
      <c r="AD64">
        <f>IF(RunSize_by_Stock!AD16&gt;0,(RunSize_by_Stock!AD16-Escapements!AD17)/RunSize_by_Stock!AD16,"")</f>
        <v>0.27784545777553837</v>
      </c>
      <c r="AE64">
        <f>IF(RunSize_by_Stock!AE16&gt;0,(RunSize_by_Stock!AE16-Escapements!AE17)/RunSize_by_Stock!AE16,"")</f>
        <v>0.16164195378437962</v>
      </c>
      <c r="AF64">
        <f>IF(RunSize_by_Stock!AF16&gt;0,(RunSize_by_Stock!AF16-Escapements!AF17)/RunSize_by_Stock!AF16,"")</f>
        <v>0.1773308957952468</v>
      </c>
      <c r="AG64" t="str">
        <f>IF(RunSize_by_Stock!AG16&gt;0,(RunSize_by_Stock!AG16-Escapements!AG17)/RunSize_by_Stock!AG16,"")</f>
        <v/>
      </c>
      <c r="AH64">
        <f>IF(RunSize_by_Stock!AH16&gt;0,(RunSize_by_Stock!AH16-Escapements!AH17)/RunSize_by_Stock!AH16,"")</f>
        <v>0.15780141843971632</v>
      </c>
      <c r="AI64">
        <f>IF(RunSize_by_Stock!AI16&gt;0,(RunSize_by_Stock!AI16-Escapements!AI17)/RunSize_by_Stock!AI16,"")</f>
        <v>0.24485125858123569</v>
      </c>
      <c r="AJ64">
        <f>IF(RunSize_by_Stock!AJ16&gt;0,(RunSize_by_Stock!AJ16-Escapements!AJ17)/RunSize_by_Stock!AJ16,"")</f>
        <v>0.32432432432432434</v>
      </c>
      <c r="AK64">
        <f>IF(RunSize_by_Stock!AK16&gt;0,(RunSize_by_Stock!AK16-Escapements!AK17)/RunSize_by_Stock!AK16,"")</f>
        <v>0.22480620155038761</v>
      </c>
      <c r="AL64">
        <f>IF(RunSize_by_Stock!AL16&gt;0,(RunSize_by_Stock!AL16-Escapements!AL17)/RunSize_by_Stock!AL16,"")</f>
        <v>0.24644152944459949</v>
      </c>
      <c r="AM64">
        <f>IF(RunSize_by_Stock!AM16&gt;0,(RunSize_by_Stock!AM16-Escapements!AM17)/RunSize_by_Stock!AM16,"")</f>
        <v>0.21355111917725347</v>
      </c>
      <c r="AN64">
        <f>IF(RunSize_by_Stock!AN16&gt;0,(RunSize_by_Stock!AN16-Escapements!AN17)/RunSize_by_Stock!AN16,"")</f>
        <v>0.20833333333333334</v>
      </c>
      <c r="AO64">
        <f>IF(RunSize_by_Stock!AO16&gt;0,(RunSize_by_Stock!AO16-Escapements!AO17)/RunSize_by_Stock!AO16,"")</f>
        <v>0.20634920634920634</v>
      </c>
      <c r="AP64">
        <f>IF(RunSize_by_Stock!AP16&gt;0,(RunSize_by_Stock!AP16-Escapements!AP17)/RunSize_by_Stock!AP16,"")</f>
        <v>0.41176470588235292</v>
      </c>
      <c r="AQ64">
        <f>IF(RunSize_by_Stock!AQ16&gt;0,(RunSize_by_Stock!AQ16-Escapements!AQ17)/RunSize_by_Stock!AQ16,"")</f>
        <v>0.21052631578947367</v>
      </c>
      <c r="AR64">
        <f>IF(RunSize_by_Stock!AR16&gt;0,(RunSize_by_Stock!AR16-Escapements!AR17)/RunSize_by_Stock!AR16,"")</f>
        <v>0.18828622508354673</v>
      </c>
      <c r="AS64">
        <f>IF(RunSize_by_Stock!AS16&gt;0,(RunSize_by_Stock!AS16-Escapements!AS17)/RunSize_by_Stock!AS16,"")</f>
        <v>0.27960551868144318</v>
      </c>
      <c r="AT64">
        <f>IF(RunSize_by_Stock!AT16&gt;0,(RunSize_by_Stock!AT16-Escapements!AT17)/RunSize_by_Stock!AT16,"")</f>
        <v>0.28783334790579851</v>
      </c>
      <c r="AU64">
        <f>IF(RunSize_by_Stock!AU16&gt;0,(RunSize_by_Stock!AU16-Escapements!AU17)/RunSize_by_Stock!AU16,"")</f>
        <v>0.18856364874063988</v>
      </c>
      <c r="AV64">
        <f>IF(RunSize_by_Stock!AV16&gt;0,(RunSize_by_Stock!AV16-Escapements!AV17)/RunSize_by_Stock!AV16,"")</f>
        <v>0.1598528209321341</v>
      </c>
      <c r="AW64">
        <f>IF(RunSize_by_Stock!AW16&gt;0,(RunSize_by_Stock!AW16-Escapements!AW17)/RunSize_by_Stock!AW16,"")</f>
        <v>0.22842197035745423</v>
      </c>
      <c r="AX64">
        <f>IF(RunSize_by_Stock!AX16&gt;0,(RunSize_by_Stock!AX16-Escapements!AX17)/RunSize_by_Stock!AX16,"")</f>
        <v>0.20129657288556291</v>
      </c>
      <c r="AY64">
        <f>IF(RunSize_by_Stock!AY16&gt;0,(RunSize_by_Stock!AY16-Escapements!AY17)/RunSize_by_Stock!AY16,"")</f>
        <v>0.22072861874147673</v>
      </c>
      <c r="AZ64">
        <f>IF(RunSize_by_Stock!AZ16&gt;0,(RunSize_by_Stock!AZ16-Escapements!AZ17)/RunSize_by_Stock!AZ16,"")</f>
        <v>0.11166173263195599</v>
      </c>
      <c r="BA64">
        <f>IF(RunSize_by_Stock!BA16&gt;0,(RunSize_by_Stock!BA16-Escapements!BA17)/RunSize_by_Stock!BA16,"")</f>
        <v>0.3020024519820188</v>
      </c>
      <c r="BB64">
        <f>IF(RunSize_by_Stock!BB16&gt;0,(RunSize_by_Stock!BB16-Escapements!BB17)/RunSize_by_Stock!BB16,"")</f>
        <v>0.3021100081588709</v>
      </c>
      <c r="BC64">
        <f>IF(RunSize_by_Stock!BC16&gt;0,(RunSize_by_Stock!BC16-Escapements!BC17)/RunSize_by_Stock!BC16,"")</f>
        <v>0.43892995424146425</v>
      </c>
      <c r="BD64">
        <f>IF(RunSize_by_Stock!BD16&gt;0,(RunSize_by_Stock!BD16-Escapements!BD17)/RunSize_by_Stock!BD16,"")</f>
        <v>0.43895348837209303</v>
      </c>
      <c r="BE64">
        <f>IF(RunSize_by_Stock!BE16&gt;0,(RunSize_by_Stock!BE16-Escapements!BE17)/RunSize_by_Stock!BE16,"")</f>
        <v>0.25204888569374551</v>
      </c>
      <c r="BF64">
        <f>IF(RunSize_by_Stock!BF16&gt;0,(RunSize_by_Stock!BF16-Escapements!BF17)/RunSize_by_Stock!BF16,"")</f>
        <v>0.15254237288135594</v>
      </c>
      <c r="BG64">
        <f>IF(RunSize_by_Stock!BG16&gt;0,(RunSize_by_Stock!BG16-Escapements!BG17)/RunSize_by_Stock!BG16,"")</f>
        <v>0.21048622729288505</v>
      </c>
      <c r="BH64">
        <f>IF(RunSize_by_Stock!BH16&gt;0,(RunSize_by_Stock!BH16-Escapements!BH17)/RunSize_by_Stock!BH16,"")</f>
        <v>0.29287598944591031</v>
      </c>
      <c r="BI64">
        <f>IF(RunSize_by_Stock!BI16&gt;0,(RunSize_by_Stock!BI16-Escapements!BI17)/RunSize_by_Stock!BI16,"")</f>
        <v>1.3137849127692686E-2</v>
      </c>
      <c r="BJ64">
        <f>IF(RunSize_by_Stock!BJ16&gt;0,(RunSize_by_Stock!BJ16-Escapements!BJ17)/RunSize_by_Stock!BJ16,"")</f>
        <v>8.1425515452186972E-2</v>
      </c>
      <c r="BK64">
        <f>IF(RunSize_by_Stock!BK16&gt;0,(RunSize_by_Stock!BK16-Escapements!BK17)/RunSize_by_Stock!BK16,"")</f>
        <v>6.9148936170212769E-2</v>
      </c>
      <c r="BL64">
        <f>IF(RunSize_by_Stock!BL16&gt;0,(RunSize_by_Stock!BL16-Escapements!BL17)/RunSize_by_Stock!BL16,"")</f>
        <v>0.25</v>
      </c>
      <c r="BM64">
        <f>IF(RunSize_by_Stock!BM16&gt;0,(RunSize_by_Stock!BM16-Escapements!BM17)/RunSize_by_Stock!BM16,"")</f>
        <v>0.2</v>
      </c>
      <c r="BN64">
        <f>IF(RunSize_by_Stock!BN16&gt;0,(RunSize_by_Stock!BN16-Escapements!BN17)/RunSize_by_Stock!BN16,"")</f>
        <v>0.22279792746113988</v>
      </c>
      <c r="BO64">
        <f>IF(RunSize_by_Stock!BO16&gt;0,(RunSize_by_Stock!BO16-Escapements!BO17)/RunSize_by_Stock!BO16,"")</f>
        <v>0.14351227532749805</v>
      </c>
      <c r="BP64">
        <f>IF(RunSize_by_Stock!BP16&gt;0,(RunSize_by_Stock!BP16-Escapements!BP17)/RunSize_by_Stock!BP16,"")</f>
        <v>0.14285714285714285</v>
      </c>
      <c r="BQ64">
        <f>IF(RunSize_by_Stock!BQ16&gt;0,(RunSize_by_Stock!BQ16-Escapements!BQ17)/RunSize_by_Stock!BQ16,"")</f>
        <v>7.9325444295884426E-3</v>
      </c>
      <c r="BR64">
        <f>IF(RunSize_by_Stock!BR16&gt;0,(RunSize_by_Stock!BR16-Escapements!BR17)/RunSize_by_Stock!BR16,"")</f>
        <v>0.27710843373493976</v>
      </c>
      <c r="BS64">
        <f>IF(RunSize_by_Stock!BS16&gt;0,(RunSize_by_Stock!BS16-Escapements!BS17)/RunSize_by_Stock!BS16,"")</f>
        <v>0.19788990433508469</v>
      </c>
      <c r="BT64">
        <f>IF(RunSize_by_Stock!BT16&gt;0,(RunSize_by_Stock!BT16-Escapements!BT17)/RunSize_by_Stock!BT16,"")</f>
        <v>0.28195129361453775</v>
      </c>
      <c r="BU64">
        <f>IF(RunSize_by_Stock!BU16&gt;0,(RunSize_by_Stock!BU16-Escapements!BU17)/RunSize_by_Stock!BU16,"")</f>
        <v>0.19014088957099481</v>
      </c>
      <c r="BV64">
        <f>IF(RunSize_by_Stock!BV16&gt;0,(RunSize_by_Stock!BV16-Escapements!BV17)/RunSize_by_Stock!BV16,"")</f>
        <v>0.2704623037029138</v>
      </c>
      <c r="BW64">
        <f>IF(RunSize_by_Stock!BW16&gt;0,(RunSize_by_Stock!BW16-Escapements!BW17)/RunSize_by_Stock!BW16,"")</f>
        <v>0.23149609401055696</v>
      </c>
      <c r="BX64">
        <f>IF(RunSize_by_Stock!BX16&gt;0,(RunSize_by_Stock!BX16-Escapements!BX17)/RunSize_by_Stock!BX16,"")</f>
        <v>0.22561916419732073</v>
      </c>
      <c r="BY64">
        <f>IF(RunSize_by_Stock!BY16&gt;0,(RunSize_by_Stock!BY16-Escapements!BY17)/RunSize_by_Stock!BY16,"")</f>
        <v>0.2774566473988439</v>
      </c>
      <c r="BZ64">
        <f>IF(RunSize_by_Stock!BZ16&gt;0,(RunSize_by_Stock!BZ16-Escapements!BZ17)/RunSize_by_Stock!BZ16,"")</f>
        <v>0.2774566473988439</v>
      </c>
      <c r="CA64">
        <f>IF(RunSize_by_Stock!CA16&gt;0,(RunSize_by_Stock!CA16-Escapements!CA17)/RunSize_by_Stock!CA16,"")</f>
        <v>0.21209095900234701</v>
      </c>
      <c r="CB64">
        <f>IF(RunSize_by_Stock!CB16&gt;0,(RunSize_by_Stock!CB16-Escapements!CB17)/RunSize_by_Stock!CB16,"")</f>
        <v>0.21000535831736669</v>
      </c>
      <c r="CC64">
        <f>IF(RunSize_by_Stock!CC16&gt;0,(RunSize_by_Stock!CC16-Escapements!CC17)/RunSize_by_Stock!CC16,"")</f>
        <v>0.17992902881112582</v>
      </c>
      <c r="CD64" t="str">
        <f>IF(RunSize_by_Stock!CD16&gt;0,(RunSize_by_Stock!CD16-Escapements!CD17)/RunSize_by_Stock!CD16,"")</f>
        <v/>
      </c>
      <c r="CE64">
        <f>IF(RunSize_by_Stock!CE16&gt;0,(RunSize_by_Stock!CE16-Escapements!CE17)/RunSize_by_Stock!CE16,"")</f>
        <v>0.2023397414513613</v>
      </c>
      <c r="CF64">
        <f>IF(RunSize_by_Stock!CF16&gt;0,(RunSize_by_Stock!CF16-Escapements!CF17)/RunSize_by_Stock!CF16,"")</f>
        <v>0.17886178861788618</v>
      </c>
      <c r="CG64">
        <f>IF(RunSize_by_Stock!CG16&gt;0,(RunSize_by_Stock!CG16-Escapements!CG17)/RunSize_by_Stock!CG16,"")</f>
        <v>0.34077079107505071</v>
      </c>
      <c r="CH64">
        <f t="shared" si="3"/>
        <v>0.22861688235192165</v>
      </c>
    </row>
    <row r="65" spans="1:86" x14ac:dyDescent="0.55000000000000004">
      <c r="A65">
        <f t="shared" si="2"/>
        <v>1994</v>
      </c>
      <c r="B65">
        <f>IF(RunSize_by_Stock!B17&gt;0,(RunSize_by_Stock!B17-Escapements!B18)/RunSize_by_Stock!B17,"")</f>
        <v>0.19819004524886877</v>
      </c>
      <c r="C65">
        <f>IF(RunSize_by_Stock!C17&gt;0,(RunSize_by_Stock!C17-Escapements!C18)/RunSize_by_Stock!C17,"")</f>
        <v>0.12900575184880855</v>
      </c>
      <c r="D65">
        <f>IF(RunSize_by_Stock!D17&gt;0,(RunSize_by_Stock!D17-Escapements!D18)/RunSize_by_Stock!D17,"")</f>
        <v>0.1991145798801621</v>
      </c>
      <c r="E65">
        <f>IF(RunSize_by_Stock!E17&gt;0,(RunSize_by_Stock!E17-Escapements!E18)/RunSize_by_Stock!E17,"")</f>
        <v>0.18181818181818182</v>
      </c>
      <c r="F65">
        <f>IF(RunSize_by_Stock!F17&gt;0,(RunSize_by_Stock!F17-Escapements!F18)/RunSize_by_Stock!F17,"")</f>
        <v>0.18177855274629467</v>
      </c>
      <c r="G65">
        <f>IF(RunSize_by_Stock!G17&gt;0,(RunSize_by_Stock!G17-Escapements!G18)/RunSize_by_Stock!G17,"")</f>
        <v>0.18355040197136369</v>
      </c>
      <c r="H65">
        <f>IF(RunSize_by_Stock!H17&gt;0,(RunSize_by_Stock!H17-Escapements!H18)/RunSize_by_Stock!H17,"")</f>
        <v>0.18867924528301888</v>
      </c>
      <c r="I65">
        <f>IF(RunSize_by_Stock!I17&gt;0,(RunSize_by_Stock!I17-Escapements!I18)/RunSize_by_Stock!I17,"")</f>
        <v>0.18611111111111112</v>
      </c>
      <c r="J65">
        <f>IF(RunSize_by_Stock!J17&gt;0,(RunSize_by_Stock!J17-Escapements!J18)/RunSize_by_Stock!J17,"")</f>
        <v>0.18852999340804219</v>
      </c>
      <c r="K65">
        <f>IF(RunSize_by_Stock!K17&gt;0,(RunSize_by_Stock!K17-Escapements!K18)/RunSize_by_Stock!K17,"")</f>
        <v>0.17808219178082191</v>
      </c>
      <c r="L65">
        <f>IF(RunSize_by_Stock!L17&gt;0,(RunSize_by_Stock!L17-Escapements!L18)/RunSize_by_Stock!L17,"")</f>
        <v>0.18532654792196776</v>
      </c>
      <c r="M65">
        <f>IF(RunSize_by_Stock!M17&gt;0,(RunSize_by_Stock!M17-Escapements!M18)/RunSize_by_Stock!M17,"")</f>
        <v>0.16704805491990846</v>
      </c>
      <c r="N65">
        <f>IF(RunSize_by_Stock!N17&gt;0,(RunSize_by_Stock!N17-Escapements!N18)/RunSize_by_Stock!N17,"")</f>
        <v>0.13591893780573025</v>
      </c>
      <c r="O65">
        <f>IF(RunSize_by_Stock!O17&gt;0,(RunSize_by_Stock!O17-Escapements!O18)/RunSize_by_Stock!O17,"")</f>
        <v>0.16716375127241048</v>
      </c>
      <c r="P65">
        <f>IF(RunSize_by_Stock!P17&gt;0,(RunSize_by_Stock!P17-Escapements!P18)/RunSize_by_Stock!P17,"")</f>
        <v>0.1704636663629685</v>
      </c>
      <c r="Q65">
        <f>IF(RunSize_by_Stock!Q17&gt;0,(RunSize_by_Stock!Q17-Escapements!Q18)/RunSize_by_Stock!Q17,"")</f>
        <v>0.12874216866709451</v>
      </c>
      <c r="R65">
        <f>IF(RunSize_by_Stock!R17&gt;0,(RunSize_by_Stock!R17-Escapements!R18)/RunSize_by_Stock!R17,"")</f>
        <v>0.11683848797250859</v>
      </c>
      <c r="S65">
        <f>IF(RunSize_by_Stock!S17&gt;0,(RunSize_by_Stock!S17-Escapements!S18)/RunSize_by_Stock!S17,"")</f>
        <v>0.16666666666666666</v>
      </c>
      <c r="T65">
        <f>IF(RunSize_by_Stock!T17&gt;0,(RunSize_by_Stock!T17-Escapements!T18)/RunSize_by_Stock!T17,"")</f>
        <v>0.12528823981552653</v>
      </c>
      <c r="U65">
        <f>IF(RunSize_by_Stock!U17&gt;0,(RunSize_by_Stock!U17-Escapements!U18)/RunSize_by_Stock!U17,"")</f>
        <v>9.0909090909090912E-2</v>
      </c>
      <c r="V65">
        <f>IF(RunSize_by_Stock!V17&gt;0,(RunSize_by_Stock!V17-Escapements!V18)/RunSize_by_Stock!V17,"")</f>
        <v>0.14163090128755365</v>
      </c>
      <c r="W65">
        <f>IF(RunSize_by_Stock!W17&gt;0,(RunSize_by_Stock!W17-Escapements!W18)/RunSize_by_Stock!W17,"")</f>
        <v>0.2119205298013245</v>
      </c>
      <c r="X65">
        <f>IF(RunSize_by_Stock!X17&gt;0,(RunSize_by_Stock!X17-Escapements!X18)/RunSize_by_Stock!X17,"")</f>
        <v>0.18198728689113403</v>
      </c>
      <c r="Y65">
        <f>IF(RunSize_by_Stock!Y17&gt;0,(RunSize_by_Stock!Y17-Escapements!Y18)/RunSize_by_Stock!Y17,"")</f>
        <v>0.19082125603864733</v>
      </c>
      <c r="Z65">
        <f>IF(RunSize_by_Stock!Z17&gt;0,(RunSize_by_Stock!Z17-Escapements!Z18)/RunSize_by_Stock!Z17,"")</f>
        <v>0.30299401197604792</v>
      </c>
      <c r="AA65">
        <f>IF(RunSize_by_Stock!AA17&gt;0,(RunSize_by_Stock!AA17-Escapements!AA18)/RunSize_by_Stock!AA17,"")</f>
        <v>0.19471153846153846</v>
      </c>
      <c r="AB65">
        <f>IF(RunSize_by_Stock!AB17&gt;0,(RunSize_by_Stock!AB17-Escapements!AB18)/RunSize_by_Stock!AB17,"")</f>
        <v>0.10972996142306043</v>
      </c>
      <c r="AC65">
        <f>IF(RunSize_by_Stock!AC17&gt;0,(RunSize_by_Stock!AC17-Escapements!AC18)/RunSize_by_Stock!AC17,"")</f>
        <v>0.11394862720937042</v>
      </c>
      <c r="AD65">
        <f>IF(RunSize_by_Stock!AD17&gt;0,(RunSize_by_Stock!AD17-Escapements!AD18)/RunSize_by_Stock!AD17,"")</f>
        <v>0.21285750797790098</v>
      </c>
      <c r="AE65">
        <f>IF(RunSize_by_Stock!AE17&gt;0,(RunSize_by_Stock!AE17-Escapements!AE18)/RunSize_by_Stock!AE17,"")</f>
        <v>0.11238945231634846</v>
      </c>
      <c r="AF65">
        <f>IF(RunSize_by_Stock!AF17&gt;0,(RunSize_by_Stock!AF17-Escapements!AF18)/RunSize_by_Stock!AF17,"")</f>
        <v>0.11188811188811189</v>
      </c>
      <c r="AG65" t="str">
        <f>IF(RunSize_by_Stock!AG17&gt;0,(RunSize_by_Stock!AG17-Escapements!AG18)/RunSize_by_Stock!AG17,"")</f>
        <v/>
      </c>
      <c r="AH65">
        <f>IF(RunSize_by_Stock!AH17&gt;0,(RunSize_by_Stock!AH17-Escapements!AH18)/RunSize_by_Stock!AH17,"")</f>
        <v>0.14583333333333334</v>
      </c>
      <c r="AI65">
        <f>IF(RunSize_by_Stock!AI17&gt;0,(RunSize_by_Stock!AI17-Escapements!AI18)/RunSize_by_Stock!AI17,"")</f>
        <v>0.12195121951219512</v>
      </c>
      <c r="AJ65">
        <f>IF(RunSize_by_Stock!AJ17&gt;0,(RunSize_by_Stock!AJ17-Escapements!AJ18)/RunSize_by_Stock!AJ17,"")</f>
        <v>0.19767441860465115</v>
      </c>
      <c r="AK65">
        <f>IF(RunSize_by_Stock!AK17&gt;0,(RunSize_by_Stock!AK17-Escapements!AK18)/RunSize_by_Stock!AK17,"")</f>
        <v>0.1743119266055046</v>
      </c>
      <c r="AL65">
        <f>IF(RunSize_by_Stock!AL17&gt;0,(RunSize_by_Stock!AL17-Escapements!AL18)/RunSize_by_Stock!AL17,"")</f>
        <v>0.21774077795320798</v>
      </c>
      <c r="AM65">
        <f>IF(RunSize_by_Stock!AM17&gt;0,(RunSize_by_Stock!AM17-Escapements!AM18)/RunSize_by_Stock!AM17,"")</f>
        <v>0.15705128205128205</v>
      </c>
      <c r="AN65">
        <f>IF(RunSize_by_Stock!AN17&gt;0,(RunSize_by_Stock!AN17-Escapements!AN18)/RunSize_by_Stock!AN17,"")</f>
        <v>0.10218340611353711</v>
      </c>
      <c r="AO65">
        <f>IF(RunSize_by_Stock!AO17&gt;0,(RunSize_by_Stock!AO17-Escapements!AO18)/RunSize_by_Stock!AO17,"")</f>
        <v>0.27868852459016391</v>
      </c>
      <c r="AP65">
        <f>IF(RunSize_by_Stock!AP17&gt;0,(RunSize_by_Stock!AP17-Escapements!AP18)/RunSize_by_Stock!AP17,"")</f>
        <v>0.34278350515463918</v>
      </c>
      <c r="AQ65">
        <f>IF(RunSize_by_Stock!AQ17&gt;0,(RunSize_by_Stock!AQ17-Escapements!AQ18)/RunSize_by_Stock!AQ17,"")</f>
        <v>0.18160377358490565</v>
      </c>
      <c r="AR65">
        <f>IF(RunSize_by_Stock!AR17&gt;0,(RunSize_by_Stock!AR17-Escapements!AR18)/RunSize_by_Stock!AR17,"")</f>
        <v>0.14630974949596692</v>
      </c>
      <c r="AS65">
        <f>IF(RunSize_by_Stock!AS17&gt;0,(RunSize_by_Stock!AS17-Escapements!AS18)/RunSize_by_Stock!AS17,"")</f>
        <v>0.13636586482098195</v>
      </c>
      <c r="AT65">
        <f>IF(RunSize_by_Stock!AT17&gt;0,(RunSize_by_Stock!AT17-Escapements!AT18)/RunSize_by_Stock!AT17,"")</f>
        <v>0.23845623090849102</v>
      </c>
      <c r="AU65">
        <f>IF(RunSize_by_Stock!AU17&gt;0,(RunSize_by_Stock!AU17-Escapements!AU18)/RunSize_by_Stock!AU17,"")</f>
        <v>0.12727272727272726</v>
      </c>
      <c r="AV65">
        <f>IF(RunSize_by_Stock!AV17&gt;0,(RunSize_by_Stock!AV17-Escapements!AV18)/RunSize_by_Stock!AV17,"")</f>
        <v>0.18381877022653723</v>
      </c>
      <c r="AW65">
        <f>IF(RunSize_by_Stock!AW17&gt;0,(RunSize_by_Stock!AW17-Escapements!AW18)/RunSize_by_Stock!AW17,"")</f>
        <v>0.26817042606516289</v>
      </c>
      <c r="AX65">
        <f>IF(RunSize_by_Stock!AX17&gt;0,(RunSize_by_Stock!AX17-Escapements!AX18)/RunSize_by_Stock!AX17,"")</f>
        <v>0.22677165354330708</v>
      </c>
      <c r="AY65">
        <f>IF(RunSize_by_Stock!AY17&gt;0,(RunSize_by_Stock!AY17-Escapements!AY18)/RunSize_by_Stock!AY17,"")</f>
        <v>0.25343672893902008</v>
      </c>
      <c r="AZ65">
        <f>IF(RunSize_by_Stock!AZ17&gt;0,(RunSize_by_Stock!AZ17-Escapements!AZ18)/RunSize_by_Stock!AZ17,"")</f>
        <v>0.13819159865338085</v>
      </c>
      <c r="BA65">
        <f>IF(RunSize_by_Stock!BA17&gt;0,(RunSize_by_Stock!BA17-Escapements!BA18)/RunSize_by_Stock!BA17,"")</f>
        <v>0.25994318181818182</v>
      </c>
      <c r="BB65">
        <f>IF(RunSize_by_Stock!BB17&gt;0,(RunSize_by_Stock!BB17-Escapements!BB18)/RunSize_by_Stock!BB17,"")</f>
        <v>0.2899716177861873</v>
      </c>
      <c r="BC65">
        <f>IF(RunSize_by_Stock!BC17&gt;0,(RunSize_by_Stock!BC17-Escapements!BC18)/RunSize_by_Stock!BC17,"")</f>
        <v>0.36188811188811187</v>
      </c>
      <c r="BD65">
        <f>IF(RunSize_by_Stock!BD17&gt;0,(RunSize_by_Stock!BD17-Escapements!BD18)/RunSize_by_Stock!BD17,"")</f>
        <v>0.36195286195286197</v>
      </c>
      <c r="BE65">
        <f>IF(RunSize_by_Stock!BE17&gt;0,(RunSize_by_Stock!BE17-Escapements!BE18)/RunSize_by_Stock!BE17,"")</f>
        <v>0.24891067538126363</v>
      </c>
      <c r="BF65">
        <f>IF(RunSize_by_Stock!BF17&gt;0,(RunSize_by_Stock!BF17-Escapements!BF18)/RunSize_by_Stock!BF17,"")</f>
        <v>0.10256410256410256</v>
      </c>
      <c r="BG65">
        <f>IF(RunSize_by_Stock!BG17&gt;0,(RunSize_by_Stock!BG17-Escapements!BG18)/RunSize_by_Stock!BG17,"")</f>
        <v>0.25890007410836624</v>
      </c>
      <c r="BH65">
        <f>IF(RunSize_by_Stock!BH17&gt;0,(RunSize_by_Stock!BH17-Escapements!BH18)/RunSize_by_Stock!BH17,"")</f>
        <v>0.28516377649325625</v>
      </c>
      <c r="BI65">
        <f>IF(RunSize_by_Stock!BI17&gt;0,(RunSize_by_Stock!BI17-Escapements!BI18)/RunSize_by_Stock!BI17,"")</f>
        <v>1.7818952348100329E-2</v>
      </c>
      <c r="BJ65">
        <f>IF(RunSize_by_Stock!BJ17&gt;0,(RunSize_by_Stock!BJ17-Escapements!BJ18)/RunSize_by_Stock!BJ17,"")</f>
        <v>9.6721131703037616E-2</v>
      </c>
      <c r="BK65">
        <f>IF(RunSize_by_Stock!BK17&gt;0,(RunSize_by_Stock!BK17-Escapements!BK18)/RunSize_by_Stock!BK17,"")</f>
        <v>6.0635229175382929E-2</v>
      </c>
      <c r="BL65">
        <f>IF(RunSize_by_Stock!BL17&gt;0,(RunSize_by_Stock!BL17-Escapements!BL18)/RunSize_by_Stock!BL17,"")</f>
        <v>0.12727272727272726</v>
      </c>
      <c r="BM65">
        <f>IF(RunSize_by_Stock!BM17&gt;0,(RunSize_by_Stock!BM17-Escapements!BM18)/RunSize_by_Stock!BM17,"")</f>
        <v>0.2</v>
      </c>
      <c r="BN65">
        <f>IF(RunSize_by_Stock!BN17&gt;0,(RunSize_by_Stock!BN17-Escapements!BN18)/RunSize_by_Stock!BN17,"")</f>
        <v>0.2041865469205266</v>
      </c>
      <c r="BO65">
        <f>IF(RunSize_by_Stock!BO17&gt;0,(RunSize_by_Stock!BO17-Escapements!BO18)/RunSize_by_Stock!BO17,"")</f>
        <v>0.15461608292753701</v>
      </c>
      <c r="BP65">
        <f>IF(RunSize_by_Stock!BP17&gt;0,(RunSize_by_Stock!BP17-Escapements!BP18)/RunSize_by_Stock!BP17,"")</f>
        <v>0.15234828702480907</v>
      </c>
      <c r="BQ65">
        <f>IF(RunSize_by_Stock!BQ17&gt;0,(RunSize_by_Stock!BQ17-Escapements!BQ18)/RunSize_by_Stock!BQ17,"")</f>
        <v>1.2537049028909564E-2</v>
      </c>
      <c r="BR65">
        <f>IF(RunSize_by_Stock!BR17&gt;0,(RunSize_by_Stock!BR17-Escapements!BR18)/RunSize_by_Stock!BR17,"")</f>
        <v>0.19093851132686085</v>
      </c>
      <c r="BS65">
        <f>IF(RunSize_by_Stock!BS17&gt;0,(RunSize_by_Stock!BS17-Escapements!BS18)/RunSize_by_Stock!BS17,"")</f>
        <v>0.23545534644086236</v>
      </c>
      <c r="BT65">
        <f>IF(RunSize_by_Stock!BT17&gt;0,(RunSize_by_Stock!BT17-Escapements!BT18)/RunSize_by_Stock!BT17,"")</f>
        <v>0.32400339270568279</v>
      </c>
      <c r="BU65">
        <f>IF(RunSize_by_Stock!BU17&gt;0,(RunSize_by_Stock!BU17-Escapements!BU18)/RunSize_by_Stock!BU17,"")</f>
        <v>0.24633979386237023</v>
      </c>
      <c r="BV65">
        <f>IF(RunSize_by_Stock!BV17&gt;0,(RunSize_by_Stock!BV17-Escapements!BV18)/RunSize_by_Stock!BV17,"")</f>
        <v>0.18070930381858241</v>
      </c>
      <c r="BW65">
        <f>IF(RunSize_by_Stock!BW17&gt;0,(RunSize_by_Stock!BW17-Escapements!BW18)/RunSize_by_Stock!BW17,"")</f>
        <v>0.16666666666666666</v>
      </c>
      <c r="BX65">
        <f>IF(RunSize_by_Stock!BX17&gt;0,(RunSize_by_Stock!BX17-Escapements!BX18)/RunSize_by_Stock!BX17,"")</f>
        <v>0.16666666666666666</v>
      </c>
      <c r="BY65">
        <f>IF(RunSize_by_Stock!BY17&gt;0,(RunSize_by_Stock!BY17-Escapements!BY18)/RunSize_by_Stock!BY17,"")</f>
        <v>0.19168591224018475</v>
      </c>
      <c r="BZ65">
        <f>IF(RunSize_by_Stock!BZ17&gt;0,(RunSize_by_Stock!BZ17-Escapements!BZ18)/RunSize_by_Stock!BZ17,"")</f>
        <v>0.19093851132686085</v>
      </c>
      <c r="CA65">
        <f>IF(RunSize_by_Stock!CA17&gt;0,(RunSize_by_Stock!CA17-Escapements!CA18)/RunSize_by_Stock!CA17,"")</f>
        <v>0.13345152217687223</v>
      </c>
      <c r="CB65">
        <f>IF(RunSize_by_Stock!CB17&gt;0,(RunSize_by_Stock!CB17-Escapements!CB18)/RunSize_by_Stock!CB17,"")</f>
        <v>0.23785768627922571</v>
      </c>
      <c r="CC65">
        <f>IF(RunSize_by_Stock!CC17&gt;0,(RunSize_by_Stock!CC17-Escapements!CC18)/RunSize_by_Stock!CC17,"")</f>
        <v>0.10429394515654014</v>
      </c>
      <c r="CD65" t="str">
        <f>IF(RunSize_by_Stock!CD17&gt;0,(RunSize_by_Stock!CD17-Escapements!CD18)/RunSize_by_Stock!CD17,"")</f>
        <v/>
      </c>
      <c r="CE65">
        <f>IF(RunSize_by_Stock!CE17&gt;0,(RunSize_by_Stock!CE17-Escapements!CE18)/RunSize_by_Stock!CE17,"")</f>
        <v>9.6389671691582801E-2</v>
      </c>
      <c r="CF65">
        <f>IF(RunSize_by_Stock!CF17&gt;0,(RunSize_by_Stock!CF17-Escapements!CF18)/RunSize_by_Stock!CF17,"")</f>
        <v>0.11020408163265306</v>
      </c>
      <c r="CG65">
        <f>IF(RunSize_by_Stock!CG17&gt;0,(RunSize_by_Stock!CG17-Escapements!CG18)/RunSize_by_Stock!CG17,"")</f>
        <v>0.36450216450216449</v>
      </c>
      <c r="CH65">
        <f t="shared" si="3"/>
        <v>0.18205188237802089</v>
      </c>
    </row>
    <row r="66" spans="1:86" x14ac:dyDescent="0.55000000000000004">
      <c r="A66">
        <f t="shared" si="2"/>
        <v>1995</v>
      </c>
      <c r="B66">
        <f>IF(RunSize_by_Stock!B18&gt;0,(RunSize_by_Stock!B18-Escapements!B19)/RunSize_by_Stock!B18,"")</f>
        <v>0.18716049382716049</v>
      </c>
      <c r="C66">
        <f>IF(RunSize_by_Stock!C18&gt;0,(RunSize_by_Stock!C18-Escapements!C19)/RunSize_by_Stock!C18,"")</f>
        <v>0.10160919540229885</v>
      </c>
      <c r="D66">
        <f>IF(RunSize_by_Stock!D18&gt;0,(RunSize_by_Stock!D18-Escapements!D19)/RunSize_by_Stock!D18,"")</f>
        <v>0.18867924528301888</v>
      </c>
      <c r="E66">
        <f>IF(RunSize_by_Stock!E18&gt;0,(RunSize_by_Stock!E18-Escapements!E19)/RunSize_by_Stock!E18,"")</f>
        <v>0.17088607594936708</v>
      </c>
      <c r="F66">
        <f>IF(RunSize_by_Stock!F18&gt;0,(RunSize_by_Stock!F18-Escapements!F19)/RunSize_by_Stock!F18,"")</f>
        <v>0.16775534441805226</v>
      </c>
      <c r="G66">
        <f>IF(RunSize_by_Stock!G18&gt;0,(RunSize_by_Stock!G18-Escapements!G19)/RunSize_by_Stock!G18,"")</f>
        <v>0.17857142857142858</v>
      </c>
      <c r="H66" t="str">
        <f>IF(RunSize_by_Stock!H18&gt;0,(RunSize_by_Stock!H18-Escapements!H19)/RunSize_by_Stock!H18,"")</f>
        <v/>
      </c>
      <c r="I66">
        <f>IF(RunSize_by_Stock!I18&gt;0,(RunSize_by_Stock!I18-Escapements!I19)/RunSize_by_Stock!I18,"")</f>
        <v>0.17184265010351968</v>
      </c>
      <c r="J66">
        <f>IF(RunSize_by_Stock!J18&gt;0,(RunSize_by_Stock!J18-Escapements!J19)/RunSize_by_Stock!J18,"")</f>
        <v>0.17585301837270342</v>
      </c>
      <c r="K66">
        <f>IF(RunSize_by_Stock!K18&gt;0,(RunSize_by_Stock!K18-Escapements!K19)/RunSize_by_Stock!K18,"")</f>
        <v>0.16513761467889909</v>
      </c>
      <c r="L66">
        <f>IF(RunSize_by_Stock!L18&gt;0,(RunSize_by_Stock!L18-Escapements!L19)/RunSize_by_Stock!L18,"")</f>
        <v>0.17229336437718276</v>
      </c>
      <c r="M66">
        <f>IF(RunSize_by_Stock!M18&gt;0,(RunSize_by_Stock!M18-Escapements!M19)/RunSize_by_Stock!M18,"")</f>
        <v>0.14833759590792839</v>
      </c>
      <c r="N66">
        <f>IF(RunSize_by_Stock!N18&gt;0,(RunSize_by_Stock!N18-Escapements!N19)/RunSize_by_Stock!N18,"")</f>
        <v>0.10881226053639846</v>
      </c>
      <c r="O66">
        <f>IF(RunSize_by_Stock!O18&gt;0,(RunSize_by_Stock!O18-Escapements!O19)/RunSize_by_Stock!O18,"")</f>
        <v>0.13177085012056527</v>
      </c>
      <c r="P66">
        <f>IF(RunSize_by_Stock!P18&gt;0,(RunSize_by_Stock!P18-Escapements!P19)/RunSize_by_Stock!P18,"")</f>
        <v>0.15310692544200866</v>
      </c>
      <c r="Q66">
        <f>IF(RunSize_by_Stock!Q18&gt;0,(RunSize_by_Stock!Q18-Escapements!Q19)/RunSize_by_Stock!Q18,"")</f>
        <v>0.10128553732943331</v>
      </c>
      <c r="R66">
        <f>IF(RunSize_by_Stock!R18&gt;0,(RunSize_by_Stock!R18-Escapements!R19)/RunSize_by_Stock!R18,"")</f>
        <v>8.8978766430738113E-2</v>
      </c>
      <c r="S66">
        <f>IF(RunSize_by_Stock!S18&gt;0,(RunSize_by_Stock!S18-Escapements!S19)/RunSize_by_Stock!S18,"")</f>
        <v>0.14684354986276305</v>
      </c>
      <c r="T66">
        <f>IF(RunSize_by_Stock!T18&gt;0,(RunSize_by_Stock!T18-Escapements!T19)/RunSize_by_Stock!T18,"")</f>
        <v>0.11247443762781185</v>
      </c>
      <c r="U66">
        <f>IF(RunSize_by_Stock!U18&gt;0,(RunSize_by_Stock!U18-Escapements!U19)/RunSize_by_Stock!U18,"")</f>
        <v>9.0298197970013414E-2</v>
      </c>
      <c r="V66">
        <f>IF(RunSize_by_Stock!V18&gt;0,(RunSize_by_Stock!V18-Escapements!V19)/RunSize_by_Stock!V18,"")</f>
        <v>0.13194444444444445</v>
      </c>
      <c r="W66">
        <f>IF(RunSize_by_Stock!W18&gt;0,(RunSize_by_Stock!W18-Escapements!W19)/RunSize_by_Stock!W18,"")</f>
        <v>0.31506849315068491</v>
      </c>
      <c r="X66">
        <f>IF(RunSize_by_Stock!X18&gt;0,(RunSize_by_Stock!X18-Escapements!X19)/RunSize_by_Stock!X18,"")</f>
        <v>0.17692791801187624</v>
      </c>
      <c r="Y66">
        <f>IF(RunSize_by_Stock!Y18&gt;0,(RunSize_by_Stock!Y18-Escapements!Y19)/RunSize_by_Stock!Y18,"")</f>
        <v>0.22048997772828507</v>
      </c>
      <c r="Z66">
        <f>IF(RunSize_by_Stock!Z18&gt;0,(RunSize_by_Stock!Z18-Escapements!Z19)/RunSize_by_Stock!Z18,"")</f>
        <v>0.39452978643686776</v>
      </c>
      <c r="AA66">
        <f>IF(RunSize_by_Stock!AA18&gt;0,(RunSize_by_Stock!AA18-Escapements!AA19)/RunSize_by_Stock!AA18,"")</f>
        <v>0.19980411361410383</v>
      </c>
      <c r="AB66">
        <f>IF(RunSize_by_Stock!AB18&gt;0,(RunSize_by_Stock!AB18-Escapements!AB19)/RunSize_by_Stock!AB18,"")</f>
        <v>9.3137254901960786E-2</v>
      </c>
      <c r="AC66">
        <f>IF(RunSize_by_Stock!AC18&gt;0,(RunSize_by_Stock!AC18-Escapements!AC19)/RunSize_by_Stock!AC18,"")</f>
        <v>9.7790856620868255E-2</v>
      </c>
      <c r="AD66">
        <f>IF(RunSize_by_Stock!AD18&gt;0,(RunSize_by_Stock!AD18-Escapements!AD19)/RunSize_by_Stock!AD18,"")</f>
        <v>0.31678486997635935</v>
      </c>
      <c r="AE66">
        <f>IF(RunSize_by_Stock!AE18&gt;0,(RunSize_by_Stock!AE18-Escapements!AE19)/RunSize_by_Stock!AE18,"")</f>
        <v>9.5757356787103468E-2</v>
      </c>
      <c r="AF66">
        <f>IF(RunSize_by_Stock!AF18&gt;0,(RunSize_by_Stock!AF18-Escapements!AF19)/RunSize_by_Stock!AF18,"")</f>
        <v>0.10068649885583524</v>
      </c>
      <c r="AG66" t="str">
        <f>IF(RunSize_by_Stock!AG18&gt;0,(RunSize_by_Stock!AG18-Escapements!AG19)/RunSize_by_Stock!AG18,"")</f>
        <v/>
      </c>
      <c r="AH66">
        <f>IF(RunSize_by_Stock!AH18&gt;0,(RunSize_by_Stock!AH18-Escapements!AH19)/RunSize_by_Stock!AH18,"")</f>
        <v>0.18087121212121213</v>
      </c>
      <c r="AI66">
        <f>IF(RunSize_by_Stock!AI18&gt;0,(RunSize_by_Stock!AI18-Escapements!AI19)/RunSize_by_Stock!AI18,"")</f>
        <v>0.2857142857142857</v>
      </c>
      <c r="AJ66">
        <f>IF(RunSize_by_Stock!AJ18&gt;0,(RunSize_by_Stock!AJ18-Escapements!AJ19)/RunSize_by_Stock!AJ18,"")</f>
        <v>0.37187647240635352</v>
      </c>
      <c r="AK66">
        <f>IF(RunSize_by_Stock!AK18&gt;0,(RunSize_by_Stock!AK18-Escapements!AK19)/RunSize_by_Stock!AK18,"")</f>
        <v>0.16666666666666666</v>
      </c>
      <c r="AL66">
        <f>IF(RunSize_by_Stock!AL18&gt;0,(RunSize_by_Stock!AL18-Escapements!AL19)/RunSize_by_Stock!AL18,"")</f>
        <v>0.20050164602602288</v>
      </c>
      <c r="AM66">
        <f>IF(RunSize_by_Stock!AM18&gt;0,(RunSize_by_Stock!AM18-Escapements!AM19)/RunSize_by_Stock!AM18,"")</f>
        <v>0.1623578076525336</v>
      </c>
      <c r="AN66">
        <f>IF(RunSize_by_Stock!AN18&gt;0,(RunSize_by_Stock!AN18-Escapements!AN19)/RunSize_by_Stock!AN18,"")</f>
        <v>0.10800260247234873</v>
      </c>
      <c r="AO66">
        <f>IF(RunSize_by_Stock!AO18&gt;0,(RunSize_by_Stock!AO18-Escapements!AO19)/RunSize_by_Stock!AO18,"")</f>
        <v>0.41666666666666669</v>
      </c>
      <c r="AP66">
        <f>IF(RunSize_by_Stock!AP18&gt;0,(RunSize_by_Stock!AP18-Escapements!AP19)/RunSize_by_Stock!AP18,"")</f>
        <v>0.32432432432432434</v>
      </c>
      <c r="AQ66">
        <f>IF(RunSize_by_Stock!AQ18&gt;0,(RunSize_by_Stock!AQ18-Escapements!AQ19)/RunSize_by_Stock!AQ18,"")</f>
        <v>0.19457517146893644</v>
      </c>
      <c r="AR66">
        <f>IF(RunSize_by_Stock!AR18&gt;0,(RunSize_by_Stock!AR18-Escapements!AR19)/RunSize_by_Stock!AR18,"")</f>
        <v>0.1405673518314787</v>
      </c>
      <c r="AS66">
        <f>IF(RunSize_by_Stock!AS18&gt;0,(RunSize_by_Stock!AS18-Escapements!AS19)/RunSize_by_Stock!AS18,"")</f>
        <v>0.17026650918212627</v>
      </c>
      <c r="AT66">
        <f>IF(RunSize_by_Stock!AT18&gt;0,(RunSize_by_Stock!AT18-Escapements!AT19)/RunSize_by_Stock!AT18,"")</f>
        <v>0.27597935766815795</v>
      </c>
      <c r="AU66">
        <f>IF(RunSize_by_Stock!AU18&gt;0,(RunSize_by_Stock!AU18-Escapements!AU19)/RunSize_by_Stock!AU18,"")</f>
        <v>0.13793103448275862</v>
      </c>
      <c r="AV66">
        <f>IF(RunSize_by_Stock!AV18&gt;0,(RunSize_by_Stock!AV18-Escapements!AV19)/RunSize_by_Stock!AV18,"")</f>
        <v>0.15636822194199243</v>
      </c>
      <c r="AW66">
        <f>IF(RunSize_by_Stock!AW18&gt;0,(RunSize_by_Stock!AW18-Escapements!AW19)/RunSize_by_Stock!AW18,"")</f>
        <v>0.34842249657064472</v>
      </c>
      <c r="AX66">
        <f>IF(RunSize_by_Stock!AX18&gt;0,(RunSize_by_Stock!AX18-Escapements!AX19)/RunSize_by_Stock!AX18,"")</f>
        <v>0.36440677966101692</v>
      </c>
      <c r="AY66">
        <f>IF(RunSize_by_Stock!AY18&gt;0,(RunSize_by_Stock!AY18-Escapements!AY19)/RunSize_by_Stock!AY18,"")</f>
        <v>0.36408833391143486</v>
      </c>
      <c r="AZ66">
        <f>IF(RunSize_by_Stock!AZ18&gt;0,(RunSize_by_Stock!AZ18-Escapements!AZ19)/RunSize_by_Stock!AZ18,"")</f>
        <v>0.24112459470152439</v>
      </c>
      <c r="BA66">
        <f>IF(RunSize_by_Stock!BA18&gt;0,(RunSize_by_Stock!BA18-Escapements!BA19)/RunSize_by_Stock!BA18,"")</f>
        <v>0.24037639007698888</v>
      </c>
      <c r="BB66">
        <f>IF(RunSize_by_Stock!BB18&gt;0,(RunSize_by_Stock!BB18-Escapements!BB19)/RunSize_by_Stock!BB18,"")</f>
        <v>0.26413827823460312</v>
      </c>
      <c r="BC66">
        <f>IF(RunSize_by_Stock!BC18&gt;0,(RunSize_by_Stock!BC18-Escapements!BC19)/RunSize_by_Stock!BC18,"")</f>
        <v>0.43725099601593626</v>
      </c>
      <c r="BD66">
        <f>IF(RunSize_by_Stock!BD18&gt;0,(RunSize_by_Stock!BD18-Escapements!BD19)/RunSize_by_Stock!BD18,"")</f>
        <v>0.43722943722943725</v>
      </c>
      <c r="BE66">
        <f>IF(RunSize_by_Stock!BE18&gt;0,(RunSize_by_Stock!BE18-Escapements!BE19)/RunSize_by_Stock!BE18,"")</f>
        <v>0.21213893967093236</v>
      </c>
      <c r="BF66">
        <f>IF(RunSize_by_Stock!BF18&gt;0,(RunSize_by_Stock!BF18-Escapements!BF19)/RunSize_by_Stock!BF18,"")</f>
        <v>6.4520258068549413E-2</v>
      </c>
      <c r="BG66">
        <f>IF(RunSize_by_Stock!BG18&gt;0,(RunSize_by_Stock!BG18-Escapements!BG19)/RunSize_by_Stock!BG18,"")</f>
        <v>0.19734803880505661</v>
      </c>
      <c r="BH66">
        <f>IF(RunSize_by_Stock!BH18&gt;0,(RunSize_by_Stock!BH18-Escapements!BH19)/RunSize_by_Stock!BH18,"")</f>
        <v>0.31063829787234043</v>
      </c>
      <c r="BI66">
        <f>IF(RunSize_by_Stock!BI18&gt;0,(RunSize_by_Stock!BI18-Escapements!BI19)/RunSize_by_Stock!BI18,"")</f>
        <v>1.1382727054547948E-2</v>
      </c>
      <c r="BJ66">
        <f>IF(RunSize_by_Stock!BJ18&gt;0,(RunSize_by_Stock!BJ18-Escapements!BJ19)/RunSize_by_Stock!BJ18,"")</f>
        <v>3.3233087274826087E-2</v>
      </c>
      <c r="BK66">
        <f>IF(RunSize_by_Stock!BK18&gt;0,(RunSize_by_Stock!BK18-Escapements!BK19)/RunSize_by_Stock!BK18,"")</f>
        <v>5.0687594411434958E-2</v>
      </c>
      <c r="BL66">
        <f>IF(RunSize_by_Stock!BL18&gt;0,(RunSize_by_Stock!BL18-Escapements!BL19)/RunSize_by_Stock!BL18,"")</f>
        <v>0.14634146341463414</v>
      </c>
      <c r="BM66">
        <f>IF(RunSize_by_Stock!BM18&gt;0,(RunSize_by_Stock!BM18-Escapements!BM19)/RunSize_by_Stock!BM18,"")</f>
        <v>0.11433362556927439</v>
      </c>
      <c r="BN66">
        <f>IF(RunSize_by_Stock!BN18&gt;0,(RunSize_by_Stock!BN18-Escapements!BN19)/RunSize_by_Stock!BN18,"")</f>
        <v>0.21951219512195122</v>
      </c>
      <c r="BO66">
        <f>IF(RunSize_by_Stock!BO18&gt;0,(RunSize_by_Stock!BO18-Escapements!BO19)/RunSize_by_Stock!BO18,"")</f>
        <v>0.13967118038683529</v>
      </c>
      <c r="BP66">
        <f>IF(RunSize_by_Stock!BP18&gt;0,(RunSize_by_Stock!BP18-Escapements!BP19)/RunSize_by_Stock!BP18,"")</f>
        <v>0.13205350350495818</v>
      </c>
      <c r="BQ66">
        <f>IF(RunSize_by_Stock!BQ18&gt;0,(RunSize_by_Stock!BQ18-Escapements!BQ19)/RunSize_by_Stock!BQ18,"")</f>
        <v>3.736183309578717E-3</v>
      </c>
      <c r="BR66">
        <f>IF(RunSize_by_Stock!BR18&gt;0,(RunSize_by_Stock!BR18-Escapements!BR19)/RunSize_by_Stock!BR18,"")</f>
        <v>0.22118380062305296</v>
      </c>
      <c r="BS66">
        <f>IF(RunSize_by_Stock!BS18&gt;0,(RunSize_by_Stock!BS18-Escapements!BS19)/RunSize_by_Stock!BS18,"")</f>
        <v>0.160325935251388</v>
      </c>
      <c r="BT66">
        <f>IF(RunSize_by_Stock!BT18&gt;0,(RunSize_by_Stock!BT18-Escapements!BT19)/RunSize_by_Stock!BT18,"")</f>
        <v>0.2442131809087992</v>
      </c>
      <c r="BU66">
        <f>IF(RunSize_by_Stock!BU18&gt;0,(RunSize_by_Stock!BU18-Escapements!BU19)/RunSize_by_Stock!BU18,"")</f>
        <v>0.16786545640590683</v>
      </c>
      <c r="BV66">
        <f>IF(RunSize_by_Stock!BV18&gt;0,(RunSize_by_Stock!BV18-Escapements!BV19)/RunSize_by_Stock!BV18,"")</f>
        <v>0.2</v>
      </c>
      <c r="BW66">
        <f>IF(RunSize_by_Stock!BW18&gt;0,(RunSize_by_Stock!BW18-Escapements!BW19)/RunSize_by_Stock!BW18,"")</f>
        <v>0.10267971469915944</v>
      </c>
      <c r="BX66">
        <f>IF(RunSize_by_Stock!BX18&gt;0,(RunSize_by_Stock!BX18-Escapements!BX19)/RunSize_by_Stock!BX18,"")</f>
        <v>0.12726751506430276</v>
      </c>
      <c r="BY66">
        <f>IF(RunSize_by_Stock!BY18&gt;0,(RunSize_by_Stock!BY18-Escapements!BY19)/RunSize_by_Stock!BY18,"")</f>
        <v>0.22118380062305296</v>
      </c>
      <c r="BZ66">
        <f>IF(RunSize_by_Stock!BZ18&gt;0,(RunSize_by_Stock!BZ18-Escapements!BZ19)/RunSize_by_Stock!BZ18,"")</f>
        <v>0.21875</v>
      </c>
      <c r="CA66">
        <f>IF(RunSize_by_Stock!CA18&gt;0,(RunSize_by_Stock!CA18-Escapements!CA19)/RunSize_by_Stock!CA18,"")</f>
        <v>0.14692939554615786</v>
      </c>
      <c r="CB66">
        <f>IF(RunSize_by_Stock!CB18&gt;0,(RunSize_by_Stock!CB18-Escapements!CB19)/RunSize_by_Stock!CB18,"")</f>
        <v>0.16144246250166427</v>
      </c>
      <c r="CC66" t="str">
        <f>IF(RunSize_by_Stock!CC18&gt;0,(RunSize_by_Stock!CC18-Escapements!CC19)/RunSize_by_Stock!CC18,"")</f>
        <v/>
      </c>
      <c r="CD66" t="str">
        <f>IF(RunSize_by_Stock!CD18&gt;0,(RunSize_by_Stock!CD18-Escapements!CD19)/RunSize_by_Stock!CD18,"")</f>
        <v/>
      </c>
      <c r="CE66">
        <f>IF(RunSize_by_Stock!CE18&gt;0,(RunSize_by_Stock!CE18-Escapements!CE19)/RunSize_by_Stock!CE18,"")</f>
        <v>0.11483276136052123</v>
      </c>
      <c r="CF66">
        <f>IF(RunSize_by_Stock!CF18&gt;0,(RunSize_by_Stock!CF18-Escapements!CF19)/RunSize_by_Stock!CF18,"")</f>
        <v>9.448829452608748E-2</v>
      </c>
      <c r="CG66">
        <f>IF(RunSize_by_Stock!CG18&gt;0,(RunSize_by_Stock!CG18-Escapements!CG19)/RunSize_by_Stock!CG18,"")</f>
        <v>0.18916734033953111</v>
      </c>
      <c r="CH66">
        <f t="shared" si="3"/>
        <v>0.18625314390102093</v>
      </c>
    </row>
    <row r="67" spans="1:86" x14ac:dyDescent="0.55000000000000004">
      <c r="A67">
        <f t="shared" si="2"/>
        <v>1996</v>
      </c>
      <c r="B67">
        <f>IF(RunSize_by_Stock!B19&gt;0,(RunSize_by_Stock!B19-Escapements!B20)/RunSize_by_Stock!B19,"")</f>
        <v>0.1888111888111888</v>
      </c>
      <c r="C67">
        <f>IF(RunSize_by_Stock!C19&gt;0,(RunSize_by_Stock!C19-Escapements!C20)/RunSize_by_Stock!C19,"")</f>
        <v>0.10391661402400505</v>
      </c>
      <c r="D67">
        <f>IF(RunSize_by_Stock!D19&gt;0,(RunSize_by_Stock!D19-Escapements!D20)/RunSize_by_Stock!D19,"")</f>
        <v>0.18518518518518517</v>
      </c>
      <c r="E67">
        <f>IF(RunSize_by_Stock!E19&gt;0,(RunSize_by_Stock!E19-Escapements!E20)/RunSize_by_Stock!E19,"")</f>
        <v>0.17142857142857143</v>
      </c>
      <c r="F67">
        <f>IF(RunSize_by_Stock!F19&gt;0,(RunSize_by_Stock!F19-Escapements!F20)/RunSize_by_Stock!F19,"")</f>
        <v>0.17807407407407408</v>
      </c>
      <c r="G67" t="str">
        <f>IF(RunSize_by_Stock!G19&gt;0,(RunSize_by_Stock!G19-Escapements!G20)/RunSize_by_Stock!G19,"")</f>
        <v/>
      </c>
      <c r="H67">
        <f>IF(RunSize_by_Stock!H19&gt;0,(RunSize_by_Stock!H19-Escapements!H20)/RunSize_by_Stock!H19,"")</f>
        <v>0.18478260869565216</v>
      </c>
      <c r="I67">
        <f>IF(RunSize_by_Stock!I19&gt;0,(RunSize_by_Stock!I19-Escapements!I20)/RunSize_by_Stock!I19,"")</f>
        <v>0.18148148148148149</v>
      </c>
      <c r="J67">
        <f>IF(RunSize_by_Stock!J19&gt;0,(RunSize_by_Stock!J19-Escapements!J20)/RunSize_by_Stock!J19,"")</f>
        <v>0.18433931484502447</v>
      </c>
      <c r="K67">
        <f>IF(RunSize_by_Stock!K19&gt;0,(RunSize_by_Stock!K19-Escapements!K20)/RunSize_by_Stock!K19,"")</f>
        <v>0.17380352644836272</v>
      </c>
      <c r="L67">
        <f>IF(RunSize_by_Stock!L19&gt;0,(RunSize_by_Stock!L19-Escapements!L20)/RunSize_by_Stock!L19,"")</f>
        <v>0.18091009988901222</v>
      </c>
      <c r="M67">
        <f>IF(RunSize_by_Stock!M19&gt;0,(RunSize_by_Stock!M19-Escapements!M20)/RunSize_by_Stock!M19,"")</f>
        <v>0.16120576671035386</v>
      </c>
      <c r="N67">
        <f>IF(RunSize_by_Stock!N19&gt;0,(RunSize_by_Stock!N19-Escapements!N20)/RunSize_by_Stock!N19,"")</f>
        <v>0.11495783399911229</v>
      </c>
      <c r="O67">
        <f>IF(RunSize_by_Stock!O19&gt;0,(RunSize_by_Stock!O19-Escapements!O20)/RunSize_by_Stock!O19,"")</f>
        <v>0.18048567053161255</v>
      </c>
      <c r="P67">
        <f>IF(RunSize_by_Stock!P19&gt;0,(RunSize_by_Stock!P19-Escapements!P20)/RunSize_by_Stock!P19,"")</f>
        <v>0.16586137140298599</v>
      </c>
      <c r="Q67">
        <f>IF(RunSize_by_Stock!Q19&gt;0,(RunSize_by_Stock!Q19-Escapements!Q20)/RunSize_by_Stock!Q19,"")</f>
        <v>0.10427807486631016</v>
      </c>
      <c r="R67">
        <f>IF(RunSize_by_Stock!R19&gt;0,(RunSize_by_Stock!R19-Escapements!R20)/RunSize_by_Stock!R19,"")</f>
        <v>8.1908190819081905E-2</v>
      </c>
      <c r="S67">
        <f>IF(RunSize_by_Stock!S19&gt;0,(RunSize_by_Stock!S19-Escapements!S20)/RunSize_by_Stock!S19,"")</f>
        <v>0.10371086667472501</v>
      </c>
      <c r="T67">
        <f>IF(RunSize_by_Stock!T19&gt;0,(RunSize_by_Stock!T19-Escapements!T20)/RunSize_by_Stock!T19,"")</f>
        <v>7.5184501845018445E-2</v>
      </c>
      <c r="U67">
        <f>IF(RunSize_by_Stock!U19&gt;0,(RunSize_by_Stock!U19-Escapements!U20)/RunSize_by_Stock!U19,"")</f>
        <v>4.7619047619047616E-2</v>
      </c>
      <c r="V67">
        <f>IF(RunSize_by_Stock!V19&gt;0,(RunSize_by_Stock!V19-Escapements!V20)/RunSize_by_Stock!V19,"")</f>
        <v>0.1256544502617801</v>
      </c>
      <c r="W67">
        <f>IF(RunSize_by_Stock!W19&gt;0,(RunSize_by_Stock!W19-Escapements!W20)/RunSize_by_Stock!W19,"")</f>
        <v>0.28888888888888886</v>
      </c>
      <c r="X67">
        <f>IF(RunSize_by_Stock!X19&gt;0,(RunSize_by_Stock!X19-Escapements!X20)/RunSize_by_Stock!X19,"")</f>
        <v>0.16833824650518242</v>
      </c>
      <c r="Y67">
        <f>IF(RunSize_by_Stock!Y19&gt;0,(RunSize_by_Stock!Y19-Escapements!Y20)/RunSize_by_Stock!Y19,"")</f>
        <v>0.21939194741166804</v>
      </c>
      <c r="Z67">
        <f>IF(RunSize_by_Stock!Z19&gt;0,(RunSize_by_Stock!Z19-Escapements!Z20)/RunSize_by_Stock!Z19,"")</f>
        <v>0.25453013063632535</v>
      </c>
      <c r="AA67">
        <f>IF(RunSize_by_Stock!AA19&gt;0,(RunSize_by_Stock!AA19-Escapements!AA20)/RunSize_by_Stock!AA19,"")</f>
        <v>0.1351098644226274</v>
      </c>
      <c r="AB67">
        <f>IF(RunSize_by_Stock!AB19&gt;0,(RunSize_by_Stock!AB19-Escapements!AB20)/RunSize_by_Stock!AB19,"")</f>
        <v>6.5420560747663545E-2</v>
      </c>
      <c r="AC67">
        <f>IF(RunSize_by_Stock!AC19&gt;0,(RunSize_by_Stock!AC19-Escapements!AC20)/RunSize_by_Stock!AC19,"")</f>
        <v>9.4760194676441631E-2</v>
      </c>
      <c r="AD67">
        <f>IF(RunSize_by_Stock!AD19&gt;0,(RunSize_by_Stock!AD19-Escapements!AD20)/RunSize_by_Stock!AD19,"")</f>
        <v>0.28932038834951457</v>
      </c>
      <c r="AE67">
        <f>IF(RunSize_by_Stock!AE19&gt;0,(RunSize_by_Stock!AE19-Escapements!AE20)/RunSize_by_Stock!AE19,"")</f>
        <v>0.10471368682042086</v>
      </c>
      <c r="AF67">
        <f>IF(RunSize_by_Stock!AF19&gt;0,(RunSize_by_Stock!AF19-Escapements!AF20)/RunSize_by_Stock!AF19,"")</f>
        <v>9.9423631123919304E-2</v>
      </c>
      <c r="AG67" t="str">
        <f>IF(RunSize_by_Stock!AG19&gt;0,(RunSize_by_Stock!AG19-Escapements!AG20)/RunSize_by_Stock!AG19,"")</f>
        <v/>
      </c>
      <c r="AH67">
        <f>IF(RunSize_by_Stock!AH19&gt;0,(RunSize_by_Stock!AH19-Escapements!AH20)/RunSize_by_Stock!AH19,"")</f>
        <v>0.17634220864251418</v>
      </c>
      <c r="AI67">
        <f>IF(RunSize_by_Stock!AI19&gt;0,(RunSize_by_Stock!AI19-Escapements!AI20)/RunSize_by_Stock!AI19,"")</f>
        <v>2.5974025974025976E-2</v>
      </c>
      <c r="AJ67">
        <f>IF(RunSize_by_Stock!AJ19&gt;0,(RunSize_by_Stock!AJ19-Escapements!AJ20)/RunSize_by_Stock!AJ19,"")</f>
        <v>7.2587429708055221E-2</v>
      </c>
      <c r="AK67">
        <f>IF(RunSize_by_Stock!AK19&gt;0,(RunSize_by_Stock!AK19-Escapements!AK20)/RunSize_by_Stock!AK19,"")</f>
        <v>0.12631578947368421</v>
      </c>
      <c r="AL67">
        <f>IF(RunSize_by_Stock!AL19&gt;0,(RunSize_by_Stock!AL19-Escapements!AL20)/RunSize_by_Stock!AL19,"")</f>
        <v>0.17567281203644841</v>
      </c>
      <c r="AM67">
        <f>IF(RunSize_by_Stock!AM19&gt;0,(RunSize_by_Stock!AM19-Escapements!AM20)/RunSize_by_Stock!AM19,"")</f>
        <v>0.14355895196506549</v>
      </c>
      <c r="AN67">
        <f>IF(RunSize_by_Stock!AN19&gt;0,(RunSize_by_Stock!AN19-Escapements!AN20)/RunSize_by_Stock!AN19,"")</f>
        <v>8.0338266384778007E-2</v>
      </c>
      <c r="AO67">
        <f>IF(RunSize_by_Stock!AO19&gt;0,(RunSize_by_Stock!AO19-Escapements!AO20)/RunSize_by_Stock!AO19,"")</f>
        <v>0.70588235294117652</v>
      </c>
      <c r="AP67">
        <f>IF(RunSize_by_Stock!AP19&gt;0,(RunSize_by_Stock!AP19-Escapements!AP20)/RunSize_by_Stock!AP19,"")</f>
        <v>0.30921052631578949</v>
      </c>
      <c r="AQ67">
        <f>IF(RunSize_by_Stock!AQ19&gt;0,(RunSize_by_Stock!AQ19-Escapements!AQ20)/RunSize_by_Stock!AQ19,"")</f>
        <v>0.14599065084501978</v>
      </c>
      <c r="AR67">
        <f>IF(RunSize_by_Stock!AR19&gt;0,(RunSize_by_Stock!AR19-Escapements!AR20)/RunSize_by_Stock!AR19,"")</f>
        <v>0.11147011308562198</v>
      </c>
      <c r="AS67">
        <f>IF(RunSize_by_Stock!AS19&gt;0,(RunSize_by_Stock!AS19-Escapements!AS20)/RunSize_by_Stock!AS19,"")</f>
        <v>0.10225970989316106</v>
      </c>
      <c r="AT67">
        <f>IF(RunSize_by_Stock!AT19&gt;0,(RunSize_by_Stock!AT19-Escapements!AT20)/RunSize_by_Stock!AT19,"")</f>
        <v>0.18937152119924119</v>
      </c>
      <c r="AU67">
        <f>IF(RunSize_by_Stock!AU19&gt;0,(RunSize_by_Stock!AU19-Escapements!AU20)/RunSize_by_Stock!AU19,"")</f>
        <v>8.5580304806565061E-2</v>
      </c>
      <c r="AV67">
        <f>IF(RunSize_by_Stock!AV19&gt;0,(RunSize_by_Stock!AV19-Escapements!AV20)/RunSize_by_Stock!AV19,"")</f>
        <v>0.15620998719590268</v>
      </c>
      <c r="AW67">
        <f>IF(RunSize_by_Stock!AW19&gt;0,(RunSize_by_Stock!AW19-Escapements!AW20)/RunSize_by_Stock!AW19,"")</f>
        <v>0.18063314711359404</v>
      </c>
      <c r="AX67">
        <f>IF(RunSize_by_Stock!AX19&gt;0,(RunSize_by_Stock!AX19-Escapements!AX20)/RunSize_by_Stock!AX19,"")</f>
        <v>0.13093858632676708</v>
      </c>
      <c r="AY67">
        <f>IF(RunSize_by_Stock!AY19&gt;0,(RunSize_by_Stock!AY19-Escapements!AY20)/RunSize_by_Stock!AY19,"")</f>
        <v>0.14482540185287829</v>
      </c>
      <c r="AZ67">
        <f>IF(RunSize_by_Stock!AZ19&gt;0,(RunSize_by_Stock!AZ19-Escapements!AZ20)/RunSize_by_Stock!AZ19,"")</f>
        <v>5.9076156701919041E-2</v>
      </c>
      <c r="BA67">
        <f>IF(RunSize_by_Stock!BA19&gt;0,(RunSize_by_Stock!BA19-Escapements!BA20)/RunSize_by_Stock!BA19,"")</f>
        <v>0.23154232701971394</v>
      </c>
      <c r="BB67">
        <f>IF(RunSize_by_Stock!BB19&gt;0,(RunSize_by_Stock!BB19-Escapements!BB20)/RunSize_by_Stock!BB19,"")</f>
        <v>0.2338088211182161</v>
      </c>
      <c r="BC67">
        <f>IF(RunSize_by_Stock!BC19&gt;0,(RunSize_by_Stock!BC19-Escapements!BC20)/RunSize_by_Stock!BC19,"")</f>
        <v>0.39082217973231359</v>
      </c>
      <c r="BD67">
        <f>IF(RunSize_by_Stock!BD19&gt;0,(RunSize_by_Stock!BD19-Escapements!BD20)/RunSize_by_Stock!BD19,"")</f>
        <v>0.39091718610863757</v>
      </c>
      <c r="BE67">
        <f>IF(RunSize_by_Stock!BE19&gt;0,(RunSize_by_Stock!BE19-Escapements!BE20)/RunSize_by_Stock!BE19,"")</f>
        <v>0.21251532667717637</v>
      </c>
      <c r="BF67">
        <f>IF(RunSize_by_Stock!BF19&gt;0,(RunSize_by_Stock!BF19-Escapements!BF20)/RunSize_by_Stock!BF19,"")</f>
        <v>0</v>
      </c>
      <c r="BG67">
        <f>IF(RunSize_by_Stock!BG19&gt;0,(RunSize_by_Stock!BG19-Escapements!BG20)/RunSize_by_Stock!BG19,"")</f>
        <v>0.14529914529914531</v>
      </c>
      <c r="BH67">
        <f>IF(RunSize_by_Stock!BH19&gt;0,(RunSize_by_Stock!BH19-Escapements!BH20)/RunSize_by_Stock!BH19,"")</f>
        <v>0.31132075471698112</v>
      </c>
      <c r="BI67">
        <f>IF(RunSize_by_Stock!BI19&gt;0,(RunSize_by_Stock!BI19-Escapements!BI20)/RunSize_by_Stock!BI19,"")</f>
        <v>8.9001744126397872E-3</v>
      </c>
      <c r="BJ67">
        <f>IF(RunSize_by_Stock!BJ19&gt;0,(RunSize_by_Stock!BJ19-Escapements!BJ20)/RunSize_by_Stock!BJ19,"")</f>
        <v>5.1401321189852633E-2</v>
      </c>
      <c r="BK67">
        <f>IF(RunSize_by_Stock!BK19&gt;0,(RunSize_by_Stock!BK19-Escapements!BK20)/RunSize_by_Stock!BK19,"")</f>
        <v>3.2229326985562579E-2</v>
      </c>
      <c r="BL67" t="str">
        <f>IF(RunSize_by_Stock!BL19&gt;0,(RunSize_by_Stock!BL19-Escapements!BL20)/RunSize_by_Stock!BL19,"")</f>
        <v/>
      </c>
      <c r="BM67">
        <f>IF(RunSize_by_Stock!BM19&gt;0,(RunSize_by_Stock!BM19-Escapements!BM20)/RunSize_by_Stock!BM19,"")</f>
        <v>5.5555555555555552E-2</v>
      </c>
      <c r="BN67">
        <f>IF(RunSize_by_Stock!BN19&gt;0,(RunSize_by_Stock!BN19-Escapements!BN20)/RunSize_by_Stock!BN19,"")</f>
        <v>0.14728682170542637</v>
      </c>
      <c r="BO67">
        <f>IF(RunSize_by_Stock!BO19&gt;0,(RunSize_by_Stock!BO19-Escapements!BO20)/RunSize_by_Stock!BO19,"")</f>
        <v>0.11015152266733109</v>
      </c>
      <c r="BP67">
        <f>IF(RunSize_by_Stock!BP19&gt;0,(RunSize_by_Stock!BP19-Escapements!BP20)/RunSize_by_Stock!BP19,"")</f>
        <v>0.11705856810117252</v>
      </c>
      <c r="BQ67">
        <f>IF(RunSize_by_Stock!BQ19&gt;0,(RunSize_by_Stock!BQ19-Escapements!BQ20)/RunSize_by_Stock!BQ19,"")</f>
        <v>7.5834434325548275E-3</v>
      </c>
      <c r="BR67">
        <f>IF(RunSize_by_Stock!BR19&gt;0,(RunSize_by_Stock!BR19-Escapements!BR20)/RunSize_by_Stock!BR19,"")</f>
        <v>0.21875</v>
      </c>
      <c r="BS67">
        <f>IF(RunSize_by_Stock!BS19&gt;0,(RunSize_by_Stock!BS19-Escapements!BS20)/RunSize_by_Stock!BS19,"")</f>
        <v>0.1351068972845533</v>
      </c>
      <c r="BT67">
        <f>IF(RunSize_by_Stock!BT19&gt;0,(RunSize_by_Stock!BT19-Escapements!BT20)/RunSize_by_Stock!BT19,"")</f>
        <v>0.2190379723536513</v>
      </c>
      <c r="BU67">
        <f>IF(RunSize_by_Stock!BU19&gt;0,(RunSize_by_Stock!BU19-Escapements!BU20)/RunSize_by_Stock!BU19,"")</f>
        <v>0.13442826047901116</v>
      </c>
      <c r="BV67">
        <f>IF(RunSize_by_Stock!BV19&gt;0,(RunSize_by_Stock!BV19-Escapements!BV20)/RunSize_by_Stock!BV19,"")</f>
        <v>0.17647058823529413</v>
      </c>
      <c r="BW67" t="str">
        <f>IF(RunSize_by_Stock!BW19&gt;0,(RunSize_by_Stock!BW19-Escapements!BW20)/RunSize_by_Stock!BW19,"")</f>
        <v/>
      </c>
      <c r="BX67">
        <f>IF(RunSize_by_Stock!BX19&gt;0,(RunSize_by_Stock!BX19-Escapements!BX20)/RunSize_by_Stock!BX19,"")</f>
        <v>9.0909090909090912E-2</v>
      </c>
      <c r="BY67">
        <f>IF(RunSize_by_Stock!BY19&gt;0,(RunSize_by_Stock!BY19-Escapements!BY20)/RunSize_by_Stock!BY19,"")</f>
        <v>0.21875</v>
      </c>
      <c r="BZ67">
        <f>IF(RunSize_by_Stock!BZ19&gt;0,(RunSize_by_Stock!BZ19-Escapements!BZ20)/RunSize_by_Stock!BZ19,"")</f>
        <v>0.21875</v>
      </c>
      <c r="CA67">
        <f>IF(RunSize_by_Stock!CA19&gt;0,(RunSize_by_Stock!CA19-Escapements!CA20)/RunSize_by_Stock!CA19,"")</f>
        <v>8.8988295957636507E-2</v>
      </c>
      <c r="CB67">
        <f>IF(RunSize_by_Stock!CB19&gt;0,(RunSize_by_Stock!CB19-Escapements!CB20)/RunSize_by_Stock!CB19,"")</f>
        <v>0.13337461259158442</v>
      </c>
      <c r="CC67">
        <f>IF(RunSize_by_Stock!CC19&gt;0,(RunSize_by_Stock!CC19-Escapements!CC20)/RunSize_by_Stock!CC19,"")</f>
        <v>7.5471698113207544E-2</v>
      </c>
      <c r="CD67" t="str">
        <f>IF(RunSize_by_Stock!CD19&gt;0,(RunSize_by_Stock!CD19-Escapements!CD20)/RunSize_by_Stock!CD19,"")</f>
        <v/>
      </c>
      <c r="CE67">
        <f>IF(RunSize_by_Stock!CE19&gt;0,(RunSize_by_Stock!CE19-Escapements!CE20)/RunSize_by_Stock!CE19,"")</f>
        <v>6.25E-2</v>
      </c>
      <c r="CF67">
        <f>IF(RunSize_by_Stock!CF19&gt;0,(RunSize_by_Stock!CF19-Escapements!CF20)/RunSize_by_Stock!CF19,"")</f>
        <v>6.3418318724726558E-2</v>
      </c>
      <c r="CG67">
        <f>IF(RunSize_by_Stock!CG19&gt;0,(RunSize_by_Stock!CG19-Escapements!CG20)/RunSize_by_Stock!CG19,"")</f>
        <v>0.28322894919972164</v>
      </c>
      <c r="CH67">
        <f t="shared" si="3"/>
        <v>0.15571279848390132</v>
      </c>
    </row>
    <row r="68" spans="1:86" x14ac:dyDescent="0.55000000000000004">
      <c r="A68">
        <f t="shared" si="2"/>
        <v>1997</v>
      </c>
      <c r="B68">
        <f>IF(RunSize_by_Stock!B20&gt;0,(RunSize_by_Stock!B20-Escapements!B21)/RunSize_by_Stock!B20,"")</f>
        <v>0.20439414114513982</v>
      </c>
      <c r="C68">
        <f>IF(RunSize_by_Stock!C20&gt;0,(RunSize_by_Stock!C20-Escapements!C21)/RunSize_by_Stock!C20,"")</f>
        <v>0.14343360234776228</v>
      </c>
      <c r="D68">
        <f>IF(RunSize_by_Stock!D20&gt;0,(RunSize_by_Stock!D20-Escapements!D21)/RunSize_by_Stock!D20,"")</f>
        <v>0.20714285714285716</v>
      </c>
      <c r="E68">
        <f>IF(RunSize_by_Stock!E20&gt;0,(RunSize_by_Stock!E20-Escapements!E21)/RunSize_by_Stock!E20,"")</f>
        <v>0.19642857142857142</v>
      </c>
      <c r="F68">
        <f>IF(RunSize_by_Stock!F20&gt;0,(RunSize_by_Stock!F20-Escapements!F21)/RunSize_by_Stock!F20,"")</f>
        <v>0.19855812556323221</v>
      </c>
      <c r="G68">
        <f>IF(RunSize_by_Stock!G20&gt;0,(RunSize_by_Stock!G20-Escapements!G21)/RunSize_by_Stock!G20,"")</f>
        <v>0.19651473208921519</v>
      </c>
      <c r="H68" t="str">
        <f>IF(RunSize_by_Stock!H20&gt;0,(RunSize_by_Stock!H20-Escapements!H21)/RunSize_by_Stock!H20,"")</f>
        <v/>
      </c>
      <c r="I68">
        <f>IF(RunSize_by_Stock!I20&gt;0,(RunSize_by_Stock!I20-Escapements!I21)/RunSize_by_Stock!I20,"")</f>
        <v>0.1993006993006993</v>
      </c>
      <c r="J68">
        <f>IF(RunSize_by_Stock!J20&gt;0,(RunSize_by_Stock!J20-Escapements!J21)/RunSize_by_Stock!J20,"")</f>
        <v>0.20203488372093023</v>
      </c>
      <c r="K68">
        <f>IF(RunSize_by_Stock!K20&gt;0,(RunSize_by_Stock!K20-Escapements!K21)/RunSize_by_Stock!K20,"")</f>
        <v>0.19658119658119658</v>
      </c>
      <c r="L68">
        <f>IF(RunSize_by_Stock!L20&gt;0,(RunSize_by_Stock!L20-Escapements!L21)/RunSize_by_Stock!L20,"")</f>
        <v>0.20030698388334611</v>
      </c>
      <c r="M68">
        <f>IF(RunSize_by_Stock!M20&gt;0,(RunSize_by_Stock!M20-Escapements!M21)/RunSize_by_Stock!M20,"")</f>
        <v>0.18704156479217604</v>
      </c>
      <c r="N68">
        <f>IF(RunSize_by_Stock!N20&gt;0,(RunSize_by_Stock!N20-Escapements!N21)/RunSize_by_Stock!N20,"")</f>
        <v>0.15247700978938</v>
      </c>
      <c r="O68">
        <f>IF(RunSize_by_Stock!O20&gt;0,(RunSize_by_Stock!O20-Escapements!O21)/RunSize_by_Stock!O20,"")</f>
        <v>0.1681794605809131</v>
      </c>
      <c r="P68">
        <f>IF(RunSize_by_Stock!P20&gt;0,(RunSize_by_Stock!P20-Escapements!P21)/RunSize_by_Stock!P20,"")</f>
        <v>0.19032952627996105</v>
      </c>
      <c r="Q68">
        <f>IF(RunSize_by_Stock!Q20&gt;0,(RunSize_by_Stock!Q20-Escapements!Q21)/RunSize_by_Stock!Q20,"")</f>
        <v>0.14344637946837763</v>
      </c>
      <c r="R68">
        <f>IF(RunSize_by_Stock!R20&gt;0,(RunSize_by_Stock!R20-Escapements!R21)/RunSize_by_Stock!R20,"")</f>
        <v>0.125</v>
      </c>
      <c r="S68">
        <f>IF(RunSize_by_Stock!S20&gt;0,(RunSize_by_Stock!S20-Escapements!S21)/RunSize_by_Stock!S20,"")</f>
        <v>0.15773889636608346</v>
      </c>
      <c r="T68">
        <f>IF(RunSize_by_Stock!T20&gt;0,(RunSize_by_Stock!T20-Escapements!T21)/RunSize_by_Stock!T20,"")</f>
        <v>0.12624297449200172</v>
      </c>
      <c r="U68">
        <f>IF(RunSize_by_Stock!U20&gt;0,(RunSize_by_Stock!U20-Escapements!U21)/RunSize_by_Stock!U20,"")</f>
        <v>0.11509705953592742</v>
      </c>
      <c r="V68">
        <f>IF(RunSize_by_Stock!V20&gt;0,(RunSize_by_Stock!V20-Escapements!V21)/RunSize_by_Stock!V20,"")</f>
        <v>0.18292682926829268</v>
      </c>
      <c r="W68">
        <f>IF(RunSize_by_Stock!W20&gt;0,(RunSize_by_Stock!W20-Escapements!W21)/RunSize_by_Stock!W20,"")</f>
        <v>0.40192926045016075</v>
      </c>
      <c r="X68">
        <f>IF(RunSize_by_Stock!X20&gt;0,(RunSize_by_Stock!X20-Escapements!X21)/RunSize_by_Stock!X20,"")</f>
        <v>0.1957683226805059</v>
      </c>
      <c r="Y68">
        <f>IF(RunSize_by_Stock!Y20&gt;0,(RunSize_by_Stock!Y20-Escapements!Y21)/RunSize_by_Stock!Y20,"")</f>
        <v>0.24632103237491509</v>
      </c>
      <c r="Z68">
        <f>IF(RunSize_by_Stock!Z20&gt;0,(RunSize_by_Stock!Z20-Escapements!Z21)/RunSize_by_Stock!Z20,"")</f>
        <v>0.41928322232794163</v>
      </c>
      <c r="AA68">
        <f>IF(RunSize_by_Stock!AA20&gt;0,(RunSize_by_Stock!AA20-Escapements!AA21)/RunSize_by_Stock!AA20,"")</f>
        <v>0.21705089169204</v>
      </c>
      <c r="AB68">
        <f>IF(RunSize_by_Stock!AB20&gt;0,(RunSize_by_Stock!AB20-Escapements!AB21)/RunSize_by_Stock!AB20,"")</f>
        <v>0.10852713178294573</v>
      </c>
      <c r="AC68">
        <f>IF(RunSize_by_Stock!AC20&gt;0,(RunSize_by_Stock!AC20-Escapements!AC21)/RunSize_by_Stock!AC20,"")</f>
        <v>0.11860942154961465</v>
      </c>
      <c r="AD68">
        <f>IF(RunSize_by_Stock!AD20&gt;0,(RunSize_by_Stock!AD20-Escapements!AD21)/RunSize_by_Stock!AD20,"")</f>
        <v>0.40233722871452421</v>
      </c>
      <c r="AE68">
        <f>IF(RunSize_by_Stock!AE20&gt;0,(RunSize_by_Stock!AE20-Escapements!AE21)/RunSize_by_Stock!AE20,"")</f>
        <v>0.12035349347451439</v>
      </c>
      <c r="AF68">
        <f>IF(RunSize_by_Stock!AF20&gt;0,(RunSize_by_Stock!AF20-Escapements!AF21)/RunSize_by_Stock!AF20,"")</f>
        <v>0.11428571428571428</v>
      </c>
      <c r="AG68" t="str">
        <f>IF(RunSize_by_Stock!AG20&gt;0,(RunSize_by_Stock!AG20-Escapements!AG21)/RunSize_by_Stock!AG20,"")</f>
        <v/>
      </c>
      <c r="AH68">
        <f>IF(RunSize_by_Stock!AH20&gt;0,(RunSize_by_Stock!AH20-Escapements!AH21)/RunSize_by_Stock!AH20,"")</f>
        <v>0.12611012433392541</v>
      </c>
      <c r="AI68">
        <f>IF(RunSize_by_Stock!AI20&gt;0,(RunSize_by_Stock!AI20-Escapements!AI21)/RunSize_by_Stock!AI20,"")</f>
        <v>0</v>
      </c>
      <c r="AJ68">
        <f>IF(RunSize_by_Stock!AJ20&gt;0,(RunSize_by_Stock!AJ20-Escapements!AJ21)/RunSize_by_Stock!AJ20,"")</f>
        <v>-2.9086946274569179E-3</v>
      </c>
      <c r="AK68">
        <f>IF(RunSize_by_Stock!AK20&gt;0,(RunSize_by_Stock!AK20-Escapements!AK21)/RunSize_by_Stock!AK20,"")</f>
        <v>0.17197452229299362</v>
      </c>
      <c r="AL68">
        <f>IF(RunSize_by_Stock!AL20&gt;0,(RunSize_by_Stock!AL20-Escapements!AL21)/RunSize_by_Stock!AL20,"")</f>
        <v>0.21535223970337708</v>
      </c>
      <c r="AM68">
        <f>IF(RunSize_by_Stock!AM20&gt;0,(RunSize_by_Stock!AM20-Escapements!AM21)/RunSize_by_Stock!AM20,"")</f>
        <v>0.15893271461716937</v>
      </c>
      <c r="AN68">
        <f>IF(RunSize_by_Stock!AN20&gt;0,(RunSize_by_Stock!AN20-Escapements!AN21)/RunSize_by_Stock!AN20,"")</f>
        <v>0.1138328530259366</v>
      </c>
      <c r="AO68">
        <f>IF(RunSize_by_Stock!AO20&gt;0,(RunSize_by_Stock!AO20-Escapements!AO21)/RunSize_by_Stock!AO20,"")</f>
        <v>0.15971796950806064</v>
      </c>
      <c r="AP68">
        <f>IF(RunSize_by_Stock!AP20&gt;0,(RunSize_by_Stock!AP20-Escapements!AP21)/RunSize_by_Stock!AP20,"")</f>
        <v>0.34426229508196721</v>
      </c>
      <c r="AQ68">
        <f>IF(RunSize_by_Stock!AQ20&gt;0,(RunSize_by_Stock!AQ20-Escapements!AQ21)/RunSize_by_Stock!AQ20,"")</f>
        <v>0.21373200442967885</v>
      </c>
      <c r="AR68">
        <f>IF(RunSize_by_Stock!AR20&gt;0,(RunSize_by_Stock!AR20-Escapements!AR21)/RunSize_by_Stock!AR20,"")</f>
        <v>0.15140155252964596</v>
      </c>
      <c r="AS68">
        <f>IF(RunSize_by_Stock!AS20&gt;0,(RunSize_by_Stock!AS20-Escapements!AS21)/RunSize_by_Stock!AS20,"")</f>
        <v>0.12797647846489357</v>
      </c>
      <c r="AT68">
        <f>IF(RunSize_by_Stock!AT20&gt;0,(RunSize_by_Stock!AT20-Escapements!AT21)/RunSize_by_Stock!AT20,"")</f>
        <v>0.27638946566124067</v>
      </c>
      <c r="AU68">
        <f>IF(RunSize_by_Stock!AU20&gt;0,(RunSize_by_Stock!AU20-Escapements!AU21)/RunSize_by_Stock!AU20,"")</f>
        <v>0.13022813688212928</v>
      </c>
      <c r="AV68">
        <f>IF(RunSize_by_Stock!AV20&gt;0,(RunSize_by_Stock!AV20-Escapements!AV21)/RunSize_by_Stock!AV20,"")</f>
        <v>0.16095380029806258</v>
      </c>
      <c r="AW68">
        <f>IF(RunSize_by_Stock!AW20&gt;0,(RunSize_by_Stock!AW20-Escapements!AW21)/RunSize_by_Stock!AW20,"")</f>
        <v>0.37150786308973172</v>
      </c>
      <c r="AX68">
        <f>IF(RunSize_by_Stock!AX20&gt;0,(RunSize_by_Stock!AX20-Escapements!AX21)/RunSize_by_Stock!AX20,"")</f>
        <v>0.34899328859060402</v>
      </c>
      <c r="AY68">
        <f>IF(RunSize_by_Stock!AY20&gt;0,(RunSize_by_Stock!AY20-Escapements!AY21)/RunSize_by_Stock!AY20,"")</f>
        <v>0.36323758313287108</v>
      </c>
      <c r="AZ68">
        <f>IF(RunSize_by_Stock!AZ20&gt;0,(RunSize_by_Stock!AZ20-Escapements!AZ21)/RunSize_by_Stock!AZ20,"")</f>
        <v>0.19829678841154566</v>
      </c>
      <c r="BA68">
        <f>IF(RunSize_by_Stock!BA20&gt;0,(RunSize_by_Stock!BA20-Escapements!BA21)/RunSize_by_Stock!BA20,"")</f>
        <v>0.23538011695906433</v>
      </c>
      <c r="BB68">
        <f>IF(RunSize_by_Stock!BB20&gt;0,(RunSize_by_Stock!BB20-Escapements!BB21)/RunSize_by_Stock!BB20,"")</f>
        <v>0.30384447356924421</v>
      </c>
      <c r="BC68">
        <f>IF(RunSize_by_Stock!BC20&gt;0,(RunSize_by_Stock!BC20-Escapements!BC21)/RunSize_by_Stock!BC20,"")</f>
        <v>0.5930701047542305</v>
      </c>
      <c r="BD68">
        <f>IF(RunSize_by_Stock!BD20&gt;0,(RunSize_by_Stock!BD20-Escapements!BD21)/RunSize_by_Stock!BD20,"")</f>
        <v>0.59309021113243765</v>
      </c>
      <c r="BE68">
        <f>IF(RunSize_by_Stock!BE20&gt;0,(RunSize_by_Stock!BE20-Escapements!BE21)/RunSize_by_Stock!BE20,"")</f>
        <v>0.22844929945381146</v>
      </c>
      <c r="BF68">
        <f>IF(RunSize_by_Stock!BF20&gt;0,(RunSize_by_Stock!BF20-Escapements!BF21)/RunSize_by_Stock!BF20,"")</f>
        <v>8.8235294117647065E-2</v>
      </c>
      <c r="BG68">
        <f>IF(RunSize_by_Stock!BG20&gt;0,(RunSize_by_Stock!BG20-Escapements!BG21)/RunSize_by_Stock!BG20,"")</f>
        <v>0.31972789115646261</v>
      </c>
      <c r="BH68">
        <f>IF(RunSize_by_Stock!BH20&gt;0,(RunSize_by_Stock!BH20-Escapements!BH21)/RunSize_by_Stock!BH20,"")</f>
        <v>0.40436590436590436</v>
      </c>
      <c r="BI68">
        <f>IF(RunSize_by_Stock!BI20&gt;0,(RunSize_by_Stock!BI20-Escapements!BI21)/RunSize_by_Stock!BI20,"")</f>
        <v>1.7893702399475884E-2</v>
      </c>
      <c r="BJ68">
        <f>IF(RunSize_by_Stock!BJ20&gt;0,(RunSize_by_Stock!BJ20-Escapements!BJ21)/RunSize_by_Stock!BJ20,"")</f>
        <v>2.9852494932808456E-2</v>
      </c>
      <c r="BK68">
        <f>IF(RunSize_by_Stock!BK20&gt;0,(RunSize_by_Stock!BK20-Escapements!BK21)/RunSize_by_Stock!BK20,"")</f>
        <v>5.2313170221664471E-2</v>
      </c>
      <c r="BL68" t="str">
        <f>IF(RunSize_by_Stock!BL20&gt;0,(RunSize_by_Stock!BL20-Escapements!BL21)/RunSize_by_Stock!BL20,"")</f>
        <v/>
      </c>
      <c r="BM68">
        <f>IF(RunSize_by_Stock!BM20&gt;0,(RunSize_by_Stock!BM20-Escapements!BM21)/RunSize_by_Stock!BM20,"")</f>
        <v>0.11240344320095934</v>
      </c>
      <c r="BN68">
        <f>IF(RunSize_by_Stock!BN20&gt;0,(RunSize_by_Stock!BN20-Escapements!BN21)/RunSize_by_Stock!BN20,"")</f>
        <v>0.2361111111111111</v>
      </c>
      <c r="BO68">
        <f>IF(RunSize_by_Stock!BO20&gt;0,(RunSize_by_Stock!BO20-Escapements!BO21)/RunSize_by_Stock!BO20,"")</f>
        <v>0.13513748003162085</v>
      </c>
      <c r="BP68">
        <f>IF(RunSize_by_Stock!BP20&gt;0,(RunSize_by_Stock!BP20-Escapements!BP21)/RunSize_by_Stock!BP20,"")</f>
        <v>0.12882199903596919</v>
      </c>
      <c r="BQ68">
        <f>IF(RunSize_by_Stock!BQ20&gt;0,(RunSize_by_Stock!BQ20-Escapements!BQ21)/RunSize_by_Stock!BQ20,"")</f>
        <v>9.5365090953513816E-3</v>
      </c>
      <c r="BR68">
        <f>IF(RunSize_by_Stock!BR20&gt;0,(RunSize_by_Stock!BR20-Escapements!BR21)/RunSize_by_Stock!BR20,"")</f>
        <v>0.2454780361757106</v>
      </c>
      <c r="BS68">
        <f>IF(RunSize_by_Stock!BS20&gt;0,(RunSize_by_Stock!BS20-Escapements!BS21)/RunSize_by_Stock!BS20,"")</f>
        <v>0.20719655607353996</v>
      </c>
      <c r="BT68">
        <f>IF(RunSize_by_Stock!BT20&gt;0,(RunSize_by_Stock!BT20-Escapements!BT21)/RunSize_by_Stock!BT20,"")</f>
        <v>0.28459231510439459</v>
      </c>
      <c r="BU68">
        <f>IF(RunSize_by_Stock!BU20&gt;0,(RunSize_by_Stock!BU20-Escapements!BU21)/RunSize_by_Stock!BU20,"")</f>
        <v>0.19338004666541053</v>
      </c>
      <c r="BV68">
        <f>IF(RunSize_by_Stock!BV20&gt;0,(RunSize_by_Stock!BV20-Escapements!BV21)/RunSize_by_Stock!BV20,"")</f>
        <v>0.19642857142857142</v>
      </c>
      <c r="BW68">
        <f>IF(RunSize_by_Stock!BW20&gt;0,(RunSize_by_Stock!BW20-Escapements!BW21)/RunSize_by_Stock!BW20,"")</f>
        <v>0.14952204950221956</v>
      </c>
      <c r="BX68">
        <f>IF(RunSize_by_Stock!BX20&gt;0,(RunSize_by_Stock!BX20-Escapements!BX21)/RunSize_by_Stock!BX20,"")</f>
        <v>0.14285714285714285</v>
      </c>
      <c r="BY68">
        <f>IF(RunSize_by_Stock!BY20&gt;0,(RunSize_by_Stock!BY20-Escapements!BY21)/RunSize_by_Stock!BY20,"")</f>
        <v>0.24624624624624625</v>
      </c>
      <c r="BZ68">
        <f>IF(RunSize_by_Stock!BZ20&gt;0,(RunSize_by_Stock!BZ20-Escapements!BZ21)/RunSize_by_Stock!BZ20,"")</f>
        <v>0.24631578947368421</v>
      </c>
      <c r="CA68">
        <f>IF(RunSize_by_Stock!CA20&gt;0,(RunSize_by_Stock!CA20-Escapements!CA21)/RunSize_by_Stock!CA20,"")</f>
        <v>0.15384615384615385</v>
      </c>
      <c r="CB68">
        <f>IF(RunSize_by_Stock!CB20&gt;0,(RunSize_by_Stock!CB20-Escapements!CB21)/RunSize_by_Stock!CB20,"")</f>
        <v>0.20521723675627448</v>
      </c>
      <c r="CC68">
        <f>IF(RunSize_by_Stock!CC20&gt;0,(RunSize_by_Stock!CC20-Escapements!CC21)/RunSize_by_Stock!CC20,"")</f>
        <v>0</v>
      </c>
      <c r="CD68" t="str">
        <f>IF(RunSize_by_Stock!CD20&gt;0,(RunSize_by_Stock!CD20-Escapements!CD21)/RunSize_by_Stock!CD20,"")</f>
        <v/>
      </c>
      <c r="CE68">
        <f>IF(RunSize_by_Stock!CE20&gt;0,(RunSize_by_Stock!CE20-Escapements!CE21)/RunSize_by_Stock!CE20,"")</f>
        <v>0.10112359550561797</v>
      </c>
      <c r="CF68">
        <f>IF(RunSize_by_Stock!CF20&gt;0,(RunSize_by_Stock!CF20-Escapements!CF21)/RunSize_by_Stock!CF20,"")</f>
        <v>0.10891089108910891</v>
      </c>
      <c r="CG68">
        <f>IF(RunSize_by_Stock!CG20&gt;0,(RunSize_by_Stock!CG20-Escapements!CG21)/RunSize_by_Stock!CG20,"")</f>
        <v>0.27242414138046017</v>
      </c>
      <c r="CH68">
        <f t="shared" si="3"/>
        <v>0.19636755220222013</v>
      </c>
    </row>
    <row r="69" spans="1:86" x14ac:dyDescent="0.55000000000000004">
      <c r="A69">
        <f t="shared" si="2"/>
        <v>1998</v>
      </c>
      <c r="B69">
        <f>IF(RunSize_by_Stock!B21&gt;0,(RunSize_by_Stock!B21-Escapements!B22)/RunSize_by_Stock!B21,"")</f>
        <v>0.3872767857142857</v>
      </c>
      <c r="C69">
        <f>IF(RunSize_by_Stock!C21&gt;0,(RunSize_by_Stock!C21-Escapements!C22)/RunSize_by_Stock!C21,"")</f>
        <v>0.16080729166666666</v>
      </c>
      <c r="D69">
        <f>IF(RunSize_by_Stock!D21&gt;0,(RunSize_by_Stock!D21-Escapements!D22)/RunSize_by_Stock!D21,"")</f>
        <v>0.38709677419354838</v>
      </c>
      <c r="E69">
        <f>IF(RunSize_by_Stock!E21&gt;0,(RunSize_by_Stock!E21-Escapements!E22)/RunSize_by_Stock!E21,"")</f>
        <v>0.34285714285714286</v>
      </c>
      <c r="F69">
        <f>IF(RunSize_by_Stock!F21&gt;0,(RunSize_by_Stock!F21-Escapements!F22)/RunSize_by_Stock!F21,"")</f>
        <v>0.33050397877984083</v>
      </c>
      <c r="G69">
        <f>IF(RunSize_by_Stock!G21&gt;0,(RunSize_by_Stock!G21-Escapements!G22)/RunSize_by_Stock!G21,"")</f>
        <v>0.33333333333333331</v>
      </c>
      <c r="H69">
        <f>IF(RunSize_by_Stock!H21&gt;0,(RunSize_by_Stock!H21-Escapements!H22)/RunSize_by_Stock!H21,"")</f>
        <v>0.34328358208955223</v>
      </c>
      <c r="I69">
        <f>IF(RunSize_by_Stock!I21&gt;0,(RunSize_by_Stock!I21-Escapements!I22)/RunSize_by_Stock!I21,"")</f>
        <v>0.34275618374558303</v>
      </c>
      <c r="J69">
        <f>IF(RunSize_by_Stock!J21&gt;0,(RunSize_by_Stock!J21-Escapements!J22)/RunSize_by_Stock!J21,"")</f>
        <v>0.35451263537906136</v>
      </c>
      <c r="K69">
        <f>IF(RunSize_by_Stock!K21&gt;0,(RunSize_by_Stock!K21-Escapements!K22)/RunSize_by_Stock!K21,"")</f>
        <v>0.31826086956521737</v>
      </c>
      <c r="L69">
        <f>IF(RunSize_by_Stock!L21&gt;0,(RunSize_by_Stock!L21-Escapements!L22)/RunSize_by_Stock!L21,"")</f>
        <v>0.34260321100917429</v>
      </c>
      <c r="M69">
        <f>IF(RunSize_by_Stock!M21&gt;0,(RunSize_by_Stock!M21-Escapements!M22)/RunSize_by_Stock!M21,"")</f>
        <v>0.27860696517412936</v>
      </c>
      <c r="N69">
        <f>IF(RunSize_by_Stock!N21&gt;0,(RunSize_by_Stock!N21-Escapements!N22)/RunSize_by_Stock!N21,"")</f>
        <v>0.18072770891643342</v>
      </c>
      <c r="O69">
        <f>IF(RunSize_by_Stock!O21&gt;0,(RunSize_by_Stock!O21-Escapements!O22)/RunSize_by_Stock!O21,"")</f>
        <v>0.1809876257661619</v>
      </c>
      <c r="P69">
        <f>IF(RunSize_by_Stock!P21&gt;0,(RunSize_by_Stock!P21-Escapements!P22)/RunSize_by_Stock!P21,"")</f>
        <v>0.29187675070028013</v>
      </c>
      <c r="Q69">
        <f>IF(RunSize_by_Stock!Q21&gt;0,(RunSize_by_Stock!Q21-Escapements!Q22)/RunSize_by_Stock!Q21,"")</f>
        <v>0.16067653276955601</v>
      </c>
      <c r="R69">
        <f>IF(RunSize_by_Stock!R21&gt;0,(RunSize_by_Stock!R21-Escapements!R22)/RunSize_by_Stock!R21,"")</f>
        <v>0.12307692307692308</v>
      </c>
      <c r="S69">
        <f>IF(RunSize_by_Stock!S21&gt;0,(RunSize_by_Stock!S21-Escapements!S22)/RunSize_by_Stock!S21,"")</f>
        <v>0.14872547221712817</v>
      </c>
      <c r="T69">
        <f>IF(RunSize_by_Stock!T21&gt;0,(RunSize_by_Stock!T21-Escapements!T22)/RunSize_by_Stock!T21,"")</f>
        <v>0.11444393170281496</v>
      </c>
      <c r="U69">
        <f>IF(RunSize_by_Stock!U21&gt;0,(RunSize_by_Stock!U21-Escapements!U22)/RunSize_by_Stock!U21,"")</f>
        <v>0.11764705882352941</v>
      </c>
      <c r="V69">
        <f>IF(RunSize_by_Stock!V21&gt;0,(RunSize_by_Stock!V21-Escapements!V22)/RunSize_by_Stock!V21,"")</f>
        <v>0.22983870967741934</v>
      </c>
      <c r="W69">
        <f>IF(RunSize_by_Stock!W21&gt;0,(RunSize_by_Stock!W21-Escapements!W22)/RunSize_by_Stock!W21,"")</f>
        <v>0.45833333333333331</v>
      </c>
      <c r="X69">
        <f>IF(RunSize_by_Stock!X21&gt;0,(RunSize_by_Stock!X21-Escapements!X22)/RunSize_by_Stock!X21,"")</f>
        <v>0.36282057625413944</v>
      </c>
      <c r="Y69">
        <f>IF(RunSize_by_Stock!Y21&gt;0,(RunSize_by_Stock!Y21-Escapements!Y22)/RunSize_by_Stock!Y21,"")</f>
        <v>0.43265191823018762</v>
      </c>
      <c r="Z69">
        <f>IF(RunSize_by_Stock!Z21&gt;0,(RunSize_by_Stock!Z21-Escapements!Z22)/RunSize_by_Stock!Z21,"")</f>
        <v>0.16422476251811302</v>
      </c>
      <c r="AA69">
        <f>IF(RunSize_by_Stock!AA21&gt;0,(RunSize_by_Stock!AA21-Escapements!AA22)/RunSize_by_Stock!AA21,"")</f>
        <v>0.14132379248658319</v>
      </c>
      <c r="AB69">
        <f>IF(RunSize_by_Stock!AB21&gt;0,(RunSize_by_Stock!AB21-Escapements!AB22)/RunSize_by_Stock!AB21,"")</f>
        <v>0.12</v>
      </c>
      <c r="AC69">
        <f>IF(RunSize_by_Stock!AC21&gt;0,(RunSize_by_Stock!AC21-Escapements!AC22)/RunSize_by_Stock!AC21,"")</f>
        <v>0.11703859985264094</v>
      </c>
      <c r="AD69">
        <f>IF(RunSize_by_Stock!AD21&gt;0,(RunSize_by_Stock!AD21-Escapements!AD22)/RunSize_by_Stock!AD21,"")</f>
        <v>0.41217564870259482</v>
      </c>
      <c r="AE69">
        <f>IF(RunSize_by_Stock!AE21&gt;0,(RunSize_by_Stock!AE21-Escapements!AE22)/RunSize_by_Stock!AE21,"")</f>
        <v>0.11905394023940233</v>
      </c>
      <c r="AF69">
        <f>IF(RunSize_by_Stock!AF21&gt;0,(RunSize_by_Stock!AF21-Escapements!AF22)/RunSize_by_Stock!AF21,"")</f>
        <v>0.10453920220082531</v>
      </c>
      <c r="AG69" t="str">
        <f>IF(RunSize_by_Stock!AG21&gt;0,(RunSize_by_Stock!AG21-Escapements!AG22)/RunSize_by_Stock!AG21,"")</f>
        <v/>
      </c>
      <c r="AH69">
        <f>IF(RunSize_by_Stock!AH21&gt;0,(RunSize_by_Stock!AH21-Escapements!AH22)/RunSize_by_Stock!AH21,"")</f>
        <v>0.3008595988538682</v>
      </c>
      <c r="AI69">
        <f>IF(RunSize_by_Stock!AI21&gt;0,(RunSize_by_Stock!AI21-Escapements!AI22)/RunSize_by_Stock!AI21,"")</f>
        <v>4.3735696159827227E-4</v>
      </c>
      <c r="AJ69">
        <f>IF(RunSize_by_Stock!AJ21&gt;0,(RunSize_by_Stock!AJ21-Escapements!AJ22)/RunSize_by_Stock!AJ21,"")</f>
        <v>9.0563662668441278E-2</v>
      </c>
      <c r="AK69">
        <f>IF(RunSize_by_Stock!AK21&gt;0,(RunSize_by_Stock!AK21-Escapements!AK22)/RunSize_by_Stock!AK21,"")</f>
        <v>0.12787723785166241</v>
      </c>
      <c r="AL69">
        <f>IF(RunSize_by_Stock!AL21&gt;0,(RunSize_by_Stock!AL21-Escapements!AL22)/RunSize_by_Stock!AL21,"")</f>
        <v>0.16194235139337401</v>
      </c>
      <c r="AM69">
        <f>IF(RunSize_by_Stock!AM21&gt;0,(RunSize_by_Stock!AM21-Escapements!AM22)/RunSize_by_Stock!AM21,"")</f>
        <v>0.24385245901639344</v>
      </c>
      <c r="AN69">
        <f>IF(RunSize_by_Stock!AN21&gt;0,(RunSize_by_Stock!AN21-Escapements!AN22)/RunSize_by_Stock!AN21,"")</f>
        <v>0.13461538461538461</v>
      </c>
      <c r="AO69">
        <f>IF(RunSize_by_Stock!AO21&gt;0,(RunSize_by_Stock!AO21-Escapements!AO22)/RunSize_by_Stock!AO21,"")</f>
        <v>0.16391064004640624</v>
      </c>
      <c r="AP69">
        <f>IF(RunSize_by_Stock!AP21&gt;0,(RunSize_by_Stock!AP21-Escapements!AP22)/RunSize_by_Stock!AP21,"")</f>
        <v>0.56111111111111112</v>
      </c>
      <c r="AQ69">
        <f>IF(RunSize_by_Stock!AQ21&gt;0,(RunSize_by_Stock!AQ21-Escapements!AQ22)/RunSize_by_Stock!AQ21,"")</f>
        <v>0.13309207880981103</v>
      </c>
      <c r="AR69">
        <f>IF(RunSize_by_Stock!AR21&gt;0,(RunSize_by_Stock!AR21-Escapements!AR22)/RunSize_by_Stock!AR21,"")</f>
        <v>0.15656565656565657</v>
      </c>
      <c r="AS69">
        <f>IF(RunSize_by_Stock!AS21&gt;0,(RunSize_by_Stock!AS21-Escapements!AS22)/RunSize_by_Stock!AS21,"")</f>
        <v>0.10476685037333773</v>
      </c>
      <c r="AT69">
        <f>IF(RunSize_by_Stock!AT21&gt;0,(RunSize_by_Stock!AT21-Escapements!AT22)/RunSize_by_Stock!AT21,"")</f>
        <v>0.15581167152762695</v>
      </c>
      <c r="AU69">
        <f>IF(RunSize_by_Stock!AU21&gt;0,(RunSize_by_Stock!AU21-Escapements!AU22)/RunSize_by_Stock!AU21,"")</f>
        <v>0.15016771062463055</v>
      </c>
      <c r="AV69">
        <f>IF(RunSize_by_Stock!AV21&gt;0,(RunSize_by_Stock!AV21-Escapements!AV22)/RunSize_by_Stock!AV21,"")</f>
        <v>0.24064171122994651</v>
      </c>
      <c r="AW69">
        <f>IF(RunSize_by_Stock!AW21&gt;0,(RunSize_by_Stock!AW21-Escapements!AW22)/RunSize_by_Stock!AW21,"")</f>
        <v>0.11622992392223161</v>
      </c>
      <c r="AX69">
        <f>IF(RunSize_by_Stock!AX21&gt;0,(RunSize_by_Stock!AX21-Escapements!AX22)/RunSize_by_Stock!AX21,"")</f>
        <v>7.4294205052005943E-2</v>
      </c>
      <c r="AY69">
        <f>IF(RunSize_by_Stock!AY21&gt;0,(RunSize_by_Stock!AY21-Escapements!AY22)/RunSize_by_Stock!AY21,"")</f>
        <v>9.0676940011007151E-2</v>
      </c>
      <c r="AZ69">
        <f>IF(RunSize_by_Stock!AZ21&gt;0,(RunSize_by_Stock!AZ21-Escapements!AZ22)/RunSize_by_Stock!AZ21,"")</f>
        <v>1.9557736229818126E-2</v>
      </c>
      <c r="BA69">
        <f>IF(RunSize_by_Stock!BA21&gt;0,(RunSize_by_Stock!BA21-Escapements!BA22)/RunSize_by_Stock!BA21,"")</f>
        <v>0.41063174114021572</v>
      </c>
      <c r="BB69">
        <f>IF(RunSize_by_Stock!BB21&gt;0,(RunSize_by_Stock!BB21-Escapements!BB22)/RunSize_by_Stock!BB21,"")</f>
        <v>0.46595860566448799</v>
      </c>
      <c r="BC69">
        <f>IF(RunSize_by_Stock!BC21&gt;0,(RunSize_by_Stock!BC21-Escapements!BC22)/RunSize_by_Stock!BC21,"")</f>
        <v>0.59429153924566769</v>
      </c>
      <c r="BD69">
        <f>IF(RunSize_by_Stock!BD21&gt;0,(RunSize_by_Stock!BD21-Escapements!BD22)/RunSize_by_Stock!BD21,"")</f>
        <v>0.59417652411282984</v>
      </c>
      <c r="BE69">
        <f>IF(RunSize_by_Stock!BE21&gt;0,(RunSize_by_Stock!BE21-Escapements!BE22)/RunSize_by_Stock!BE21,"")</f>
        <v>0.3921015514809591</v>
      </c>
      <c r="BF69">
        <f>IF(RunSize_by_Stock!BF21&gt;0,(RunSize_by_Stock!BF21-Escapements!BF22)/RunSize_by_Stock!BF21,"")</f>
        <v>0.1111111111111111</v>
      </c>
      <c r="BG69">
        <f>IF(RunSize_by_Stock!BG21&gt;0,(RunSize_by_Stock!BG21-Escapements!BG22)/RunSize_by_Stock!BG21,"")</f>
        <v>9.2783505154639179E-2</v>
      </c>
      <c r="BH69">
        <f>IF(RunSize_by_Stock!BH21&gt;0,(RunSize_by_Stock!BH21-Escapements!BH22)/RunSize_by_Stock!BH21,"")</f>
        <v>0.29301745635910226</v>
      </c>
      <c r="BI69">
        <f>IF(RunSize_by_Stock!BI21&gt;0,(RunSize_by_Stock!BI21-Escapements!BI22)/RunSize_by_Stock!BI21,"")</f>
        <v>1.8993870385431752E-3</v>
      </c>
      <c r="BJ69">
        <f>IF(RunSize_by_Stock!BJ21&gt;0,(RunSize_by_Stock!BJ21-Escapements!BJ22)/RunSize_by_Stock!BJ21,"")</f>
        <v>9.2930349532065484E-2</v>
      </c>
      <c r="BK69">
        <f>IF(RunSize_by_Stock!BK21&gt;0,(RunSize_by_Stock!BK21-Escapements!BK22)/RunSize_by_Stock!BK21,"")</f>
        <v>2.7185323643057157E-2</v>
      </c>
      <c r="BL69">
        <f>IF(RunSize_by_Stock!BL21&gt;0,(RunSize_by_Stock!BL21-Escapements!BL22)/RunSize_by_Stock!BL21,"")</f>
        <v>0.140625</v>
      </c>
      <c r="BM69">
        <f>IF(RunSize_by_Stock!BM21&gt;0,(RunSize_by_Stock!BM21-Escapements!BM22)/RunSize_by_Stock!BM21,"")</f>
        <v>0.11392703700570223</v>
      </c>
      <c r="BN69">
        <f>IF(RunSize_by_Stock!BN21&gt;0,(RunSize_by_Stock!BN21-Escapements!BN22)/RunSize_by_Stock!BN21,"")</f>
        <v>0.12280701754385964</v>
      </c>
      <c r="BO69">
        <f>IF(RunSize_by_Stock!BO21&gt;0,(RunSize_by_Stock!BO21-Escapements!BO22)/RunSize_by_Stock!BO21,"")</f>
        <v>0.1803677496448475</v>
      </c>
      <c r="BP69">
        <f>IF(RunSize_by_Stock!BP21&gt;0,(RunSize_by_Stock!BP21-Escapements!BP22)/RunSize_by_Stock!BP21,"")</f>
        <v>0.17742462211247001</v>
      </c>
      <c r="BQ69">
        <f>IF(RunSize_by_Stock!BQ21&gt;0,(RunSize_by_Stock!BQ21-Escapements!BQ22)/RunSize_by_Stock!BQ21,"")</f>
        <v>1.1210762331838565E-3</v>
      </c>
      <c r="BR69">
        <f>IF(RunSize_by_Stock!BR21&gt;0,(RunSize_by_Stock!BR21-Escapements!BR22)/RunSize_by_Stock!BR21,"")</f>
        <v>0.43307086614173229</v>
      </c>
      <c r="BS69">
        <f>IF(RunSize_by_Stock!BS21&gt;0,(RunSize_by_Stock!BS21-Escapements!BS22)/RunSize_by_Stock!BS21,"")</f>
        <v>8.8844556242340653E-2</v>
      </c>
      <c r="BT69">
        <f>IF(RunSize_by_Stock!BT21&gt;0,(RunSize_by_Stock!BT21-Escapements!BT22)/RunSize_by_Stock!BT21,"")</f>
        <v>0.19951632406287786</v>
      </c>
      <c r="BU69">
        <f>IF(RunSize_by_Stock!BU21&gt;0,(RunSize_by_Stock!BU21-Escapements!BU22)/RunSize_by_Stock!BU21,"")</f>
        <v>0.11167863963708925</v>
      </c>
      <c r="BV69">
        <f>IF(RunSize_by_Stock!BV21&gt;0,(RunSize_by_Stock!BV21-Escapements!BV22)/RunSize_by_Stock!BV21,"")</f>
        <v>0.33333333333333331</v>
      </c>
      <c r="BW69" t="str">
        <f>IF(RunSize_by_Stock!BW21&gt;0,(RunSize_by_Stock!BW21-Escapements!BW22)/RunSize_by_Stock!BW21,"")</f>
        <v/>
      </c>
      <c r="BX69">
        <f>IF(RunSize_by_Stock!BX21&gt;0,(RunSize_by_Stock!BX21-Escapements!BX22)/RunSize_by_Stock!BX21,"")</f>
        <v>0.14788475684780558</v>
      </c>
      <c r="BY69">
        <f>IF(RunSize_by_Stock!BY21&gt;0,(RunSize_by_Stock!BY21-Escapements!BY22)/RunSize_by_Stock!BY21,"")</f>
        <v>0.43181818181818182</v>
      </c>
      <c r="BZ69">
        <f>IF(RunSize_by_Stock!BZ21&gt;0,(RunSize_by_Stock!BZ21-Escapements!BZ22)/RunSize_by_Stock!BZ21,"")</f>
        <v>0.43262411347517732</v>
      </c>
      <c r="CA69">
        <f>IF(RunSize_by_Stock!CA21&gt;0,(RunSize_by_Stock!CA21-Escapements!CA22)/RunSize_by_Stock!CA21,"")</f>
        <v>0</v>
      </c>
      <c r="CB69">
        <f>IF(RunSize_by_Stock!CB21&gt;0,(RunSize_by_Stock!CB21-Escapements!CB22)/RunSize_by_Stock!CB21,"")</f>
        <v>9.5144356285102441E-2</v>
      </c>
      <c r="CC69">
        <f>IF(RunSize_by_Stock!CC21&gt;0,(RunSize_by_Stock!CC21-Escapements!CC22)/RunSize_by_Stock!CC21,"")</f>
        <v>0</v>
      </c>
      <c r="CD69" t="str">
        <f>IF(RunSize_by_Stock!CD21&gt;0,(RunSize_by_Stock!CD21-Escapements!CD22)/RunSize_by_Stock!CD21,"")</f>
        <v/>
      </c>
      <c r="CE69">
        <f>IF(RunSize_by_Stock!CE21&gt;0,(RunSize_by_Stock!CE21-Escapements!CE22)/RunSize_by_Stock!CE21,"")</f>
        <v>9.3023255813953487E-2</v>
      </c>
      <c r="CF69">
        <f>IF(RunSize_by_Stock!CF21&gt;0,(RunSize_by_Stock!CF21-Escapements!CF22)/RunSize_by_Stock!CF21,"")</f>
        <v>0.1</v>
      </c>
      <c r="CG69">
        <f>IF(RunSize_by_Stock!CG21&gt;0,(RunSize_by_Stock!CG21-Escapements!CG22)/RunSize_by_Stock!CG21,"")</f>
        <v>0.29980079681274902</v>
      </c>
      <c r="CH69">
        <f t="shared" si="3"/>
        <v>0.21614980623867908</v>
      </c>
    </row>
    <row r="70" spans="1:86" x14ac:dyDescent="0.55000000000000004">
      <c r="A70">
        <f t="shared" si="2"/>
        <v>1999</v>
      </c>
      <c r="B70">
        <f>IF(RunSize_by_Stock!B22&gt;0,(RunSize_by_Stock!B22-Escapements!B23)/RunSize_by_Stock!B22,"")</f>
        <v>0.20886075949367089</v>
      </c>
      <c r="C70">
        <f>IF(RunSize_by_Stock!C22&gt;0,(RunSize_by_Stock!C22-Escapements!C23)/RunSize_by_Stock!C22,"")</f>
        <v>0.18231827111984283</v>
      </c>
      <c r="D70">
        <f>IF(RunSize_by_Stock!D22&gt;0,(RunSize_by_Stock!D22-Escapements!D23)/RunSize_by_Stock!D22,"")</f>
        <v>0.22222222222222221</v>
      </c>
      <c r="E70">
        <f>IF(RunSize_by_Stock!E22&gt;0,(RunSize_by_Stock!E22-Escapements!E23)/RunSize_by_Stock!E22,"")</f>
        <v>0.19298245614035087</v>
      </c>
      <c r="F70">
        <f>IF(RunSize_by_Stock!F22&gt;0,(RunSize_by_Stock!F22-Escapements!F23)/RunSize_by_Stock!F22,"")</f>
        <v>0.19165378670788252</v>
      </c>
      <c r="G70">
        <f>IF(RunSize_by_Stock!G22&gt;0,(RunSize_by_Stock!G22-Escapements!G23)/RunSize_by_Stock!G22,"")</f>
        <v>0.19103156328817489</v>
      </c>
      <c r="H70">
        <f>IF(RunSize_by_Stock!H22&gt;0,(RunSize_by_Stock!H22-Escapements!H23)/RunSize_by_Stock!H22,"")</f>
        <v>0.20263791964981825</v>
      </c>
      <c r="I70">
        <f>IF(RunSize_by_Stock!I22&gt;0,(RunSize_by_Stock!I22-Escapements!I23)/RunSize_by_Stock!I22,"")</f>
        <v>0.19626168224299065</v>
      </c>
      <c r="J70">
        <f>IF(RunSize_by_Stock!J22&gt;0,(RunSize_by_Stock!J22-Escapements!J23)/RunSize_by_Stock!J22,"")</f>
        <v>0.19701086956521738</v>
      </c>
      <c r="K70">
        <f>IF(RunSize_by_Stock!K22&gt;0,(RunSize_by_Stock!K22-Escapements!K23)/RunSize_by_Stock!K22,"")</f>
        <v>0.1889763779527559</v>
      </c>
      <c r="L70">
        <f>IF(RunSize_by_Stock!L22&gt;0,(RunSize_by_Stock!L22-Escapements!L23)/RunSize_by_Stock!L22,"")</f>
        <v>0.19453376205787781</v>
      </c>
      <c r="M70">
        <f>IF(RunSize_by_Stock!M22&gt;0,(RunSize_by_Stock!M22-Escapements!M23)/RunSize_by_Stock!M22,"")</f>
        <v>0.18377088305489261</v>
      </c>
      <c r="N70">
        <f>IF(RunSize_by_Stock!N22&gt;0,(RunSize_by_Stock!N22-Escapements!N23)/RunSize_by_Stock!N22,"")</f>
        <v>0.17994687915006641</v>
      </c>
      <c r="O70">
        <f>IF(RunSize_by_Stock!O22&gt;0,(RunSize_by_Stock!O22-Escapements!O23)/RunSize_by_Stock!O22,"")</f>
        <v>0.19275123558484369</v>
      </c>
      <c r="P70">
        <f>IF(RunSize_by_Stock!P22&gt;0,(RunSize_by_Stock!P22-Escapements!P23)/RunSize_by_Stock!P22,"")</f>
        <v>0.18501170960187355</v>
      </c>
      <c r="Q70">
        <f>IF(RunSize_by_Stock!Q22&gt;0,(RunSize_by_Stock!Q22-Escapements!Q23)/RunSize_by_Stock!Q22,"")</f>
        <v>0.18264840182648401</v>
      </c>
      <c r="R70">
        <f>IF(RunSize_by_Stock!R22&gt;0,(RunSize_by_Stock!R22-Escapements!R23)/RunSize_by_Stock!R22,"")</f>
        <v>0.19887955182072828</v>
      </c>
      <c r="S70">
        <f>IF(RunSize_by_Stock!S22&gt;0,(RunSize_by_Stock!S22-Escapements!S23)/RunSize_by_Stock!S22,"")</f>
        <v>0.37226632107565205</v>
      </c>
      <c r="T70">
        <f>IF(RunSize_by_Stock!T22&gt;0,(RunSize_by_Stock!T22-Escapements!T23)/RunSize_by_Stock!T22,"")</f>
        <v>0.31806615776081426</v>
      </c>
      <c r="U70">
        <f>IF(RunSize_by_Stock!U22&gt;0,(RunSize_by_Stock!U22-Escapements!U23)/RunSize_by_Stock!U22,"")</f>
        <v>0.30769230769230771</v>
      </c>
      <c r="V70">
        <f>IF(RunSize_by_Stock!V22&gt;0,(RunSize_by_Stock!V22-Escapements!V23)/RunSize_by_Stock!V22,"")</f>
        <v>0.18181818181818182</v>
      </c>
      <c r="W70">
        <f>IF(RunSize_by_Stock!W22&gt;0,(RunSize_by_Stock!W22-Escapements!W23)/RunSize_by_Stock!W22,"")</f>
        <v>0.5490196078431373</v>
      </c>
      <c r="X70">
        <f>IF(RunSize_by_Stock!X22&gt;0,(RunSize_by_Stock!X22-Escapements!X23)/RunSize_by_Stock!X22,"")</f>
        <v>0.28958950095785785</v>
      </c>
      <c r="Y70">
        <f>IF(RunSize_by_Stock!Y22&gt;0,(RunSize_by_Stock!Y22-Escapements!Y23)/RunSize_by_Stock!Y22,"")</f>
        <v>0.47752394988946206</v>
      </c>
      <c r="Z70">
        <f>IF(RunSize_by_Stock!Z22&gt;0,(RunSize_by_Stock!Z22-Escapements!Z23)/RunSize_by_Stock!Z22,"")</f>
        <v>7.7163712200208553E-2</v>
      </c>
      <c r="AA70">
        <f>IF(RunSize_by_Stock!AA22&gt;0,(RunSize_by_Stock!AA22-Escapements!AA23)/RunSize_by_Stock!AA22,"")</f>
        <v>0.29729729729729731</v>
      </c>
      <c r="AB70">
        <f>IF(RunSize_by_Stock!AB22&gt;0,(RunSize_by_Stock!AB22-Escapements!AB23)/RunSize_by_Stock!AB22,"")</f>
        <v>0.26666666666666666</v>
      </c>
      <c r="AC70">
        <f>IF(RunSize_by_Stock!AC22&gt;0,(RunSize_by_Stock!AC22-Escapements!AC23)/RunSize_by_Stock!AC22,"")</f>
        <v>0.23888864032233742</v>
      </c>
      <c r="AD70">
        <f>IF(RunSize_by_Stock!AD22&gt;0,(RunSize_by_Stock!AD22-Escapements!AD23)/RunSize_by_Stock!AD22,"")</f>
        <v>0.54885993485342022</v>
      </c>
      <c r="AE70">
        <f>IF(RunSize_by_Stock!AE22&gt;0,(RunSize_by_Stock!AE22-Escapements!AE23)/RunSize_by_Stock!AE22,"")</f>
        <v>0.22003728175214973</v>
      </c>
      <c r="AF70">
        <f>IF(RunSize_by_Stock!AF22&gt;0,(RunSize_by_Stock!AF22-Escapements!AF23)/RunSize_by_Stock!AF22,"")</f>
        <v>0.26970227670753066</v>
      </c>
      <c r="AG70" t="str">
        <f>IF(RunSize_by_Stock!AG22&gt;0,(RunSize_by_Stock!AG22-Escapements!AG23)/RunSize_by_Stock!AG22,"")</f>
        <v/>
      </c>
      <c r="AH70">
        <f>IF(RunSize_by_Stock!AH22&gt;0,(RunSize_by_Stock!AH22-Escapements!AH23)/RunSize_by_Stock!AH22,"")</f>
        <v>0.38072453861927547</v>
      </c>
      <c r="AI70">
        <f>IF(RunSize_by_Stock!AI22&gt;0,(RunSize_by_Stock!AI22-Escapements!AI23)/RunSize_by_Stock!AI22,"")</f>
        <v>0.18593698273099218</v>
      </c>
      <c r="AJ70">
        <f>IF(RunSize_by_Stock!AJ22&gt;0,(RunSize_by_Stock!AJ22-Escapements!AJ23)/RunSize_by_Stock!AJ22,"")</f>
        <v>0.37930935192846349</v>
      </c>
      <c r="AK70">
        <f>IF(RunSize_by_Stock!AK22&gt;0,(RunSize_by_Stock!AK22-Escapements!AK23)/RunSize_by_Stock!AK22,"")</f>
        <v>0.16513761467889909</v>
      </c>
      <c r="AL70">
        <f>IF(RunSize_by_Stock!AL22&gt;0,(RunSize_by_Stock!AL22-Escapements!AL23)/RunSize_by_Stock!AL22,"")</f>
        <v>0.20079150177046448</v>
      </c>
      <c r="AM70">
        <f>IF(RunSize_by_Stock!AM22&gt;0,(RunSize_by_Stock!AM22-Escapements!AM23)/RunSize_by_Stock!AM22,"")</f>
        <v>0.22485207100591717</v>
      </c>
      <c r="AN70">
        <f>IF(RunSize_by_Stock!AN22&gt;0,(RunSize_by_Stock!AN22-Escapements!AN23)/RunSize_by_Stock!AN22,"")</f>
        <v>0.17545180722891565</v>
      </c>
      <c r="AO70">
        <f>IF(RunSize_by_Stock!AO22&gt;0,(RunSize_by_Stock!AO22-Escapements!AO23)/RunSize_by_Stock!AO22,"")</f>
        <v>0.24393813435567333</v>
      </c>
      <c r="AP70">
        <f>IF(RunSize_by_Stock!AP22&gt;0,(RunSize_by_Stock!AP22-Escapements!AP23)/RunSize_by_Stock!AP22,"")</f>
        <v>0.6211180124223602</v>
      </c>
      <c r="AQ70">
        <f>IF(RunSize_by_Stock!AQ22&gt;0,(RunSize_by_Stock!AQ22-Escapements!AQ23)/RunSize_by_Stock!AQ22,"")</f>
        <v>0.13372689938398358</v>
      </c>
      <c r="AR70">
        <f>IF(RunSize_by_Stock!AR22&gt;0,(RunSize_by_Stock!AR22-Escapements!AR23)/RunSize_by_Stock!AR22,"")</f>
        <v>0.17267633339350982</v>
      </c>
      <c r="AS70">
        <f>IF(RunSize_by_Stock!AS22&gt;0,(RunSize_by_Stock!AS22-Escapements!AS23)/RunSize_by_Stock!AS22,"")</f>
        <v>0.15305665122360415</v>
      </c>
      <c r="AT70">
        <f>IF(RunSize_by_Stock!AT22&gt;0,(RunSize_by_Stock!AT22-Escapements!AT23)/RunSize_by_Stock!AT22,"")</f>
        <v>0.16475270784365467</v>
      </c>
      <c r="AU70">
        <f>IF(RunSize_by_Stock!AU22&gt;0,(RunSize_by_Stock!AU22-Escapements!AU23)/RunSize_by_Stock!AU22,"")</f>
        <v>0.20812182741116753</v>
      </c>
      <c r="AV70">
        <f>IF(RunSize_by_Stock!AV22&gt;0,(RunSize_by_Stock!AV22-Escapements!AV23)/RunSize_by_Stock!AV22,"")</f>
        <v>0.22384428223844283</v>
      </c>
      <c r="AW70">
        <f>IF(RunSize_by_Stock!AW22&gt;0,(RunSize_by_Stock!AW22-Escapements!AW23)/RunSize_by_Stock!AW22,"")</f>
        <v>6.2625451625853076E-2</v>
      </c>
      <c r="AX70">
        <f>IF(RunSize_by_Stock!AX22&gt;0,(RunSize_by_Stock!AX22-Escapements!AX23)/RunSize_by_Stock!AX22,"")</f>
        <v>5.5239642567018681E-2</v>
      </c>
      <c r="AY70">
        <f>IF(RunSize_by_Stock!AY22&gt;0,(RunSize_by_Stock!AY22-Escapements!AY23)/RunSize_by_Stock!AY22,"")</f>
        <v>8.3119784479926406E-2</v>
      </c>
      <c r="AZ70">
        <f>IF(RunSize_by_Stock!AZ22&gt;0,(RunSize_by_Stock!AZ22-Escapements!AZ23)/RunSize_by_Stock!AZ22,"")</f>
        <v>5.3208137715179966E-2</v>
      </c>
      <c r="BA70">
        <f>IF(RunSize_by_Stock!BA22&gt;0,(RunSize_by_Stock!BA22-Escapements!BA23)/RunSize_by_Stock!BA22,"")</f>
        <v>0.3514376996805112</v>
      </c>
      <c r="BB70">
        <f>IF(RunSize_by_Stock!BB22&gt;0,(RunSize_by_Stock!BB22-Escapements!BB23)/RunSize_by_Stock!BB22,"")</f>
        <v>0.42387190684133913</v>
      </c>
      <c r="BC70">
        <f>IF(RunSize_by_Stock!BC22&gt;0,(RunSize_by_Stock!BC22-Escapements!BC23)/RunSize_by_Stock!BC22,"")</f>
        <v>0.70182992465016147</v>
      </c>
      <c r="BD70">
        <f>IF(RunSize_by_Stock!BD22&gt;0,(RunSize_by_Stock!BD22-Escapements!BD23)/RunSize_by_Stock!BD22,"")</f>
        <v>0.70197486535008979</v>
      </c>
      <c r="BE70">
        <f>IF(RunSize_by_Stock!BE22&gt;0,(RunSize_by_Stock!BE22-Escapements!BE23)/RunSize_by_Stock!BE22,"")</f>
        <v>0.26723298823113001</v>
      </c>
      <c r="BF70">
        <f>IF(RunSize_by_Stock!BF22&gt;0,(RunSize_by_Stock!BF22-Escapements!BF23)/RunSize_by_Stock!BF22,"")</f>
        <v>0.10645963675082508</v>
      </c>
      <c r="BG70">
        <f>IF(RunSize_by_Stock!BG22&gt;0,(RunSize_by_Stock!BG22-Escapements!BG23)/RunSize_by_Stock!BG22,"")</f>
        <v>3.9301310043668124E-2</v>
      </c>
      <c r="BH70">
        <f>IF(RunSize_by_Stock!BH22&gt;0,(RunSize_by_Stock!BH22-Escapements!BH23)/RunSize_by_Stock!BH22,"")</f>
        <v>0.43461538461538463</v>
      </c>
      <c r="BI70">
        <f>IF(RunSize_by_Stock!BI22&gt;0,(RunSize_by_Stock!BI22-Escapements!BI23)/RunSize_by_Stock!BI22,"")</f>
        <v>6.1026143298425371E-3</v>
      </c>
      <c r="BJ70">
        <f>IF(RunSize_by_Stock!BJ22&gt;0,(RunSize_by_Stock!BJ22-Escapements!BJ23)/RunSize_by_Stock!BJ22,"")</f>
        <v>7.2650444761893335E-2</v>
      </c>
      <c r="BK70">
        <f>IF(RunSize_by_Stock!BK22&gt;0,(RunSize_by_Stock!BK22-Escapements!BK23)/RunSize_by_Stock!BK22,"")</f>
        <v>1.5020307240292277E-2</v>
      </c>
      <c r="BL70">
        <f>IF(RunSize_by_Stock!BL22&gt;0,(RunSize_by_Stock!BL22-Escapements!BL23)/RunSize_by_Stock!BL22,"")</f>
        <v>0.21428571428571427</v>
      </c>
      <c r="BM70">
        <f>IF(RunSize_by_Stock!BM22&gt;0,(RunSize_by_Stock!BM22-Escapements!BM23)/RunSize_by_Stock!BM22,"")</f>
        <v>0.13157894736842105</v>
      </c>
      <c r="BN70">
        <f>IF(RunSize_by_Stock!BN22&gt;0,(RunSize_by_Stock!BN22-Escapements!BN23)/RunSize_by_Stock!BN22,"")</f>
        <v>0.12295081967213115</v>
      </c>
      <c r="BO70">
        <f>IF(RunSize_by_Stock!BO22&gt;0,(RunSize_by_Stock!BO22-Escapements!BO23)/RunSize_by_Stock!BO22,"")</f>
        <v>0.19338598650589786</v>
      </c>
      <c r="BP70">
        <f>IF(RunSize_by_Stock!BP22&gt;0,(RunSize_by_Stock!BP22-Escapements!BP23)/RunSize_by_Stock!BP22,"")</f>
        <v>0.19438148163246238</v>
      </c>
      <c r="BQ70">
        <f>IF(RunSize_by_Stock!BQ22&gt;0,(RunSize_by_Stock!BQ22-Escapements!BQ23)/RunSize_by_Stock!BQ22,"")</f>
        <v>3.7735849056603774E-3</v>
      </c>
      <c r="BR70">
        <f>IF(RunSize_by_Stock!BR22&gt;0,(RunSize_by_Stock!BR22-Escapements!BR23)/RunSize_by_Stock!BR22,"")</f>
        <v>0.47692307692307695</v>
      </c>
      <c r="BS70">
        <f>IF(RunSize_by_Stock!BS22&gt;0,(RunSize_by_Stock!BS22-Escapements!BS23)/RunSize_by_Stock!BS22,"")</f>
        <v>4.1561026380009351E-2</v>
      </c>
      <c r="BT70">
        <f>IF(RunSize_by_Stock!BT22&gt;0,(RunSize_by_Stock!BT22-Escapements!BT23)/RunSize_by_Stock!BT22,"")</f>
        <v>0.13586923106469689</v>
      </c>
      <c r="BU70">
        <f>IF(RunSize_by_Stock!BU22&gt;0,(RunSize_by_Stock!BU22-Escapements!BU23)/RunSize_by_Stock!BU22,"")</f>
        <v>3.2301751628076823E-2</v>
      </c>
      <c r="BV70">
        <f>IF(RunSize_by_Stock!BV22&gt;0,(RunSize_by_Stock!BV22-Escapements!BV23)/RunSize_by_Stock!BV22,"")</f>
        <v>0.18571099359978629</v>
      </c>
      <c r="BW70" t="str">
        <f>IF(RunSize_by_Stock!BW22&gt;0,(RunSize_by_Stock!BW22-Escapements!BW23)/RunSize_by_Stock!BW22,"")</f>
        <v/>
      </c>
      <c r="BX70">
        <f>IF(RunSize_by_Stock!BX22&gt;0,(RunSize_by_Stock!BX22-Escapements!BX23)/RunSize_by_Stock!BX22,"")</f>
        <v>0.38127171491690603</v>
      </c>
      <c r="BY70">
        <f>IF(RunSize_by_Stock!BY22&gt;0,(RunSize_by_Stock!BY22-Escapements!BY23)/RunSize_by_Stock!BY22,"")</f>
        <v>0.47741935483870968</v>
      </c>
      <c r="BZ70">
        <f>IF(RunSize_by_Stock!BZ22&gt;0,(RunSize_by_Stock!BZ22-Escapements!BZ23)/RunSize_by_Stock!BZ22,"")</f>
        <v>0.48</v>
      </c>
      <c r="CA70">
        <f>IF(RunSize_by_Stock!CA22&gt;0,(RunSize_by_Stock!CA22-Escapements!CA23)/RunSize_by_Stock!CA22,"")</f>
        <v>0.3888888888888889</v>
      </c>
      <c r="CB70">
        <f>IF(RunSize_by_Stock!CB22&gt;0,(RunSize_by_Stock!CB22-Escapements!CB23)/RunSize_by_Stock!CB22,"")</f>
        <v>3.6773210611697464E-2</v>
      </c>
      <c r="CC70">
        <f>IF(RunSize_by_Stock!CC22&gt;0,(RunSize_by_Stock!CC22-Escapements!CC23)/RunSize_by_Stock!CC22,"")</f>
        <v>0.13953488372093023</v>
      </c>
      <c r="CD70" t="str">
        <f>IF(RunSize_by_Stock!CD22&gt;0,(RunSize_by_Stock!CD22-Escapements!CD23)/RunSize_by_Stock!CD22,"")</f>
        <v/>
      </c>
      <c r="CE70">
        <f>IF(RunSize_by_Stock!CE22&gt;0,(RunSize_by_Stock!CE22-Escapements!CE23)/RunSize_by_Stock!CE22,"")</f>
        <v>0.13157894736842105</v>
      </c>
      <c r="CF70">
        <f>IF(RunSize_by_Stock!CF22&gt;0,(RunSize_by_Stock!CF22-Escapements!CF23)/RunSize_by_Stock!CF22,"")</f>
        <v>0.25324675324675322</v>
      </c>
      <c r="CG70">
        <f>IF(RunSize_by_Stock!CG22&gt;0,(RunSize_by_Stock!CG22-Escapements!CG23)/RunSize_by_Stock!CG22,"")</f>
        <v>0.29109159347553326</v>
      </c>
      <c r="CH70">
        <f t="shared" si="3"/>
        <v>0.23489811042554229</v>
      </c>
    </row>
    <row r="71" spans="1:86" x14ac:dyDescent="0.55000000000000004">
      <c r="A71">
        <f t="shared" si="2"/>
        <v>2000</v>
      </c>
      <c r="B71">
        <f>IF(RunSize_by_Stock!B23&gt;0,(RunSize_by_Stock!B23-Escapements!B24)/RunSize_by_Stock!B23,"")</f>
        <v>0.29565217391304349</v>
      </c>
      <c r="C71">
        <f>IF(RunSize_by_Stock!C23&gt;0,(RunSize_by_Stock!C23-Escapements!C24)/RunSize_by_Stock!C23,"")</f>
        <v>0.22534246575342465</v>
      </c>
      <c r="D71">
        <f>IF(RunSize_by_Stock!D23&gt;0,(RunSize_by_Stock!D23-Escapements!D24)/RunSize_by_Stock!D23,"")</f>
        <v>0.2967032967032967</v>
      </c>
      <c r="E71">
        <f>IF(RunSize_by_Stock!E23&gt;0,(RunSize_by_Stock!E23-Escapements!E24)/RunSize_by_Stock!E23,"")</f>
        <v>0.27906976744186046</v>
      </c>
      <c r="F71">
        <f>IF(RunSize_by_Stock!F23&gt;0,(RunSize_by_Stock!F23-Escapements!F24)/RunSize_by_Stock!F23,"")</f>
        <v>0.27890056588520612</v>
      </c>
      <c r="G71">
        <f>IF(RunSize_by_Stock!G23&gt;0,(RunSize_by_Stock!G23-Escapements!G24)/RunSize_by_Stock!G23,"")</f>
        <v>0.28888888888888886</v>
      </c>
      <c r="H71">
        <f>IF(RunSize_by_Stock!H23&gt;0,(RunSize_by_Stock!H23-Escapements!H24)/RunSize_by_Stock!H23,"")</f>
        <v>0.27777777777777779</v>
      </c>
      <c r="I71">
        <f>IF(RunSize_by_Stock!I23&gt;0,(RunSize_by_Stock!I23-Escapements!I24)/RunSize_by_Stock!I23,"")</f>
        <v>0.28135593220338984</v>
      </c>
      <c r="J71">
        <f>IF(RunSize_by_Stock!J23&gt;0,(RunSize_by_Stock!J23-Escapements!J24)/RunSize_by_Stock!J23,"")</f>
        <v>0.28527291452111225</v>
      </c>
      <c r="K71">
        <f>IF(RunSize_by_Stock!K23&gt;0,(RunSize_by_Stock!K23-Escapements!K24)/RunSize_by_Stock!K23,"")</f>
        <v>0.27586206896551724</v>
      </c>
      <c r="L71">
        <f>IF(RunSize_by_Stock!L23&gt;0,(RunSize_by_Stock!L23-Escapements!L24)/RunSize_by_Stock!L23,"")</f>
        <v>0.28207639569049953</v>
      </c>
      <c r="M71">
        <f>IF(RunSize_by_Stock!M23&gt;0,(RunSize_by_Stock!M23-Escapements!M24)/RunSize_by_Stock!M23,"")</f>
        <v>0.26701570680628273</v>
      </c>
      <c r="N71">
        <f>IF(RunSize_by_Stock!N23&gt;0,(RunSize_by_Stock!N23-Escapements!N24)/RunSize_by_Stock!N23,"")</f>
        <v>0.23468426013195098</v>
      </c>
      <c r="O71">
        <f>IF(RunSize_by_Stock!O23&gt;0,(RunSize_by_Stock!O23-Escapements!O24)/RunSize_by_Stock!O23,"")</f>
        <v>0.23355068168346191</v>
      </c>
      <c r="P71">
        <f>IF(RunSize_by_Stock!P23&gt;0,(RunSize_by_Stock!P23-Escapements!P24)/RunSize_by_Stock!P23,"")</f>
        <v>0.26939305420318077</v>
      </c>
      <c r="Q71">
        <f>IF(RunSize_by_Stock!Q23&gt;0,(RunSize_by_Stock!Q23-Escapements!Q24)/RunSize_by_Stock!Q23,"")</f>
        <v>0.22512135922330098</v>
      </c>
      <c r="R71">
        <f>IF(RunSize_by_Stock!R23&gt;0,(RunSize_by_Stock!R23-Escapements!R24)/RunSize_by_Stock!R23,"")</f>
        <v>0.20181405895691609</v>
      </c>
      <c r="S71">
        <f>IF(RunSize_by_Stock!S23&gt;0,(RunSize_by_Stock!S23-Escapements!S24)/RunSize_by_Stock!S23,"")</f>
        <v>0.14656349567592172</v>
      </c>
      <c r="T71">
        <f>IF(RunSize_by_Stock!T23&gt;0,(RunSize_by_Stock!T23-Escapements!T24)/RunSize_by_Stock!T23,"")</f>
        <v>0.15116564417177913</v>
      </c>
      <c r="U71">
        <f>IF(RunSize_by_Stock!U23&gt;0,(RunSize_by_Stock!U23-Escapements!U24)/RunSize_by_Stock!U23,"")</f>
        <v>0.15763362342585774</v>
      </c>
      <c r="V71">
        <f>IF(RunSize_by_Stock!V23&gt;0,(RunSize_by_Stock!V23-Escapements!V24)/RunSize_by_Stock!V23,"")</f>
        <v>0.25925925925925924</v>
      </c>
      <c r="W71">
        <f>IF(RunSize_by_Stock!W23&gt;0,(RunSize_by_Stock!W23-Escapements!W24)/RunSize_by_Stock!W23,"")</f>
        <v>0.51219512195121952</v>
      </c>
      <c r="X71">
        <f>IF(RunSize_by_Stock!X23&gt;0,(RunSize_by_Stock!X23-Escapements!X24)/RunSize_by_Stock!X23,"")</f>
        <v>0.32568027210884343</v>
      </c>
      <c r="Y71">
        <f>IF(RunSize_by_Stock!Y23&gt;0,(RunSize_by_Stock!Y23-Escapements!Y24)/RunSize_by_Stock!Y23,"")</f>
        <v>0.4538878842676311</v>
      </c>
      <c r="Z71">
        <f>IF(RunSize_by_Stock!Z23&gt;0,(RunSize_by_Stock!Z23-Escapements!Z24)/RunSize_by_Stock!Z23,"")</f>
        <v>0.2579298831385643</v>
      </c>
      <c r="AA71">
        <f>IF(RunSize_by_Stock!AA23&gt;0,(RunSize_by_Stock!AA23-Escapements!AA24)/RunSize_by_Stock!AA23,"")</f>
        <v>0.17672413793103448</v>
      </c>
      <c r="AB71">
        <f>IF(RunSize_by_Stock!AB23&gt;0,(RunSize_by_Stock!AB23-Escapements!AB24)/RunSize_by_Stock!AB23,"")</f>
        <v>0.1674641148325359</v>
      </c>
      <c r="AC71">
        <f>IF(RunSize_by_Stock!AC23&gt;0,(RunSize_by_Stock!AC23-Escapements!AC24)/RunSize_by_Stock!AC23,"")</f>
        <v>0.18815490326647508</v>
      </c>
      <c r="AD71">
        <f>IF(RunSize_by_Stock!AD23&gt;0,(RunSize_by_Stock!AD23-Escapements!AD24)/RunSize_by_Stock!AD23,"")</f>
        <v>0.51068376068376065</v>
      </c>
      <c r="AE71">
        <f>IF(RunSize_by_Stock!AE23&gt;0,(RunSize_by_Stock!AE23-Escapements!AE24)/RunSize_by_Stock!AE23,"")</f>
        <v>0.1991635256186379</v>
      </c>
      <c r="AF71">
        <f>IF(RunSize_by_Stock!AF23&gt;0,(RunSize_by_Stock!AF23-Escapements!AF24)/RunSize_by_Stock!AF23,"")</f>
        <v>0.17142857142857143</v>
      </c>
      <c r="AG71">
        <f>IF(RunSize_by_Stock!AG23&gt;0,(RunSize_by_Stock!AG23-Escapements!AG24)/RunSize_by_Stock!AG23,"")</f>
        <v>0.1598360655737705</v>
      </c>
      <c r="AH71">
        <f>IF(RunSize_by_Stock!AH23&gt;0,(RunSize_by_Stock!AH23-Escapements!AH24)/RunSize_by_Stock!AH23,"")</f>
        <v>0.30407239819004522</v>
      </c>
      <c r="AI71">
        <f>IF(RunSize_by_Stock!AI23&gt;0,(RunSize_by_Stock!AI23-Escapements!AI24)/RunSize_by_Stock!AI23,"")</f>
        <v>0.26984126984126983</v>
      </c>
      <c r="AJ71">
        <f>IF(RunSize_by_Stock!AJ23&gt;0,(RunSize_by_Stock!AJ23-Escapements!AJ24)/RunSize_by_Stock!AJ23,"")</f>
        <v>0.39473684210526316</v>
      </c>
      <c r="AK71">
        <f>IF(RunSize_by_Stock!AK23&gt;0,(RunSize_by_Stock!AK23-Escapements!AK24)/RunSize_by_Stock!AK23,"")</f>
        <v>0.13732394366197184</v>
      </c>
      <c r="AL71">
        <f>IF(RunSize_by_Stock!AL23&gt;0,(RunSize_by_Stock!AL23-Escapements!AL24)/RunSize_by_Stock!AL23,"")</f>
        <v>0.19095744680851065</v>
      </c>
      <c r="AM71">
        <f>IF(RunSize_by_Stock!AM23&gt;0,(RunSize_by_Stock!AM23-Escapements!AM24)/RunSize_by_Stock!AM23,"")</f>
        <v>0.19755708975039829</v>
      </c>
      <c r="AN71">
        <f>IF(RunSize_by_Stock!AN23&gt;0,(RunSize_by_Stock!AN23-Escapements!AN24)/RunSize_by_Stock!AN23,"")</f>
        <v>0.13253012048192772</v>
      </c>
      <c r="AO71">
        <f>IF(RunSize_by_Stock!AO23&gt;0,(RunSize_by_Stock!AO23-Escapements!AO24)/RunSize_by_Stock!AO23,"")</f>
        <v>0.17204301075268819</v>
      </c>
      <c r="AP71">
        <f>IF(RunSize_by_Stock!AP23&gt;0,(RunSize_by_Stock!AP23-Escapements!AP24)/RunSize_by_Stock!AP23,"")</f>
        <v>0.51813880126182965</v>
      </c>
      <c r="AQ71">
        <f>IF(RunSize_by_Stock!AQ23&gt;0,(RunSize_by_Stock!AQ23-Escapements!AQ24)/RunSize_by_Stock!AQ23,"")</f>
        <v>0.15425840092699883</v>
      </c>
      <c r="AR71">
        <f>IF(RunSize_by_Stock!AR23&gt;0,(RunSize_by_Stock!AR23-Escapements!AR24)/RunSize_by_Stock!AR23,"")</f>
        <v>0.1875</v>
      </c>
      <c r="AS71">
        <f>IF(RunSize_by_Stock!AS23&gt;0,(RunSize_by_Stock!AS23-Escapements!AS24)/RunSize_by_Stock!AS23,"")</f>
        <v>0.15159232920428548</v>
      </c>
      <c r="AT71">
        <f>IF(RunSize_by_Stock!AT23&gt;0,(RunSize_by_Stock!AT23-Escapements!AT24)/RunSize_by_Stock!AT23,"")</f>
        <v>0.19480631276901003</v>
      </c>
      <c r="AU71">
        <f>IF(RunSize_by_Stock!AU23&gt;0,(RunSize_by_Stock!AU23-Escapements!AU24)/RunSize_by_Stock!AU23,"")</f>
        <v>0.20220588235294118</v>
      </c>
      <c r="AV71">
        <f>IF(RunSize_by_Stock!AV23&gt;0,(RunSize_by_Stock!AV23-Escapements!AV24)/RunSize_by_Stock!AV23,"")</f>
        <v>0.29353233830845771</v>
      </c>
      <c r="AW71">
        <f>IF(RunSize_by_Stock!AW23&gt;0,(RunSize_by_Stock!AW23-Escapements!AW24)/RunSize_by_Stock!AW23,"")</f>
        <v>0.211277410372433</v>
      </c>
      <c r="AX71">
        <f>IF(RunSize_by_Stock!AX23&gt;0,(RunSize_by_Stock!AX23-Escapements!AX24)/RunSize_by_Stock!AX23,"")</f>
        <v>0.19153146022952117</v>
      </c>
      <c r="AY71">
        <f>IF(RunSize_by_Stock!AY23&gt;0,(RunSize_by_Stock!AY23-Escapements!AY24)/RunSize_by_Stock!AY23,"")</f>
        <v>0.18977281247656894</v>
      </c>
      <c r="AZ71">
        <f>IF(RunSize_by_Stock!AZ23&gt;0,(RunSize_by_Stock!AZ23-Escapements!AZ24)/RunSize_by_Stock!AZ23,"")</f>
        <v>7.9816250358886023E-2</v>
      </c>
      <c r="BA71">
        <f>IF(RunSize_by_Stock!BA23&gt;0,(RunSize_by_Stock!BA23-Escapements!BA24)/RunSize_by_Stock!BA23,"")</f>
        <v>0.35352622061482819</v>
      </c>
      <c r="BB71">
        <f>IF(RunSize_by_Stock!BB23&gt;0,(RunSize_by_Stock!BB23-Escapements!BB24)/RunSize_by_Stock!BB23,"")</f>
        <v>0.40422676954042269</v>
      </c>
      <c r="BC71">
        <f>IF(RunSize_by_Stock!BC23&gt;0,(RunSize_by_Stock!BC23-Escapements!BC24)/RunSize_by_Stock!BC23,"")</f>
        <v>0.64460784313725494</v>
      </c>
      <c r="BD71">
        <f>IF(RunSize_by_Stock!BD23&gt;0,(RunSize_by_Stock!BD23-Escapements!BD24)/RunSize_by_Stock!BD23,"")</f>
        <v>0.64454756380510436</v>
      </c>
      <c r="BE71">
        <f>IF(RunSize_by_Stock!BE23&gt;0,(RunSize_by_Stock!BE23-Escapements!BE24)/RunSize_by_Stock!BE23,"")</f>
        <v>0.35444021443555279</v>
      </c>
      <c r="BF71">
        <f>IF(RunSize_by_Stock!BF23&gt;0,(RunSize_by_Stock!BF23-Escapements!BF24)/RunSize_by_Stock!BF23,"")</f>
        <v>0.14893617021276595</v>
      </c>
      <c r="BG71">
        <f>IF(RunSize_by_Stock!BG23&gt;0,(RunSize_by_Stock!BG23-Escapements!BG24)/RunSize_by_Stock!BG23,"")</f>
        <v>0.15315315315315314</v>
      </c>
      <c r="BH71">
        <f>IF(RunSize_by_Stock!BH23&gt;0,(RunSize_by_Stock!BH23-Escapements!BH24)/RunSize_by_Stock!BH23,"")</f>
        <v>0.34733441033925688</v>
      </c>
      <c r="BI71">
        <f>IF(RunSize_by_Stock!BI23&gt;0,(RunSize_by_Stock!BI23-Escapements!BI24)/RunSize_by_Stock!BI23,"")</f>
        <v>5.5664455166867712E-3</v>
      </c>
      <c r="BJ71">
        <f>IF(RunSize_by_Stock!BJ23&gt;0,(RunSize_by_Stock!BJ23-Escapements!BJ24)/RunSize_by_Stock!BJ23,"")</f>
        <v>5.9116595233545358E-2</v>
      </c>
      <c r="BK71">
        <f>IF(RunSize_by_Stock!BK23&gt;0,(RunSize_by_Stock!BK23-Escapements!BK24)/RunSize_by_Stock!BK23,"")</f>
        <v>2.384670591937255E-2</v>
      </c>
      <c r="BL71">
        <f>IF(RunSize_by_Stock!BL23&gt;0,(RunSize_by_Stock!BL23-Escapements!BL24)/RunSize_by_Stock!BL23,"")</f>
        <v>0.18965517241379309</v>
      </c>
      <c r="BM71">
        <f>IF(RunSize_by_Stock!BM23&gt;0,(RunSize_by_Stock!BM23-Escapements!BM24)/RunSize_by_Stock!BM23,"")</f>
        <v>0.15441176470588236</v>
      </c>
      <c r="BN71">
        <f>IF(RunSize_by_Stock!BN23&gt;0,(RunSize_by_Stock!BN23-Escapements!BN24)/RunSize_by_Stock!BN23,"")</f>
        <v>0.15492957746478872</v>
      </c>
      <c r="BO71">
        <f>IF(RunSize_by_Stock!BO23&gt;0,(RunSize_by_Stock!BO23-Escapements!BO24)/RunSize_by_Stock!BO23,"")</f>
        <v>0.25473914140911563</v>
      </c>
      <c r="BP71">
        <f>IF(RunSize_by_Stock!BP23&gt;0,(RunSize_by_Stock!BP23-Escapements!BP24)/RunSize_by_Stock!BP23,"")</f>
        <v>0.26142900251108209</v>
      </c>
      <c r="BQ71">
        <f>IF(RunSize_by_Stock!BQ23&gt;0,(RunSize_by_Stock!BQ23-Escapements!BQ24)/RunSize_by_Stock!BQ23,"")</f>
        <v>2.3809523809523812E-3</v>
      </c>
      <c r="BR71">
        <f>IF(RunSize_by_Stock!BR23&gt;0,(RunSize_by_Stock!BR23-Escapements!BR24)/RunSize_by_Stock!BR23,"")</f>
        <v>0.45348837209302323</v>
      </c>
      <c r="BS71">
        <f>IF(RunSize_by_Stock!BS23&gt;0,(RunSize_by_Stock!BS23-Escapements!BS24)/RunSize_by_Stock!BS23,"")</f>
        <v>9.5057962027893017E-2</v>
      </c>
      <c r="BT71">
        <f>IF(RunSize_by_Stock!BT23&gt;0,(RunSize_by_Stock!BT23-Escapements!BT24)/RunSize_by_Stock!BT23,"")</f>
        <v>0.18751300969226717</v>
      </c>
      <c r="BU71">
        <f>IF(RunSize_by_Stock!BU23&gt;0,(RunSize_by_Stock!BU23-Escapements!BU24)/RunSize_by_Stock!BU23,"")</f>
        <v>0.11091470758877742</v>
      </c>
      <c r="BV71">
        <f>IF(RunSize_by_Stock!BV23&gt;0,(RunSize_by_Stock!BV23-Escapements!BV24)/RunSize_by_Stock!BV23,"")</f>
        <v>0.2857142857142857</v>
      </c>
      <c r="BW71" t="str">
        <f>IF(RunSize_by_Stock!BW23&gt;0,(RunSize_by_Stock!BW23-Escapements!BW24)/RunSize_by_Stock!BW23,"")</f>
        <v/>
      </c>
      <c r="BX71">
        <f>IF(RunSize_by_Stock!BX23&gt;0,(RunSize_by_Stock!BX23-Escapements!BX24)/RunSize_by_Stock!BX23,"")</f>
        <v>0.14746356064478527</v>
      </c>
      <c r="BY71">
        <f>IF(RunSize_by_Stock!BY23&gt;0,(RunSize_by_Stock!BY23-Escapements!BY24)/RunSize_by_Stock!BY23,"")</f>
        <v>0.45363408521303256</v>
      </c>
      <c r="BZ71">
        <f>IF(RunSize_by_Stock!BZ23&gt;0,(RunSize_by_Stock!BZ23-Escapements!BZ24)/RunSize_by_Stock!BZ23,"")</f>
        <v>0.45390070921985815</v>
      </c>
      <c r="CA71">
        <f>IF(RunSize_by_Stock!CA23&gt;0,(RunSize_by_Stock!CA23-Escapements!CA24)/RunSize_by_Stock!CA23,"")</f>
        <v>0.15094339622641509</v>
      </c>
      <c r="CB71">
        <f>IF(RunSize_by_Stock!CB23&gt;0,(RunSize_by_Stock!CB23-Escapements!CB24)/RunSize_by_Stock!CB23,"")</f>
        <v>9.8932426019893022E-2</v>
      </c>
      <c r="CC71">
        <f>IF(RunSize_by_Stock!CC23&gt;0,(RunSize_by_Stock!CC23-Escapements!CC24)/RunSize_by_Stock!CC23,"")</f>
        <v>0.17073170731707318</v>
      </c>
      <c r="CD71" t="str">
        <f>IF(RunSize_by_Stock!CD23&gt;0,(RunSize_by_Stock!CD23-Escapements!CD24)/RunSize_by_Stock!CD23,"")</f>
        <v/>
      </c>
      <c r="CE71">
        <f>IF(RunSize_by_Stock!CE23&gt;0,(RunSize_by_Stock!CE23-Escapements!CE24)/RunSize_by_Stock!CE23,"")</f>
        <v>0.13043478260869565</v>
      </c>
      <c r="CF71">
        <f>IF(RunSize_by_Stock!CF23&gt;0,(RunSize_by_Stock!CF23-Escapements!CF24)/RunSize_by_Stock!CF23,"")</f>
        <v>0.16216216216216217</v>
      </c>
      <c r="CG71">
        <f>IF(RunSize_by_Stock!CG23&gt;0,(RunSize_by_Stock!CG23-Escapements!CG24)/RunSize_by_Stock!CG23,"")</f>
        <v>0.31505376344086022</v>
      </c>
      <c r="CH71">
        <f t="shared" si="3"/>
        <v>0.24246998030120204</v>
      </c>
    </row>
    <row r="72" spans="1:86" x14ac:dyDescent="0.55000000000000004">
      <c r="A72">
        <f t="shared" si="2"/>
        <v>2001</v>
      </c>
      <c r="B72">
        <f>IF(RunSize_by_Stock!B24&gt;0,(RunSize_by_Stock!B24-Escapements!B25)/RunSize_by_Stock!B24,"")</f>
        <v>0.34226389819156061</v>
      </c>
      <c r="C72">
        <f>IF(RunSize_by_Stock!C24&gt;0,(RunSize_by_Stock!C24-Escapements!C25)/RunSize_by_Stock!C24,"")</f>
        <v>0.18294243070362473</v>
      </c>
      <c r="D72">
        <f>IF(RunSize_by_Stock!D24&gt;0,(RunSize_by_Stock!D24-Escapements!D25)/RunSize_by_Stock!D24,"")</f>
        <v>0.34265734265734266</v>
      </c>
      <c r="E72">
        <f>IF(RunSize_by_Stock!E24&gt;0,(RunSize_by_Stock!E24-Escapements!E25)/RunSize_by_Stock!E24,"")</f>
        <v>0.32142857142857145</v>
      </c>
      <c r="F72">
        <f>IF(RunSize_by_Stock!F24&gt;0,(RunSize_by_Stock!F24-Escapements!F25)/RunSize_by_Stock!F24,"")</f>
        <v>0.312626603646185</v>
      </c>
      <c r="G72">
        <f>IF(RunSize_by_Stock!G24&gt;0,(RunSize_by_Stock!G24-Escapements!G25)/RunSize_by_Stock!G24,"")</f>
        <v>0.30769230769230771</v>
      </c>
      <c r="H72">
        <f>IF(RunSize_by_Stock!H24&gt;0,(RunSize_by_Stock!H24-Escapements!H25)/RunSize_by_Stock!H24,"")</f>
        <v>0.31944444444444442</v>
      </c>
      <c r="I72">
        <f>IF(RunSize_by_Stock!I24&gt;0,(RunSize_by_Stock!I24-Escapements!I25)/RunSize_by_Stock!I24,"")</f>
        <v>0.31953642384105962</v>
      </c>
      <c r="J72">
        <f>IF(RunSize_by_Stock!J24&gt;0,(RunSize_by_Stock!J24-Escapements!J25)/RunSize_by_Stock!J24,"")</f>
        <v>0.32651670895734036</v>
      </c>
      <c r="K72">
        <f>IF(RunSize_by_Stock!K24&gt;0,(RunSize_by_Stock!K24-Escapements!K25)/RunSize_by_Stock!K24,"")</f>
        <v>0.30588235294117649</v>
      </c>
      <c r="L72">
        <f>IF(RunSize_by_Stock!L24&gt;0,(RunSize_by_Stock!L24-Escapements!L25)/RunSize_by_Stock!L24,"")</f>
        <v>0.31976744186046513</v>
      </c>
      <c r="M72">
        <f>IF(RunSize_by_Stock!M24&gt;0,(RunSize_by_Stock!M24-Escapements!M25)/RunSize_by_Stock!M24,"")</f>
        <v>0.27902621722846443</v>
      </c>
      <c r="N72">
        <f>IF(RunSize_by_Stock!N24&gt;0,(RunSize_by_Stock!N24-Escapements!N25)/RunSize_by_Stock!N24,"")</f>
        <v>0.20028922631959509</v>
      </c>
      <c r="O72">
        <f>IF(RunSize_by_Stock!O24&gt;0,(RunSize_by_Stock!O24-Escapements!O25)/RunSize_by_Stock!O24,"")</f>
        <v>0.1927657697397443</v>
      </c>
      <c r="P72">
        <f>IF(RunSize_by_Stock!P24&gt;0,(RunSize_by_Stock!P24-Escapements!P25)/RunSize_by_Stock!P24,"")</f>
        <v>0.28844457512496324</v>
      </c>
      <c r="Q72">
        <f>IF(RunSize_by_Stock!Q24&gt;0,(RunSize_by_Stock!Q24-Escapements!Q25)/RunSize_by_Stock!Q24,"")</f>
        <v>0.18298261665141813</v>
      </c>
      <c r="R72">
        <f>IF(RunSize_by_Stock!R24&gt;0,(RunSize_by_Stock!R24-Escapements!R25)/RunSize_by_Stock!R24,"")</f>
        <v>0.1519434628975265</v>
      </c>
      <c r="S72">
        <f>IF(RunSize_by_Stock!S24&gt;0,(RunSize_by_Stock!S24-Escapements!S25)/RunSize_by_Stock!S24,"")</f>
        <v>0.1985233798195242</v>
      </c>
      <c r="T72">
        <f>IF(RunSize_by_Stock!T24&gt;0,(RunSize_by_Stock!T24-Escapements!T25)/RunSize_by_Stock!T24,"")</f>
        <v>0.16437320429457131</v>
      </c>
      <c r="U72">
        <f>IF(RunSize_by_Stock!U24&gt;0,(RunSize_by_Stock!U24-Escapements!U25)/RunSize_by_Stock!U24,"")</f>
        <v>0.15391792718013825</v>
      </c>
      <c r="V72">
        <f>IF(RunSize_by_Stock!V24&gt;0,(RunSize_by_Stock!V24-Escapements!V25)/RunSize_by_Stock!V24,"")</f>
        <v>0.22752808988764045</v>
      </c>
      <c r="W72">
        <f>IF(RunSize_by_Stock!W24&gt;0,(RunSize_by_Stock!W24-Escapements!W25)/RunSize_by_Stock!W24,"")</f>
        <v>0.57798385761960736</v>
      </c>
      <c r="X72">
        <f>IF(RunSize_by_Stock!X24&gt;0,(RunSize_by_Stock!X24-Escapements!X25)/RunSize_by_Stock!X24,"")</f>
        <v>0.33906464924346624</v>
      </c>
      <c r="Y72">
        <f>IF(RunSize_by_Stock!Y24&gt;0,(RunSize_by_Stock!Y24-Escapements!Y25)/RunSize_by_Stock!Y24,"")</f>
        <v>0.47043010752688175</v>
      </c>
      <c r="Z72">
        <f>IF(RunSize_by_Stock!Z24&gt;0,(RunSize_by_Stock!Z24-Escapements!Z25)/RunSize_by_Stock!Z24,"")</f>
        <v>0.17078189300411523</v>
      </c>
      <c r="AA72">
        <f>IF(RunSize_by_Stock!AA24&gt;0,(RunSize_by_Stock!AA24-Escapements!AA25)/RunSize_by_Stock!AA24,"")</f>
        <v>0.1847649918962723</v>
      </c>
      <c r="AB72">
        <f>IF(RunSize_by_Stock!AB24&gt;0,(RunSize_by_Stock!AB24-Escapements!AB25)/RunSize_by_Stock!AB24,"")</f>
        <v>0.14329268292682926</v>
      </c>
      <c r="AC72">
        <f>IF(RunSize_by_Stock!AC24&gt;0,(RunSize_by_Stock!AC24-Escapements!AC25)/RunSize_by_Stock!AC24,"")</f>
        <v>0.15032267655534126</v>
      </c>
      <c r="AD72">
        <f>IF(RunSize_by_Stock!AD24&gt;0,(RunSize_by_Stock!AD24-Escapements!AD25)/RunSize_by_Stock!AD24,"")</f>
        <v>0.57739130434782604</v>
      </c>
      <c r="AE72">
        <f>IF(RunSize_by_Stock!AE24&gt;0,(RunSize_by_Stock!AE24-Escapements!AE25)/RunSize_by_Stock!AE24,"")</f>
        <v>0.14800592883867031</v>
      </c>
      <c r="AF72">
        <f>IF(RunSize_by_Stock!AF24&gt;0,(RunSize_by_Stock!AF24-Escapements!AF25)/RunSize_by_Stock!AF24,"")</f>
        <v>0.14392523364485982</v>
      </c>
      <c r="AG72">
        <f>IF(RunSize_by_Stock!AG24&gt;0,(RunSize_by_Stock!AG24-Escapements!AG25)/RunSize_by_Stock!AG24,"")</f>
        <v>0.12419146183699871</v>
      </c>
      <c r="AH72">
        <f>IF(RunSize_by_Stock!AH24&gt;0,(RunSize_by_Stock!AH24-Escapements!AH25)/RunSize_by_Stock!AH24,"")</f>
        <v>0.49746192893401014</v>
      </c>
      <c r="AI72">
        <f>IF(RunSize_by_Stock!AI24&gt;0,(RunSize_by_Stock!AI24-Escapements!AI25)/RunSize_by_Stock!AI24,"")</f>
        <v>0.1111111111111111</v>
      </c>
      <c r="AJ72">
        <f>IF(RunSize_by_Stock!AJ24&gt;0,(RunSize_by_Stock!AJ24-Escapements!AJ25)/RunSize_by_Stock!AJ24,"")</f>
        <v>0.47058823529411764</v>
      </c>
      <c r="AK72">
        <f>IF(RunSize_by_Stock!AK24&gt;0,(RunSize_by_Stock!AK24-Escapements!AK25)/RunSize_by_Stock!AK24,"")</f>
        <v>0.17307692307692307</v>
      </c>
      <c r="AL72">
        <f>IF(RunSize_by_Stock!AL24&gt;0,(RunSize_by_Stock!AL24-Escapements!AL25)/RunSize_by_Stock!AL24,"")</f>
        <v>0.23086816720257236</v>
      </c>
      <c r="AM72">
        <f>IF(RunSize_by_Stock!AM24&gt;0,(RunSize_by_Stock!AM24-Escapements!AM25)/RunSize_by_Stock!AM24,"")</f>
        <v>0.2327173169062286</v>
      </c>
      <c r="AN72">
        <f>IF(RunSize_by_Stock!AN24&gt;0,(RunSize_by_Stock!AN24-Escapements!AN25)/RunSize_by_Stock!AN24,"")</f>
        <v>0.17421602787456447</v>
      </c>
      <c r="AO72">
        <f>IF(RunSize_by_Stock!AO24&gt;0,(RunSize_by_Stock!AO24-Escapements!AO25)/RunSize_by_Stock!AO24,"")</f>
        <v>0.19911504424778761</v>
      </c>
      <c r="AP72">
        <f>IF(RunSize_by_Stock!AP24&gt;0,(RunSize_by_Stock!AP24-Escapements!AP25)/RunSize_by_Stock!AP24,"")</f>
        <v>0.53652058432934924</v>
      </c>
      <c r="AQ72">
        <f>IF(RunSize_by_Stock!AQ24&gt;0,(RunSize_by_Stock!AQ24-Escapements!AQ25)/RunSize_by_Stock!AQ24,"")</f>
        <v>0.14676084474885845</v>
      </c>
      <c r="AR72">
        <f>IF(RunSize_by_Stock!AR24&gt;0,(RunSize_by_Stock!AR24-Escapements!AR25)/RunSize_by_Stock!AR24,"")</f>
        <v>0.17148014440433212</v>
      </c>
      <c r="AS72">
        <f>IF(RunSize_by_Stock!AS24&gt;0,(RunSize_by_Stock!AS24-Escapements!AS25)/RunSize_by_Stock!AS24,"")</f>
        <v>0.19724802938818403</v>
      </c>
      <c r="AT72">
        <f>IF(RunSize_by_Stock!AT24&gt;0,(RunSize_by_Stock!AT24-Escapements!AT25)/RunSize_by_Stock!AT24,"")</f>
        <v>0.18817868971330071</v>
      </c>
      <c r="AU72">
        <f>IF(RunSize_by_Stock!AU24&gt;0,(RunSize_by_Stock!AU24-Escapements!AU25)/RunSize_by_Stock!AU24,"")</f>
        <v>0.20125786163522014</v>
      </c>
      <c r="AV72">
        <f>IF(RunSize_by_Stock!AV24&gt;0,(RunSize_by_Stock!AV24-Escapements!AV25)/RunSize_by_Stock!AV24,"")</f>
        <v>0.23357664233576642</v>
      </c>
      <c r="AW72">
        <f>IF(RunSize_by_Stock!AW24&gt;0,(RunSize_by_Stock!AW24-Escapements!AW25)/RunSize_by_Stock!AW24,"")</f>
        <v>0.12561247216035634</v>
      </c>
      <c r="AX72">
        <f>IF(RunSize_by_Stock!AX24&gt;0,(RunSize_by_Stock!AX24-Escapements!AX25)/RunSize_by_Stock!AX24,"")</f>
        <v>9.8083941605839414E-2</v>
      </c>
      <c r="AY72">
        <f>IF(RunSize_by_Stock!AY24&gt;0,(RunSize_by_Stock!AY24-Escapements!AY25)/RunSize_by_Stock!AY24,"")</f>
        <v>0.16896386959238432</v>
      </c>
      <c r="AZ72">
        <f>IF(RunSize_by_Stock!AZ24&gt;0,(RunSize_by_Stock!AZ24-Escapements!AZ25)/RunSize_by_Stock!AZ24,"")</f>
        <v>3.5619499930157845E-2</v>
      </c>
      <c r="BA72">
        <f>IF(RunSize_by_Stock!BA24&gt;0,(RunSize_by_Stock!BA24-Escapements!BA25)/RunSize_by_Stock!BA24,"")</f>
        <v>0.36306068601583114</v>
      </c>
      <c r="BB72">
        <f>IF(RunSize_by_Stock!BB24&gt;0,(RunSize_by_Stock!BB24-Escapements!BB25)/RunSize_by_Stock!BB24,"")</f>
        <v>0.43393677384490681</v>
      </c>
      <c r="BC72">
        <f>IF(RunSize_by_Stock!BC24&gt;0,(RunSize_by_Stock!BC24-Escapements!BC25)/RunSize_by_Stock!BC24,"")</f>
        <v>0.62842242503259449</v>
      </c>
      <c r="BD72">
        <f>IF(RunSize_by_Stock!BD24&gt;0,(RunSize_by_Stock!BD24-Escapements!BD25)/RunSize_by_Stock!BD24,"")</f>
        <v>0.62840670859538783</v>
      </c>
      <c r="BE72">
        <f>IF(RunSize_by_Stock!BE24&gt;0,(RunSize_by_Stock!BE24-Escapements!BE25)/RunSize_by_Stock!BE24,"")</f>
        <v>0.29880631497882171</v>
      </c>
      <c r="BF72">
        <f>IF(RunSize_by_Stock!BF24&gt;0,(RunSize_by_Stock!BF24-Escapements!BF25)/RunSize_by_Stock!BF24,"")</f>
        <v>0.10185185185185185</v>
      </c>
      <c r="BG72">
        <f>IF(RunSize_by_Stock!BG24&gt;0,(RunSize_by_Stock!BG24-Escapements!BG25)/RunSize_by_Stock!BG24,"")</f>
        <v>7.8602620087336247E-2</v>
      </c>
      <c r="BH72">
        <f>IF(RunSize_by_Stock!BH24&gt;0,(RunSize_by_Stock!BH24-Escapements!BH25)/RunSize_by_Stock!BH24,"")</f>
        <v>0.30327056491575816</v>
      </c>
      <c r="BI72">
        <f>IF(RunSize_by_Stock!BI24&gt;0,(RunSize_by_Stock!BI24-Escapements!BI25)/RunSize_by_Stock!BI24,"")</f>
        <v>1.0994354250520004E-2</v>
      </c>
      <c r="BJ72">
        <f>IF(RunSize_by_Stock!BJ24&gt;0,(RunSize_by_Stock!BJ24-Escapements!BJ25)/RunSize_by_Stock!BJ24,"")</f>
        <v>9.9192545803875279E-2</v>
      </c>
      <c r="BK72">
        <f>IF(RunSize_by_Stock!BK24&gt;0,(RunSize_by_Stock!BK24-Escapements!BK25)/RunSize_by_Stock!BK24,"")</f>
        <v>2.3131572225415873E-2</v>
      </c>
      <c r="BL72">
        <f>IF(RunSize_by_Stock!BL24&gt;0,(RunSize_by_Stock!BL24-Escapements!BL25)/RunSize_by_Stock!BL24,"")</f>
        <v>0.22123893805309736</v>
      </c>
      <c r="BM72">
        <f>IF(RunSize_by_Stock!BM24&gt;0,(RunSize_by_Stock!BM24-Escapements!BM25)/RunSize_by_Stock!BM24,"")</f>
        <v>0.13333333333333333</v>
      </c>
      <c r="BN72">
        <f>IF(RunSize_by_Stock!BN24&gt;0,(RunSize_by_Stock!BN24-Escapements!BN25)/RunSize_by_Stock!BN24,"")</f>
        <v>0.1484375</v>
      </c>
      <c r="BO72">
        <f>IF(RunSize_by_Stock!BO24&gt;0,(RunSize_by_Stock!BO24-Escapements!BO25)/RunSize_by_Stock!BO24,"")</f>
        <v>0.17649984192497284</v>
      </c>
      <c r="BP72">
        <f>IF(RunSize_by_Stock!BP24&gt;0,(RunSize_by_Stock!BP24-Escapements!BP25)/RunSize_by_Stock!BP24,"")</f>
        <v>0.18943623274809943</v>
      </c>
      <c r="BQ72">
        <f>IF(RunSize_by_Stock!BQ24&gt;0,(RunSize_by_Stock!BQ24-Escapements!BQ25)/RunSize_by_Stock!BQ24,"")</f>
        <v>1.2180267965895249E-3</v>
      </c>
      <c r="BR72">
        <f>IF(RunSize_by_Stock!BR24&gt;0,(RunSize_by_Stock!BR24-Escapements!BR25)/RunSize_by_Stock!BR24,"")</f>
        <v>0.47011070110701109</v>
      </c>
      <c r="BS72">
        <f>IF(RunSize_by_Stock!BS24&gt;0,(RunSize_by_Stock!BS24-Escapements!BS25)/RunSize_by_Stock!BS24,"")</f>
        <v>6.8567882873762642E-2</v>
      </c>
      <c r="BT72">
        <f>IF(RunSize_by_Stock!BT24&gt;0,(RunSize_by_Stock!BT24-Escapements!BT25)/RunSize_by_Stock!BT24,"")</f>
        <v>0.15710947872410289</v>
      </c>
      <c r="BU72">
        <f>IF(RunSize_by_Stock!BU24&gt;0,(RunSize_by_Stock!BU24-Escapements!BU25)/RunSize_by_Stock!BU24,"")</f>
        <v>5.4463105739264502E-2</v>
      </c>
      <c r="BV72">
        <f>IF(RunSize_by_Stock!BV24&gt;0,(RunSize_by_Stock!BV24-Escapements!BV25)/RunSize_by_Stock!BV24,"")</f>
        <v>0.32110091743119268</v>
      </c>
      <c r="BW72" t="str">
        <f>IF(RunSize_by_Stock!BW24&gt;0,(RunSize_by_Stock!BW24-Escapements!BW25)/RunSize_by_Stock!BW24,"")</f>
        <v/>
      </c>
      <c r="BX72">
        <f>IF(RunSize_by_Stock!BX24&gt;0,(RunSize_by_Stock!BX24-Escapements!BX25)/RunSize_by_Stock!BX24,"")</f>
        <v>0.19475655430711611</v>
      </c>
      <c r="BY72">
        <f>IF(RunSize_by_Stock!BY24&gt;0,(RunSize_by_Stock!BY24-Escapements!BY25)/RunSize_by_Stock!BY24,"")</f>
        <v>0.47026279391424619</v>
      </c>
      <c r="BZ72">
        <f>IF(RunSize_by_Stock!BZ24&gt;0,(RunSize_by_Stock!BZ24-Escapements!BZ25)/RunSize_by_Stock!BZ24,"")</f>
        <v>0.47019867549668876</v>
      </c>
      <c r="CA72">
        <f>IF(RunSize_by_Stock!CA24&gt;0,(RunSize_by_Stock!CA24-Escapements!CA25)/RunSize_by_Stock!CA24,"")</f>
        <v>0.21428571428571427</v>
      </c>
      <c r="CB72">
        <f>IF(RunSize_by_Stock!CB24&gt;0,(RunSize_by_Stock!CB24-Escapements!CB25)/RunSize_by_Stock!CB24,"")</f>
        <v>6.2209559937527775E-2</v>
      </c>
      <c r="CC72">
        <f>IF(RunSize_by_Stock!CC24&gt;0,(RunSize_by_Stock!CC24-Escapements!CC25)/RunSize_by_Stock!CC24,"")</f>
        <v>7.6923076923076927E-2</v>
      </c>
      <c r="CD72" t="str">
        <f>IF(RunSize_by_Stock!CD24&gt;0,(RunSize_by_Stock!CD24-Escapements!CD25)/RunSize_by_Stock!CD24,"")</f>
        <v/>
      </c>
      <c r="CE72">
        <f>IF(RunSize_by_Stock!CE24&gt;0,(RunSize_by_Stock!CE24-Escapements!CE25)/RunSize_by_Stock!CE24,"")</f>
        <v>0.13181818181818181</v>
      </c>
      <c r="CF72">
        <f>IF(RunSize_by_Stock!CF24&gt;0,(RunSize_by_Stock!CF24-Escapements!CF25)/RunSize_by_Stock!CF24,"")</f>
        <v>0.14224137931034483</v>
      </c>
      <c r="CG72">
        <f>IF(RunSize_by_Stock!CG24&gt;0,(RunSize_by_Stock!CG24-Escapements!CG25)/RunSize_by_Stock!CG24,"")</f>
        <v>0.20327868852459016</v>
      </c>
      <c r="CH72">
        <f t="shared" si="3"/>
        <v>0.23829673314988792</v>
      </c>
    </row>
    <row r="73" spans="1:86" x14ac:dyDescent="0.55000000000000004">
      <c r="A73">
        <f t="shared" si="2"/>
        <v>2002</v>
      </c>
      <c r="B73">
        <f>IF(RunSize_by_Stock!B25&gt;0,(RunSize_by_Stock!B25-Escapements!B26)/RunSize_by_Stock!B25,"")</f>
        <v>0.14398644833427443</v>
      </c>
      <c r="C73">
        <f>IF(RunSize_by_Stock!C25&gt;0,(RunSize_by_Stock!C25-Escapements!C26)/RunSize_by_Stock!C25,"")</f>
        <v>0.11207430340557276</v>
      </c>
      <c r="D73">
        <f>IF(RunSize_by_Stock!D25&gt;0,(RunSize_by_Stock!D25-Escapements!D26)/RunSize_by_Stock!D25,"")</f>
        <v>0.14444444444444443</v>
      </c>
      <c r="E73">
        <f>IF(RunSize_by_Stock!E25&gt;0,(RunSize_by_Stock!E25-Escapements!E26)/RunSize_by_Stock!E25,"")</f>
        <v>0.12582781456953643</v>
      </c>
      <c r="F73">
        <f>IF(RunSize_by_Stock!F25&gt;0,(RunSize_by_Stock!F25-Escapements!F26)/RunSize_by_Stock!F25,"")</f>
        <v>0.12494150678521292</v>
      </c>
      <c r="G73">
        <f>IF(RunSize_by_Stock!G25&gt;0,(RunSize_by_Stock!G25-Escapements!G26)/RunSize_by_Stock!G25,"")</f>
        <v>0.12857142857142856</v>
      </c>
      <c r="H73">
        <f>IF(RunSize_by_Stock!H25&gt;0,(RunSize_by_Stock!H25-Escapements!H26)/RunSize_by_Stock!H25,"")</f>
        <v>0.13095238095238096</v>
      </c>
      <c r="I73">
        <f>IF(RunSize_by_Stock!I25&gt;0,(RunSize_by_Stock!I25-Escapements!I26)/RunSize_by_Stock!I25,"")</f>
        <v>0.1276595744680851</v>
      </c>
      <c r="J73" t="str">
        <f>IF(RunSize_by_Stock!J25&gt;0,(RunSize_by_Stock!J25-Escapements!J26)/RunSize_by_Stock!J25,"")</f>
        <v/>
      </c>
      <c r="K73">
        <f>IF(RunSize_by_Stock!K25&gt;0,(RunSize_by_Stock!K25-Escapements!K26)/RunSize_by_Stock!K25,"")</f>
        <v>0.12009237875288684</v>
      </c>
      <c r="L73">
        <f>IF(RunSize_by_Stock!L25&gt;0,(RunSize_by_Stock!L25-Escapements!L26)/RunSize_by_Stock!L25,"")</f>
        <v>0.12725416808438245</v>
      </c>
      <c r="M73">
        <f>IF(RunSize_by_Stock!M25&gt;0,(RunSize_by_Stock!M25-Escapements!M26)/RunSize_by_Stock!M25,"")</f>
        <v>0.11007751937984496</v>
      </c>
      <c r="N73">
        <f>IF(RunSize_by_Stock!N25&gt;0,(RunSize_by_Stock!N25-Escapements!N26)/RunSize_by_Stock!N25,"")</f>
        <v>0.10753323485967503</v>
      </c>
      <c r="O73">
        <f>IF(RunSize_by_Stock!O25&gt;0,(RunSize_by_Stock!O25-Escapements!O26)/RunSize_by_Stock!O25,"")</f>
        <v>0.13258785942492035</v>
      </c>
      <c r="P73">
        <f>IF(RunSize_by_Stock!P25&gt;0,(RunSize_by_Stock!P25-Escapements!P26)/RunSize_by_Stock!P25,"")</f>
        <v>0.112975655873316</v>
      </c>
      <c r="Q73">
        <f>IF(RunSize_by_Stock!Q25&gt;0,(RunSize_by_Stock!Q25-Escapements!Q26)/RunSize_by_Stock!Q25,"")</f>
        <v>0.11205432937181664</v>
      </c>
      <c r="R73">
        <f>IF(RunSize_by_Stock!R25&gt;0,(RunSize_by_Stock!R25-Escapements!R26)/RunSize_by_Stock!R25,"")</f>
        <v>0.13037037037037036</v>
      </c>
      <c r="S73">
        <f>IF(RunSize_by_Stock!S25&gt;0,(RunSize_by_Stock!S25-Escapements!S26)/RunSize_by_Stock!S25,"")</f>
        <v>0.19810646659521258</v>
      </c>
      <c r="T73">
        <f>IF(RunSize_by_Stock!T25&gt;0,(RunSize_by_Stock!T25-Escapements!T26)/RunSize_by_Stock!T25,"")</f>
        <v>0.1936862093520057</v>
      </c>
      <c r="U73" t="str">
        <f>IF(RunSize_by_Stock!U25&gt;0,(RunSize_by_Stock!U25-Escapements!U26)/RunSize_by_Stock!U25,"")</f>
        <v/>
      </c>
      <c r="V73">
        <f>IF(RunSize_by_Stock!V25&gt;0,(RunSize_by_Stock!V25-Escapements!V26)/RunSize_by_Stock!V25,"")</f>
        <v>0.11782477341389729</v>
      </c>
      <c r="W73">
        <f>IF(RunSize_by_Stock!W25&gt;0,(RunSize_by_Stock!W25-Escapements!W26)/RunSize_by_Stock!W25,"")</f>
        <v>0.39577836411609496</v>
      </c>
      <c r="X73">
        <f>IF(RunSize_by_Stock!X25&gt;0,(RunSize_by_Stock!X25-Escapements!X26)/RunSize_by_Stock!X25,"")</f>
        <v>0.17893145161290311</v>
      </c>
      <c r="Y73">
        <f>IF(RunSize_by_Stock!Y25&gt;0,(RunSize_by_Stock!Y25-Escapements!Y26)/RunSize_by_Stock!Y25,"")</f>
        <v>0.30263838592860837</v>
      </c>
      <c r="Z73">
        <f>IF(RunSize_by_Stock!Z25&gt;0,(RunSize_by_Stock!Z25-Escapements!Z26)/RunSize_by_Stock!Z25,"")</f>
        <v>0.11478567988441163</v>
      </c>
      <c r="AA73">
        <f>IF(RunSize_by_Stock!AA25&gt;0,(RunSize_by_Stock!AA25-Escapements!AA26)/RunSize_by_Stock!AA25,"")</f>
        <v>0.17766116941529236</v>
      </c>
      <c r="AB73">
        <f>IF(RunSize_by_Stock!AB25&gt;0,(RunSize_by_Stock!AB25-Escapements!AB26)/RunSize_by_Stock!AB25,"")</f>
        <v>0.16299559471365638</v>
      </c>
      <c r="AC73">
        <f>IF(RunSize_by_Stock!AC25&gt;0,(RunSize_by_Stock!AC25-Escapements!AC26)/RunSize_by_Stock!AC25,"")</f>
        <v>0.14463996659297235</v>
      </c>
      <c r="AD73">
        <f>IF(RunSize_by_Stock!AD25&gt;0,(RunSize_by_Stock!AD25-Escapements!AD26)/RunSize_by_Stock!AD25,"")</f>
        <v>0.39534883720930231</v>
      </c>
      <c r="AE73">
        <f>IF(RunSize_by_Stock!AE25&gt;0,(RunSize_by_Stock!AE25-Escapements!AE26)/RunSize_by_Stock!AE25,"")</f>
        <v>0.13070145563950636</v>
      </c>
      <c r="AF73">
        <f>IF(RunSize_by_Stock!AF25&gt;0,(RunSize_by_Stock!AF25-Escapements!AF26)/RunSize_by_Stock!AF25,"")</f>
        <v>0.16334661354581673</v>
      </c>
      <c r="AG73" t="str">
        <f>IF(RunSize_by_Stock!AG25&gt;0,(RunSize_by_Stock!AG25-Escapements!AG26)/RunSize_by_Stock!AG25,"")</f>
        <v/>
      </c>
      <c r="AH73">
        <f>IF(RunSize_by_Stock!AH25&gt;0,(RunSize_by_Stock!AH25-Escapements!AH26)/RunSize_by_Stock!AH25,"")</f>
        <v>0.28802351212343863</v>
      </c>
      <c r="AI73">
        <f>IF(RunSize_by_Stock!AI25&gt;0,(RunSize_by_Stock!AI25-Escapements!AI26)/RunSize_by_Stock!AI25,"")</f>
        <v>4.3010752688172046E-2</v>
      </c>
      <c r="AJ73">
        <f>IF(RunSize_by_Stock!AJ25&gt;0,(RunSize_by_Stock!AJ25-Escapements!AJ26)/RunSize_by_Stock!AJ25,"")</f>
        <v>0.5</v>
      </c>
      <c r="AK73">
        <f>IF(RunSize_by_Stock!AK25&gt;0,(RunSize_by_Stock!AK25-Escapements!AK26)/RunSize_by_Stock!AK25,"")</f>
        <v>0.14432989690721648</v>
      </c>
      <c r="AL73">
        <f>IF(RunSize_by_Stock!AL25&gt;0,(RunSize_by_Stock!AL25-Escapements!AL26)/RunSize_by_Stock!AL25,"")</f>
        <v>0.18132105338897683</v>
      </c>
      <c r="AM73">
        <f>IF(RunSize_by_Stock!AM25&gt;0,(RunSize_by_Stock!AM25-Escapements!AM26)/RunSize_by_Stock!AM25,"")</f>
        <v>0.23322683706070288</v>
      </c>
      <c r="AN73">
        <f>IF(RunSize_by_Stock!AN25&gt;0,(RunSize_by_Stock!AN25-Escapements!AN26)/RunSize_by_Stock!AN25,"")</f>
        <v>0.16885553470919323</v>
      </c>
      <c r="AO73">
        <f>IF(RunSize_by_Stock!AO25&gt;0,(RunSize_by_Stock!AO25-Escapements!AO26)/RunSize_by_Stock!AO25,"")</f>
        <v>0.1822125813449024</v>
      </c>
      <c r="AP73">
        <f>IF(RunSize_by_Stock!AP25&gt;0,(RunSize_by_Stock!AP25-Escapements!AP26)/RunSize_by_Stock!AP25,"")</f>
        <v>0.35866666666666669</v>
      </c>
      <c r="AQ73">
        <f>IF(RunSize_by_Stock!AQ25&gt;0,(RunSize_by_Stock!AQ25-Escapements!AQ26)/RunSize_by_Stock!AQ25,"")</f>
        <v>0.15269841269841269</v>
      </c>
      <c r="AR73">
        <f>IF(RunSize_by_Stock!AR25&gt;0,(RunSize_by_Stock!AR25-Escapements!AR26)/RunSize_by_Stock!AR25,"")</f>
        <v>0.14634146341463414</v>
      </c>
      <c r="AS73">
        <f>IF(RunSize_by_Stock!AS25&gt;0,(RunSize_by_Stock!AS25-Escapements!AS26)/RunSize_by_Stock!AS25,"")</f>
        <v>0.18152250276103862</v>
      </c>
      <c r="AT73">
        <f>IF(RunSize_by_Stock!AT25&gt;0,(RunSize_by_Stock!AT25-Escapements!AT26)/RunSize_by_Stock!AT25,"")</f>
        <v>0.174111736577689</v>
      </c>
      <c r="AU73">
        <f>IF(RunSize_by_Stock!AU25&gt;0,(RunSize_by_Stock!AU25-Escapements!AU26)/RunSize_by_Stock!AU25,"")</f>
        <v>0.22198505869797225</v>
      </c>
      <c r="AV73">
        <f>IF(RunSize_by_Stock!AV25&gt;0,(RunSize_by_Stock!AV25-Escapements!AV26)/RunSize_by_Stock!AV25,"")</f>
        <v>0.13842058562555457</v>
      </c>
      <c r="AW73">
        <f>IF(RunSize_by_Stock!AW25&gt;0,(RunSize_by_Stock!AW25-Escapements!AW26)/RunSize_by_Stock!AW25,"")</f>
        <v>9.6755334697456882E-2</v>
      </c>
      <c r="AX73">
        <f>IF(RunSize_by_Stock!AX25&gt;0,(RunSize_by_Stock!AX25-Escapements!AX26)/RunSize_by_Stock!AX25,"")</f>
        <v>6.9171932158297311E-2</v>
      </c>
      <c r="AY73">
        <f>IF(RunSize_by_Stock!AY25&gt;0,(RunSize_by_Stock!AY25-Escapements!AY26)/RunSize_by_Stock!AY25,"")</f>
        <v>9.8553289568456368E-2</v>
      </c>
      <c r="AZ73">
        <f>IF(RunSize_by_Stock!AZ25&gt;0,(RunSize_by_Stock!AZ25-Escapements!AZ26)/RunSize_by_Stock!AZ25,"")</f>
        <v>2.743949437336211E-2</v>
      </c>
      <c r="BA73">
        <f>IF(RunSize_by_Stock!BA25&gt;0,(RunSize_by_Stock!BA25-Escapements!BA26)/RunSize_by_Stock!BA25,"")</f>
        <v>0.24028776978417266</v>
      </c>
      <c r="BB73">
        <f>IF(RunSize_by_Stock!BB25&gt;0,(RunSize_by_Stock!BB25-Escapements!BB26)/RunSize_by_Stock!BB25,"")</f>
        <v>0.29881879869313899</v>
      </c>
      <c r="BC73">
        <f>IF(RunSize_by_Stock!BC25&gt;0,(RunSize_by_Stock!BC25-Escapements!BC26)/RunSize_by_Stock!BC25,"")</f>
        <v>0.45604606525911706</v>
      </c>
      <c r="BD73">
        <f>IF(RunSize_by_Stock!BD25&gt;0,(RunSize_by_Stock!BD25-Escapements!BD26)/RunSize_by_Stock!BD25,"")</f>
        <v>0.45592527729130183</v>
      </c>
      <c r="BE73">
        <f>IF(RunSize_by_Stock!BE25&gt;0,(RunSize_by_Stock!BE25-Escapements!BE26)/RunSize_by_Stock!BE25,"")</f>
        <v>0.17252335260850227</v>
      </c>
      <c r="BF73">
        <f>IF(RunSize_by_Stock!BF25&gt;0,(RunSize_by_Stock!BF25-Escapements!BF26)/RunSize_by_Stock!BF25,"")</f>
        <v>0.13775510204081631</v>
      </c>
      <c r="BG73">
        <f>IF(RunSize_by_Stock!BG25&gt;0,(RunSize_by_Stock!BG25-Escapements!BG26)/RunSize_by_Stock!BG25,"")</f>
        <v>7.1142284569138278E-2</v>
      </c>
      <c r="BH73">
        <f>IF(RunSize_by_Stock!BH25&gt;0,(RunSize_by_Stock!BH25-Escapements!BH26)/RunSize_by_Stock!BH25,"")</f>
        <v>0.27988748241912798</v>
      </c>
      <c r="BI73">
        <f>IF(RunSize_by_Stock!BI25&gt;0,(RunSize_by_Stock!BI25-Escapements!BI26)/RunSize_by_Stock!BI25,"")</f>
        <v>7.1397485208840586E-3</v>
      </c>
      <c r="BJ73">
        <f>IF(RunSize_by_Stock!BJ25&gt;0,(RunSize_by_Stock!BJ25-Escapements!BJ26)/RunSize_by_Stock!BJ25,"")</f>
        <v>0.20721395830991546</v>
      </c>
      <c r="BK73">
        <f>IF(RunSize_by_Stock!BK25&gt;0,(RunSize_by_Stock!BK25-Escapements!BK26)/RunSize_by_Stock!BK25,"")</f>
        <v>3.1578947368421054E-2</v>
      </c>
      <c r="BL73">
        <f>IF(RunSize_by_Stock!BL25&gt;0,(RunSize_by_Stock!BL25-Escapements!BL26)/RunSize_by_Stock!BL25,"")</f>
        <v>0.22330097087378642</v>
      </c>
      <c r="BM73">
        <f>IF(RunSize_by_Stock!BM25&gt;0,(RunSize_by_Stock!BM25-Escapements!BM26)/RunSize_by_Stock!BM25,"")</f>
        <v>0.12921348314606743</v>
      </c>
      <c r="BN73">
        <f>IF(RunSize_by_Stock!BN25&gt;0,(RunSize_by_Stock!BN25-Escapements!BN26)/RunSize_by_Stock!BN25,"")</f>
        <v>0.125</v>
      </c>
      <c r="BO73">
        <f>IF(RunSize_by_Stock!BO25&gt;0,(RunSize_by_Stock!BO25-Escapements!BO26)/RunSize_by_Stock!BO25,"")</f>
        <v>0.16892378654584791</v>
      </c>
      <c r="BP73">
        <f>IF(RunSize_by_Stock!BP25&gt;0,(RunSize_by_Stock!BP25-Escapements!BP26)/RunSize_by_Stock!BP25,"")</f>
        <v>0.17463902307904883</v>
      </c>
      <c r="BQ73">
        <f>IF(RunSize_by_Stock!BQ25&gt;0,(RunSize_by_Stock!BQ25-Escapements!BQ26)/RunSize_by_Stock!BQ25,"")</f>
        <v>6.4935064935064939E-3</v>
      </c>
      <c r="BR73">
        <f>IF(RunSize_by_Stock!BR25&gt;0,(RunSize_by_Stock!BR25-Escapements!BR26)/RunSize_by_Stock!BR25,"")</f>
        <v>0.30232558139534882</v>
      </c>
      <c r="BS73">
        <f>IF(RunSize_by_Stock!BS25&gt;0,(RunSize_by_Stock!BS25-Escapements!BS26)/RunSize_by_Stock!BS25,"")</f>
        <v>8.533953331194237E-2</v>
      </c>
      <c r="BT73">
        <f>IF(RunSize_by_Stock!BT25&gt;0,(RunSize_by_Stock!BT25-Escapements!BT26)/RunSize_by_Stock!BT25,"")</f>
        <v>0.19656786271450857</v>
      </c>
      <c r="BU73">
        <f>IF(RunSize_by_Stock!BU25&gt;0,(RunSize_by_Stock!BU25-Escapements!BU26)/RunSize_by_Stock!BU25,"")</f>
        <v>0.08</v>
      </c>
      <c r="BV73">
        <f>IF(RunSize_by_Stock!BV25&gt;0,(RunSize_by_Stock!BV25-Escapements!BV26)/RunSize_by_Stock!BV25,"")</f>
        <v>0.125</v>
      </c>
      <c r="BW73" t="str">
        <f>IF(RunSize_by_Stock!BW25&gt;0,(RunSize_by_Stock!BW25-Escapements!BW26)/RunSize_by_Stock!BW25,"")</f>
        <v/>
      </c>
      <c r="BX73">
        <f>IF(RunSize_by_Stock!BX25&gt;0,(RunSize_by_Stock!BX25-Escapements!BX26)/RunSize_by_Stock!BX25,"")</f>
        <v>0.20634920634920634</v>
      </c>
      <c r="BY73">
        <f>IF(RunSize_by_Stock!BY25&gt;0,(RunSize_by_Stock!BY25-Escapements!BY26)/RunSize_by_Stock!BY25,"")</f>
        <v>0.30373831775700932</v>
      </c>
      <c r="BZ73">
        <f>IF(RunSize_by_Stock!BZ25&gt;0,(RunSize_by_Stock!BZ25-Escapements!BZ26)/RunSize_by_Stock!BZ25,"")</f>
        <v>0.30272952853598017</v>
      </c>
      <c r="CA73" t="str">
        <f>IF(RunSize_by_Stock!CA25&gt;0,(RunSize_by_Stock!CA25-Escapements!CA26)/RunSize_by_Stock!CA25,"")</f>
        <v/>
      </c>
      <c r="CB73">
        <f>IF(RunSize_by_Stock!CB25&gt;0,(RunSize_by_Stock!CB25-Escapements!CB26)/RunSize_by_Stock!CB25,"")</f>
        <v>8.4905660377358486E-2</v>
      </c>
      <c r="CC73">
        <f>IF(RunSize_by_Stock!CC25&gt;0,(RunSize_by_Stock!CC25-Escapements!CC26)/RunSize_by_Stock!CC25,"")</f>
        <v>2.8985507246376812E-2</v>
      </c>
      <c r="CD73" t="str">
        <f>IF(RunSize_by_Stock!CD25&gt;0,(RunSize_by_Stock!CD25-Escapements!CD26)/RunSize_by_Stock!CD25,"")</f>
        <v/>
      </c>
      <c r="CE73">
        <f>IF(RunSize_by_Stock!CE25&gt;0,(RunSize_by_Stock!CE25-Escapements!CE26)/RunSize_by_Stock!CE25,"")</f>
        <v>0.14367816091954022</v>
      </c>
      <c r="CF73">
        <f>IF(RunSize_by_Stock!CF25&gt;0,(RunSize_by_Stock!CF25-Escapements!CF26)/RunSize_by_Stock!CF25,"")</f>
        <v>0.16330862007101279</v>
      </c>
      <c r="CG73">
        <f>IF(RunSize_by_Stock!CG25&gt;0,(RunSize_by_Stock!CG25-Escapements!CG26)/RunSize_by_Stock!CG25,"")</f>
        <v>0.24021488871834229</v>
      </c>
      <c r="CH73">
        <f t="shared" si="3"/>
        <v>0.17337855712217168</v>
      </c>
    </row>
    <row r="74" spans="1:86" x14ac:dyDescent="0.55000000000000004">
      <c r="A74">
        <f t="shared" si="2"/>
        <v>2003</v>
      </c>
      <c r="B74">
        <f>IF(RunSize_by_Stock!B26&gt;0,(RunSize_by_Stock!B26-Escapements!B27)/RunSize_by_Stock!B26,"")</f>
        <v>0.24228675136116151</v>
      </c>
      <c r="C74">
        <f>IF(RunSize_by_Stock!C26&gt;0,(RunSize_by_Stock!C26-Escapements!C27)/RunSize_by_Stock!C26,"")</f>
        <v>0.11188811188811189</v>
      </c>
      <c r="D74">
        <f>IF(RunSize_by_Stock!D26&gt;0,(RunSize_by_Stock!D26-Escapements!D27)/RunSize_by_Stock!D26,"")</f>
        <v>0.24210526315789474</v>
      </c>
      <c r="E74">
        <f>IF(RunSize_by_Stock!E26&gt;0,(RunSize_by_Stock!E26-Escapements!E27)/RunSize_by_Stock!E26,"")</f>
        <v>0.21906693711967545</v>
      </c>
      <c r="F74">
        <f>IF(RunSize_by_Stock!F26&gt;0,(RunSize_by_Stock!F26-Escapements!F27)/RunSize_by_Stock!F26,"")</f>
        <v>0.21294523171198773</v>
      </c>
      <c r="G74">
        <f>IF(RunSize_by_Stock!G26&gt;0,(RunSize_by_Stock!G26-Escapements!G27)/RunSize_by_Stock!G26,"")</f>
        <v>0.22222222222222221</v>
      </c>
      <c r="H74">
        <f>IF(RunSize_by_Stock!H26&gt;0,(RunSize_by_Stock!H26-Escapements!H27)/RunSize_by_Stock!H26,"")</f>
        <v>0.21951219512195122</v>
      </c>
      <c r="I74">
        <f>IF(RunSize_by_Stock!I26&gt;0,(RunSize_by_Stock!I26-Escapements!I27)/RunSize_by_Stock!I26,"")</f>
        <v>0.21947873799725651</v>
      </c>
      <c r="J74">
        <f>IF(RunSize_by_Stock!J26&gt;0,(RunSize_by_Stock!J26-Escapements!J27)/RunSize_by_Stock!J26,"")</f>
        <v>0.22508038585209003</v>
      </c>
      <c r="K74">
        <f>IF(RunSize_by_Stock!K26&gt;0,(RunSize_by_Stock!K26-Escapements!K27)/RunSize_by_Stock!K26,"")</f>
        <v>0.20614035087719298</v>
      </c>
      <c r="L74">
        <f>IF(RunSize_by_Stock!L26&gt;0,(RunSize_by_Stock!L26-Escapements!L27)/RunSize_by_Stock!L26,"")</f>
        <v>0.21957625634739975</v>
      </c>
      <c r="M74">
        <f>IF(RunSize_by_Stock!M26&gt;0,(RunSize_by_Stock!M26-Escapements!M27)/RunSize_by_Stock!M26,"")</f>
        <v>0.18284789644012944</v>
      </c>
      <c r="N74">
        <f>IF(RunSize_by_Stock!N26&gt;0,(RunSize_by_Stock!N26-Escapements!N27)/RunSize_by_Stock!N26,"")</f>
        <v>0.1235097758702909</v>
      </c>
      <c r="O74">
        <f>IF(RunSize_by_Stock!O26&gt;0,(RunSize_by_Stock!O26-Escapements!O27)/RunSize_by_Stock!O26,"")</f>
        <v>0.14084145715751684</v>
      </c>
      <c r="P74">
        <f>IF(RunSize_by_Stock!P26&gt;0,(RunSize_by_Stock!P26-Escapements!P27)/RunSize_by_Stock!P26,"")</f>
        <v>0.19068298460323727</v>
      </c>
      <c r="Q74">
        <f>IF(RunSize_by_Stock!Q26&gt;0,(RunSize_by_Stock!Q26-Escapements!Q27)/RunSize_by_Stock!Q26,"")</f>
        <v>0.11184882533197139</v>
      </c>
      <c r="R74">
        <f>IF(RunSize_by_Stock!R26&gt;0,(RunSize_by_Stock!R26-Escapements!R27)/RunSize_by_Stock!R26,"")</f>
        <v>9.2661230541141587E-2</v>
      </c>
      <c r="S74">
        <f>IF(RunSize_by_Stock!S26&gt;0,(RunSize_by_Stock!S26-Escapements!S27)/RunSize_by_Stock!S26,"")</f>
        <v>0.15590126238336224</v>
      </c>
      <c r="T74">
        <f>IF(RunSize_by_Stock!T26&gt;0,(RunSize_by_Stock!T26-Escapements!T27)/RunSize_by_Stock!T26,"")</f>
        <v>0.11447345668338232</v>
      </c>
      <c r="U74" t="str">
        <f>IF(RunSize_by_Stock!U26&gt;0,(RunSize_by_Stock!U26-Escapements!U27)/RunSize_by_Stock!U26,"")</f>
        <v/>
      </c>
      <c r="V74">
        <f>IF(RunSize_by_Stock!V26&gt;0,(RunSize_by_Stock!V26-Escapements!V27)/RunSize_by_Stock!V26,"")</f>
        <v>0.13393962019431102</v>
      </c>
      <c r="W74">
        <f>IF(RunSize_by_Stock!W26&gt;0,(RunSize_by_Stock!W26-Escapements!W27)/RunSize_by_Stock!W26,"")</f>
        <v>0.43347609770957957</v>
      </c>
      <c r="X74">
        <f>IF(RunSize_by_Stock!X26&gt;0,(RunSize_by_Stock!X26-Escapements!X27)/RunSize_by_Stock!X26,"")</f>
        <v>0.23590935502614749</v>
      </c>
      <c r="Y74">
        <f>IF(RunSize_by_Stock!Y26&gt;0,(RunSize_by_Stock!Y26-Escapements!Y27)/RunSize_by_Stock!Y26,"")</f>
        <v>0.34228409078923477</v>
      </c>
      <c r="Z74">
        <f>IF(RunSize_by_Stock!Z26&gt;0,(RunSize_by_Stock!Z26-Escapements!Z27)/RunSize_by_Stock!Z26,"")</f>
        <v>0.19936131386861314</v>
      </c>
      <c r="AA74">
        <f>IF(RunSize_by_Stock!AA26&gt;0,(RunSize_by_Stock!AA26-Escapements!AA27)/RunSize_by_Stock!AA26,"")</f>
        <v>0.15914307574598316</v>
      </c>
      <c r="AB74">
        <f>IF(RunSize_by_Stock!AB26&gt;0,(RunSize_by_Stock!AB26-Escapements!AB27)/RunSize_by_Stock!AB26,"")</f>
        <v>8.9219330855018583E-2</v>
      </c>
      <c r="AC74">
        <f>IF(RunSize_by_Stock!AC26&gt;0,(RunSize_by_Stock!AC26-Escapements!AC27)/RunSize_by_Stock!AC26,"")</f>
        <v>9.4201999446091811E-2</v>
      </c>
      <c r="AD74">
        <f>IF(RunSize_by_Stock!AD26&gt;0,(RunSize_by_Stock!AD26-Escapements!AD27)/RunSize_by_Stock!AD26,"")</f>
        <v>0.43399339933993397</v>
      </c>
      <c r="AE74">
        <f>IF(RunSize_by_Stock!AE26&gt;0,(RunSize_by_Stock!AE26-Escapements!AE27)/RunSize_by_Stock!AE26,"")</f>
        <v>8.9973625464079499E-2</v>
      </c>
      <c r="AF74">
        <f>IF(RunSize_by_Stock!AF26&gt;0,(RunSize_by_Stock!AF26-Escapements!AF27)/RunSize_by_Stock!AF26,"")</f>
        <v>9.2657342657342656E-2</v>
      </c>
      <c r="AG74" t="str">
        <f>IF(RunSize_by_Stock!AG26&gt;0,(RunSize_by_Stock!AG26-Escapements!AG27)/RunSize_by_Stock!AG26,"")</f>
        <v/>
      </c>
      <c r="AH74">
        <f>IF(RunSize_by_Stock!AH26&gt;0,(RunSize_by_Stock!AH26-Escapements!AH27)/RunSize_by_Stock!AH26,"")</f>
        <v>0.35500507183441909</v>
      </c>
      <c r="AI74">
        <f>IF(RunSize_by_Stock!AI26&gt;0,(RunSize_by_Stock!AI26-Escapements!AI27)/RunSize_by_Stock!AI26,"")</f>
        <v>0.15957446808510639</v>
      </c>
      <c r="AJ74">
        <f>IF(RunSize_by_Stock!AJ26&gt;0,(RunSize_by_Stock!AJ26-Escapements!AJ27)/RunSize_by_Stock!AJ26,"")</f>
        <v>0.58333333333333337</v>
      </c>
      <c r="AK74">
        <f>IF(RunSize_by_Stock!AK26&gt;0,(RunSize_by_Stock!AK26-Escapements!AK27)/RunSize_by_Stock!AK26,"")</f>
        <v>0.17275155832591274</v>
      </c>
      <c r="AL74">
        <f>IF(RunSize_by_Stock!AL26&gt;0,(RunSize_by_Stock!AL26-Escapements!AL27)/RunSize_by_Stock!AL26,"")</f>
        <v>0.20199692780337941</v>
      </c>
      <c r="AM74">
        <f>IF(RunSize_by_Stock!AM26&gt;0,(RunSize_by_Stock!AM26-Escapements!AM27)/RunSize_by_Stock!AM26,"")</f>
        <v>0.16666666666666666</v>
      </c>
      <c r="AN74">
        <f>IF(RunSize_by_Stock!AN26&gt;0,(RunSize_by_Stock!AN26-Escapements!AN27)/RunSize_by_Stock!AN26,"")</f>
        <v>0.13370473537604458</v>
      </c>
      <c r="AO74">
        <f>IF(RunSize_by_Stock!AO26&gt;0,(RunSize_by_Stock!AO26-Escapements!AO27)/RunSize_by_Stock!AO26,"")</f>
        <v>0.19135802469135801</v>
      </c>
      <c r="AP74">
        <f>IF(RunSize_by_Stock!AP26&gt;0,(RunSize_by_Stock!AP26-Escapements!AP27)/RunSize_by_Stock!AP26,"")</f>
        <v>0.47199999999999998</v>
      </c>
      <c r="AQ74">
        <f>IF(RunSize_by_Stock!AQ26&gt;0,(RunSize_by_Stock!AQ26-Escapements!AQ27)/RunSize_by_Stock!AQ26,"")</f>
        <v>0.1663872590108969</v>
      </c>
      <c r="AR74">
        <f>IF(RunSize_by_Stock!AR26&gt;0,(RunSize_by_Stock!AR26-Escapements!AR27)/RunSize_by_Stock!AR26,"")</f>
        <v>0.14462809917355371</v>
      </c>
      <c r="AS74">
        <f>IF(RunSize_by_Stock!AS26&gt;0,(RunSize_by_Stock!AS26-Escapements!AS27)/RunSize_by_Stock!AS26,"")</f>
        <v>0.14365768567982728</v>
      </c>
      <c r="AT74">
        <f>IF(RunSize_by_Stock!AT26&gt;0,(RunSize_by_Stock!AT26-Escapements!AT27)/RunSize_by_Stock!AT26,"")</f>
        <v>0.19705387727312706</v>
      </c>
      <c r="AU74">
        <f>IF(RunSize_by_Stock!AU26&gt;0,(RunSize_by_Stock!AU26-Escapements!AU27)/RunSize_by_Stock!AU26,"")</f>
        <v>0.15211569362613819</v>
      </c>
      <c r="AV74">
        <f>IF(RunSize_by_Stock!AV26&gt;0,(RunSize_by_Stock!AV26-Escapements!AV27)/RunSize_by_Stock!AV26,"")</f>
        <v>0.16111111111111112</v>
      </c>
      <c r="AW74">
        <f>IF(RunSize_by_Stock!AW26&gt;0,(RunSize_by_Stock!AW26-Escapements!AW27)/RunSize_by_Stock!AW26,"")</f>
        <v>0.17983767620674926</v>
      </c>
      <c r="AX74">
        <f>IF(RunSize_by_Stock!AX26&gt;0,(RunSize_by_Stock!AX26-Escapements!AX27)/RunSize_by_Stock!AX26,"")</f>
        <v>0.14266023432115782</v>
      </c>
      <c r="AY74">
        <f>IF(RunSize_by_Stock!AY26&gt;0,(RunSize_by_Stock!AY26-Escapements!AY27)/RunSize_by_Stock!AY26,"")</f>
        <v>0.1694476472251833</v>
      </c>
      <c r="AZ74">
        <f>IF(RunSize_by_Stock!AZ26&gt;0,(RunSize_by_Stock!AZ26-Escapements!AZ27)/RunSize_by_Stock!AZ26,"")</f>
        <v>6.6996897903456962E-2</v>
      </c>
      <c r="BA74">
        <f>IF(RunSize_by_Stock!BA26&gt;0,(RunSize_by_Stock!BA26-Escapements!BA27)/RunSize_by_Stock!BA26,"")</f>
        <v>0.32070455300764372</v>
      </c>
      <c r="BB74">
        <f>IF(RunSize_by_Stock!BB26&gt;0,(RunSize_by_Stock!BB26-Escapements!BB27)/RunSize_by_Stock!BB26,"")</f>
        <v>0.36144338118022329</v>
      </c>
      <c r="BC74">
        <f>IF(RunSize_by_Stock!BC26&gt;0,(RunSize_by_Stock!BC26-Escapements!BC27)/RunSize_by_Stock!BC26,"")</f>
        <v>0.53546993158084266</v>
      </c>
      <c r="BD74">
        <f>IF(RunSize_by_Stock!BD26&gt;0,(RunSize_by_Stock!BD26-Escapements!BD27)/RunSize_by_Stock!BD26,"")</f>
        <v>0.53535353535353536</v>
      </c>
      <c r="BE74">
        <f>IF(RunSize_by_Stock!BE26&gt;0,(RunSize_by_Stock!BE26-Escapements!BE27)/RunSize_by_Stock!BE26,"")</f>
        <v>0.24431818181818182</v>
      </c>
      <c r="BF74">
        <f>IF(RunSize_by_Stock!BF26&gt;0,(RunSize_by_Stock!BF26-Escapements!BF27)/RunSize_by_Stock!BF26,"")</f>
        <v>7.2916666666666671E-2</v>
      </c>
      <c r="BG74">
        <f>IF(RunSize_by_Stock!BG26&gt;0,(RunSize_by_Stock!BG26-Escapements!BG27)/RunSize_by_Stock!BG26,"")</f>
        <v>0.13303769401330376</v>
      </c>
      <c r="BH74">
        <f>IF(RunSize_by_Stock!BH26&gt;0,(RunSize_by_Stock!BH26-Escapements!BH27)/RunSize_by_Stock!BH26,"")</f>
        <v>0.30131004366812225</v>
      </c>
      <c r="BI74">
        <f>IF(RunSize_by_Stock!BI26&gt;0,(RunSize_by_Stock!BI26-Escapements!BI27)/RunSize_by_Stock!BI26,"")</f>
        <v>6.4203270278935555E-3</v>
      </c>
      <c r="BJ74">
        <f>IF(RunSize_by_Stock!BJ26&gt;0,(RunSize_by_Stock!BJ26-Escapements!BJ27)/RunSize_by_Stock!BJ26,"")</f>
        <v>6.3375016990621175E-2</v>
      </c>
      <c r="BK74">
        <f>IF(RunSize_by_Stock!BK26&gt;0,(RunSize_by_Stock!BK26-Escapements!BK27)/RunSize_by_Stock!BK26,"")</f>
        <v>3.7433155080213901E-2</v>
      </c>
      <c r="BL74">
        <f>IF(RunSize_by_Stock!BL26&gt;0,(RunSize_by_Stock!BL26-Escapements!BL27)/RunSize_by_Stock!BL26,"")</f>
        <v>0.16071428571428573</v>
      </c>
      <c r="BM74" t="str">
        <f>IF(RunSize_by_Stock!BM26&gt;0,(RunSize_by_Stock!BM26-Escapements!BM27)/RunSize_by_Stock!BM26,"")</f>
        <v/>
      </c>
      <c r="BN74">
        <f>IF(RunSize_by_Stock!BN26&gt;0,(RunSize_by_Stock!BN26-Escapements!BN27)/RunSize_by_Stock!BN26,"")</f>
        <v>0.17127071823204421</v>
      </c>
      <c r="BO74">
        <f>IF(RunSize_by_Stock!BO26&gt;0,(RunSize_by_Stock!BO26-Escapements!BO27)/RunSize_by_Stock!BO26,"")</f>
        <v>0.1368622626893217</v>
      </c>
      <c r="BP74">
        <f>IF(RunSize_by_Stock!BP26&gt;0,(RunSize_by_Stock!BP26-Escapements!BP27)/RunSize_by_Stock!BP26,"")</f>
        <v>0.13609467455621302</v>
      </c>
      <c r="BQ74">
        <f>IF(RunSize_by_Stock!BQ26&gt;0,(RunSize_by_Stock!BQ26-Escapements!BQ27)/RunSize_by_Stock!BQ26,"")</f>
        <v>2.6338893766461808E-3</v>
      </c>
      <c r="BR74">
        <f>IF(RunSize_by_Stock!BR26&gt;0,(RunSize_by_Stock!BR26-Escapements!BR27)/RunSize_by_Stock!BR26,"")</f>
        <v>0.34214618973561428</v>
      </c>
      <c r="BS74">
        <f>IF(RunSize_by_Stock!BS26&gt;0,(RunSize_by_Stock!BS26-Escapements!BS27)/RunSize_by_Stock!BS26,"")</f>
        <v>0.12599717052697518</v>
      </c>
      <c r="BT74">
        <f>IF(RunSize_by_Stock!BT26&gt;0,(RunSize_by_Stock!BT26-Escapements!BT27)/RunSize_by_Stock!BT26,"")</f>
        <v>0.23194303153611392</v>
      </c>
      <c r="BU74" t="str">
        <f>IF(RunSize_by_Stock!BU26&gt;0,(RunSize_by_Stock!BU26-Escapements!BU27)/RunSize_by_Stock!BU26,"")</f>
        <v/>
      </c>
      <c r="BV74">
        <f>IF(RunSize_by_Stock!BV26&gt;0,(RunSize_by_Stock!BV26-Escapements!BV27)/RunSize_by_Stock!BV26,"")</f>
        <v>0.22580645161290322</v>
      </c>
      <c r="BW74">
        <f>IF(RunSize_by_Stock!BW26&gt;0,(RunSize_by_Stock!BW26-Escapements!BW27)/RunSize_by_Stock!BW26,"")</f>
        <v>0.25</v>
      </c>
      <c r="BX74">
        <f>IF(RunSize_by_Stock!BX26&gt;0,(RunSize_by_Stock!BX26-Escapements!BX27)/RunSize_by_Stock!BX26,"")</f>
        <v>0.14814814814814814</v>
      </c>
      <c r="BY74">
        <f>IF(RunSize_by_Stock!BY26&gt;0,(RunSize_by_Stock!BY26-Escapements!BY27)/RunSize_by_Stock!BY26,"")</f>
        <v>0.34234234234234234</v>
      </c>
      <c r="BZ74">
        <f>IF(RunSize_by_Stock!BZ26&gt;0,(RunSize_by_Stock!BZ26-Escapements!BZ27)/RunSize_by_Stock!BZ26,"")</f>
        <v>0.34185733512786004</v>
      </c>
      <c r="CA74">
        <f>IF(RunSize_by_Stock!CA26&gt;0,(RunSize_by_Stock!CA26-Escapements!CA27)/RunSize_by_Stock!CA26,"")</f>
        <v>0.16666666666666666</v>
      </c>
      <c r="CB74">
        <f>IF(RunSize_by_Stock!CB26&gt;0,(RunSize_by_Stock!CB26-Escapements!CB27)/RunSize_by_Stock!CB26,"")</f>
        <v>0.13131313131313133</v>
      </c>
      <c r="CC74">
        <f>IF(RunSize_by_Stock!CC26&gt;0,(RunSize_by_Stock!CC26-Escapements!CC27)/RunSize_by_Stock!CC26,"")</f>
        <v>0.12757201646090535</v>
      </c>
      <c r="CD74" t="str">
        <f>IF(RunSize_by_Stock!CD26&gt;0,(RunSize_by_Stock!CD26-Escapements!CD27)/RunSize_by_Stock!CD26,"")</f>
        <v/>
      </c>
      <c r="CE74">
        <f>IF(RunSize_by_Stock!CE26&gt;0,(RunSize_by_Stock!CE26-Escapements!CE27)/RunSize_by_Stock!CE26,"")</f>
        <v>0.10875285464889743</v>
      </c>
      <c r="CF74">
        <f>IF(RunSize_by_Stock!CF26&gt;0,(RunSize_by_Stock!CF26-Escapements!CF27)/RunSize_by_Stock!CF26,"")</f>
        <v>0.10526315789473684</v>
      </c>
      <c r="CG74">
        <f>IF(RunSize_by_Stock!CG26&gt;0,(RunSize_by_Stock!CG26-Escapements!CG27)/RunSize_by_Stock!CG26,"")</f>
        <v>0.2782904322486644</v>
      </c>
      <c r="CH74">
        <f t="shared" si="3"/>
        <v>0.20079712400798039</v>
      </c>
    </row>
    <row r="75" spans="1:86" x14ac:dyDescent="0.55000000000000004">
      <c r="A75">
        <f t="shared" si="2"/>
        <v>2004</v>
      </c>
      <c r="B75">
        <f>IF(RunSize_by_Stock!B27&gt;0,(RunSize_by_Stock!B27-Escapements!B28)/RunSize_by_Stock!B27,"")</f>
        <v>0.29347826086956524</v>
      </c>
      <c r="C75">
        <f>IF(RunSize_by_Stock!C27&gt;0,(RunSize_by_Stock!C27-Escapements!C28)/RunSize_by_Stock!C27,"")</f>
        <v>0.26775568181818182</v>
      </c>
      <c r="D75">
        <f>IF(RunSize_by_Stock!D27&gt;0,(RunSize_by_Stock!D27-Escapements!D28)/RunSize_by_Stock!D27,"")</f>
        <v>0.29545454545454547</v>
      </c>
      <c r="E75">
        <f>IF(RunSize_by_Stock!E27&gt;0,(RunSize_by_Stock!E27-Escapements!E28)/RunSize_by_Stock!E27,"")</f>
        <v>0.28955223880597014</v>
      </c>
      <c r="F75">
        <f>IF(RunSize_by_Stock!F27&gt;0,(RunSize_by_Stock!F27-Escapements!F28)/RunSize_by_Stock!F27,"")</f>
        <v>0.29035585353274884</v>
      </c>
      <c r="G75">
        <f>IF(RunSize_by_Stock!G27&gt;0,(RunSize_by_Stock!G27-Escapements!G28)/RunSize_by_Stock!G27,"")</f>
        <v>0.29166666666666669</v>
      </c>
      <c r="H75">
        <f>IF(RunSize_by_Stock!H27&gt;0,(RunSize_by_Stock!H27-Escapements!H28)/RunSize_by_Stock!H27,"")</f>
        <v>0.29166666666666669</v>
      </c>
      <c r="I75">
        <f>IF(RunSize_by_Stock!I27&gt;0,(RunSize_by_Stock!I27-Escapements!I28)/RunSize_by_Stock!I27,"")</f>
        <v>0.28793774319066145</v>
      </c>
      <c r="J75">
        <f>IF(RunSize_by_Stock!J27&gt;0,(RunSize_by_Stock!J27-Escapements!J28)/RunSize_by_Stock!J27,"")</f>
        <v>0.29027872195785182</v>
      </c>
      <c r="K75">
        <f>IF(RunSize_by_Stock!K27&gt;0,(RunSize_by_Stock!K27-Escapements!K28)/RunSize_by_Stock!K27,"")</f>
        <v>0.28608247422680411</v>
      </c>
      <c r="L75">
        <f>IF(RunSize_by_Stock!L27&gt;0,(RunSize_by_Stock!L27-Escapements!L28)/RunSize_by_Stock!L27,"")</f>
        <v>0.28924759177297577</v>
      </c>
      <c r="M75">
        <f>IF(RunSize_by_Stock!M27&gt;0,(RunSize_by_Stock!M27-Escapements!M28)/RunSize_by_Stock!M27,"")</f>
        <v>0.28301886792452829</v>
      </c>
      <c r="N75">
        <f>IF(RunSize_by_Stock!N27&gt;0,(RunSize_by_Stock!N27-Escapements!N28)/RunSize_by_Stock!N27,"")</f>
        <v>0.27033952594490712</v>
      </c>
      <c r="O75">
        <f>IF(RunSize_by_Stock!O27&gt;0,(RunSize_by_Stock!O27-Escapements!O28)/RunSize_by_Stock!O27,"")</f>
        <v>0.2899273650126894</v>
      </c>
      <c r="P75">
        <f>IF(RunSize_by_Stock!P27&gt;0,(RunSize_by_Stock!P27-Escapements!P28)/RunSize_by_Stock!P27,"")</f>
        <v>0.2841645112693626</v>
      </c>
      <c r="Q75">
        <f>IF(RunSize_by_Stock!Q27&gt;0,(RunSize_by_Stock!Q27-Escapements!Q28)/RunSize_by_Stock!Q27,"")</f>
        <v>0.26775320139697323</v>
      </c>
      <c r="R75">
        <f>IF(RunSize_by_Stock!R27&gt;0,(RunSize_by_Stock!R27-Escapements!R28)/RunSize_by_Stock!R27,"")</f>
        <v>0.26527050610820246</v>
      </c>
      <c r="S75" t="str">
        <f>IF(RunSize_by_Stock!S27&gt;0,(RunSize_by_Stock!S27-Escapements!S28)/RunSize_by_Stock!S27,"")</f>
        <v/>
      </c>
      <c r="T75">
        <f>IF(RunSize_by_Stock!T27&gt;0,(RunSize_by_Stock!T27-Escapements!T28)/RunSize_by_Stock!T27,"")</f>
        <v>0.31138470051182737</v>
      </c>
      <c r="U75">
        <f>IF(RunSize_by_Stock!U27&gt;0,(RunSize_by_Stock!U27-Escapements!U28)/RunSize_by_Stock!U27,"")</f>
        <v>0.2857142857142857</v>
      </c>
      <c r="V75">
        <f>IF(RunSize_by_Stock!V27&gt;0,(RunSize_by_Stock!V27-Escapements!V28)/RunSize_by_Stock!V27,"")</f>
        <v>0.27664401299798597</v>
      </c>
      <c r="W75">
        <f>IF(RunSize_by_Stock!W27&gt;0,(RunSize_by_Stock!W27-Escapements!W28)/RunSize_by_Stock!W27,"")</f>
        <v>0.37647058823529411</v>
      </c>
      <c r="X75">
        <f>IF(RunSize_by_Stock!X27&gt;0,(RunSize_by_Stock!X27-Escapements!X28)/RunSize_by_Stock!X27,"")</f>
        <v>0.30412633723891991</v>
      </c>
      <c r="Y75">
        <f>IF(RunSize_by_Stock!Y27&gt;0,(RunSize_by_Stock!Y27-Escapements!Y28)/RunSize_by_Stock!Y27,"")</f>
        <v>0.35777431097243889</v>
      </c>
      <c r="Z75">
        <f>IF(RunSize_by_Stock!Z27&gt;0,(RunSize_by_Stock!Z27-Escapements!Z28)/RunSize_by_Stock!Z27,"")</f>
        <v>0.29121540312876054</v>
      </c>
      <c r="AA75">
        <f>IF(RunSize_by_Stock!AA27&gt;0,(RunSize_by_Stock!AA27-Escapements!AA28)/RunSize_by_Stock!AA27,"")</f>
        <v>0.3294663573085847</v>
      </c>
      <c r="AB75">
        <f>IF(RunSize_by_Stock!AB27&gt;0,(RunSize_by_Stock!AB27-Escapements!AB28)/RunSize_by_Stock!AB27,"")</f>
        <v>0.27325581395348836</v>
      </c>
      <c r="AC75">
        <f>IF(RunSize_by_Stock!AC27&gt;0,(RunSize_by_Stock!AC27-Escapements!AC28)/RunSize_by_Stock!AC27,"")</f>
        <v>0.27307948913701036</v>
      </c>
      <c r="AD75">
        <f>IF(RunSize_by_Stock!AD27&gt;0,(RunSize_by_Stock!AD27-Escapements!AD28)/RunSize_by_Stock!AD27,"")</f>
        <v>0.37853107344632769</v>
      </c>
      <c r="AE75">
        <f>IF(RunSize_by_Stock!AE27&gt;0,(RunSize_by_Stock!AE27-Escapements!AE28)/RunSize_by_Stock!AE27,"")</f>
        <v>0.26699181679454959</v>
      </c>
      <c r="AF75">
        <f>IF(RunSize_by_Stock!AF27&gt;0,(RunSize_by_Stock!AF27-Escapements!AF28)/RunSize_by_Stock!AF27,"")</f>
        <v>0.28062554300608167</v>
      </c>
      <c r="AG75">
        <f>IF(RunSize_by_Stock!AG27&gt;0,(RunSize_by_Stock!AG27-Escapements!AG28)/RunSize_by_Stock!AG27,"")</f>
        <v>0.26209048361934478</v>
      </c>
      <c r="AH75">
        <f>IF(RunSize_by_Stock!AH27&gt;0,(RunSize_by_Stock!AH27-Escapements!AH28)/RunSize_by_Stock!AH27,"")</f>
        <v>0.46955280685061845</v>
      </c>
      <c r="AI75">
        <f>IF(RunSize_by_Stock!AI27&gt;0,(RunSize_by_Stock!AI27-Escapements!AI28)/RunSize_by_Stock!AI27,"")</f>
        <v>0.10434782608695652</v>
      </c>
      <c r="AJ75">
        <f>IF(RunSize_by_Stock!AJ27&gt;0,(RunSize_by_Stock!AJ27-Escapements!AJ28)/RunSize_by_Stock!AJ27,"")</f>
        <v>0.19916395386254859</v>
      </c>
      <c r="AK75">
        <f>IF(RunSize_by_Stock!AK27&gt;0,(RunSize_by_Stock!AK27-Escapements!AK28)/RunSize_by_Stock!AK27,"")</f>
        <v>0.34095634095634098</v>
      </c>
      <c r="AL75">
        <f>IF(RunSize_by_Stock!AL27&gt;0,(RunSize_by_Stock!AL27-Escapements!AL28)/RunSize_by_Stock!AL27,"")</f>
        <v>0.35752015568529327</v>
      </c>
      <c r="AM75">
        <f>IF(RunSize_by_Stock!AM27&gt;0,(RunSize_by_Stock!AM27-Escapements!AM28)/RunSize_by_Stock!AM27,"")</f>
        <v>0.39618406285072949</v>
      </c>
      <c r="AN75">
        <f>IF(RunSize_by_Stock!AN27&gt;0,(RunSize_by_Stock!AN27-Escapements!AN28)/RunSize_by_Stock!AN27,"")</f>
        <v>0.3239051094890511</v>
      </c>
      <c r="AO75">
        <f>IF(RunSize_by_Stock!AO27&gt;0,(RunSize_by_Stock!AO27-Escapements!AO28)/RunSize_by_Stock!AO27,"")</f>
        <v>0.34193548387096773</v>
      </c>
      <c r="AP75">
        <f>IF(RunSize_by_Stock!AP27&gt;0,(RunSize_by_Stock!AP27-Escapements!AP28)/RunSize_by_Stock!AP27,"")</f>
        <v>0.50236966824644547</v>
      </c>
      <c r="AQ75">
        <f>IF(RunSize_by_Stock!AQ27&gt;0,(RunSize_by_Stock!AQ27-Escapements!AQ28)/RunSize_by_Stock!AQ27,"")</f>
        <v>0.30446641663825436</v>
      </c>
      <c r="AR75">
        <f>IF(RunSize_by_Stock!AR27&gt;0,(RunSize_by_Stock!AR27-Escapements!AR28)/RunSize_by_Stock!AR27,"")</f>
        <v>0.31640625</v>
      </c>
      <c r="AS75">
        <f>IF(RunSize_by_Stock!AS27&gt;0,(RunSize_by_Stock!AS27-Escapements!AS28)/RunSize_by_Stock!AS27,"")</f>
        <v>0.32609870025529197</v>
      </c>
      <c r="AT75">
        <f>IF(RunSize_by_Stock!AT27&gt;0,(RunSize_by_Stock!AT27-Escapements!AT28)/RunSize_by_Stock!AT27,"")</f>
        <v>0.33724521309450278</v>
      </c>
      <c r="AU75">
        <f>IF(RunSize_by_Stock!AU27&gt;0,(RunSize_by_Stock!AU27-Escapements!AU28)/RunSize_by_Stock!AU27,"")</f>
        <v>0.37849462365591396</v>
      </c>
      <c r="AV75">
        <f>IF(RunSize_by_Stock!AV27&gt;0,(RunSize_by_Stock!AV27-Escapements!AV28)/RunSize_by_Stock!AV27,"")</f>
        <v>0.37795275590551181</v>
      </c>
      <c r="AW75">
        <f>IF(RunSize_by_Stock!AW27&gt;0,(RunSize_by_Stock!AW27-Escapements!AW28)/RunSize_by_Stock!AW27,"")</f>
        <v>0.22474977252047315</v>
      </c>
      <c r="AX75">
        <f>IF(RunSize_by_Stock!AX27&gt;0,(RunSize_by_Stock!AX27-Escapements!AX28)/RunSize_by_Stock!AX27,"")</f>
        <v>0.18232494901427601</v>
      </c>
      <c r="AY75">
        <f>IF(RunSize_by_Stock!AY27&gt;0,(RunSize_by_Stock!AY27-Escapements!AY28)/RunSize_by_Stock!AY27,"")</f>
        <v>0.20595540125517425</v>
      </c>
      <c r="AZ75">
        <f>IF(RunSize_by_Stock!AZ27&gt;0,(RunSize_by_Stock!AZ27-Escapements!AZ28)/RunSize_by_Stock!AZ27,"")</f>
        <v>7.4775857288104264E-2</v>
      </c>
      <c r="BA75">
        <f>IF(RunSize_by_Stock!BA27&gt;0,(RunSize_by_Stock!BA27-Escapements!BA28)/RunSize_by_Stock!BA27,"")</f>
        <v>0.4352078239608802</v>
      </c>
      <c r="BB75">
        <f>IF(RunSize_by_Stock!BB27&gt;0,(RunSize_by_Stock!BB27-Escapements!BB28)/RunSize_by_Stock!BB27,"")</f>
        <v>0.4819134550371873</v>
      </c>
      <c r="BC75">
        <f>IF(RunSize_by_Stock!BC27&gt;0,(RunSize_by_Stock!BC27-Escapements!BC28)/RunSize_by_Stock!BC27,"")</f>
        <v>0.49930651872399445</v>
      </c>
      <c r="BD75">
        <f>IF(RunSize_by_Stock!BD27&gt;0,(RunSize_by_Stock!BD27-Escapements!BD28)/RunSize_by_Stock!BD27,"")</f>
        <v>0.49935815147625162</v>
      </c>
      <c r="BE75">
        <f>IF(RunSize_by_Stock!BE27&gt;0,(RunSize_by_Stock!BE27-Escapements!BE28)/RunSize_by_Stock!BE27,"")</f>
        <v>0.38438456460421294</v>
      </c>
      <c r="BF75">
        <f>IF(RunSize_by_Stock!BF27&gt;0,(RunSize_by_Stock!BF27-Escapements!BF28)/RunSize_by_Stock!BF27,"")</f>
        <v>0.26027397260273971</v>
      </c>
      <c r="BG75">
        <f>IF(RunSize_by_Stock!BG27&gt;0,(RunSize_by_Stock!BG27-Escapements!BG28)/RunSize_by_Stock!BG27,"")</f>
        <v>0.13951547518887986</v>
      </c>
      <c r="BH75">
        <f>IF(RunSize_by_Stock!BH27&gt;0,(RunSize_by_Stock!BH27-Escapements!BH28)/RunSize_by_Stock!BH27,"")</f>
        <v>0.31058020477815701</v>
      </c>
      <c r="BI75">
        <f>IF(RunSize_by_Stock!BI27&gt;0,(RunSize_by_Stock!BI27-Escapements!BI28)/RunSize_by_Stock!BI27,"")</f>
        <v>1.0007904691999322E-2</v>
      </c>
      <c r="BJ75">
        <f>IF(RunSize_by_Stock!BJ27&gt;0,(RunSize_by_Stock!BJ27-Escapements!BJ28)/RunSize_by_Stock!BJ27,"")</f>
        <v>9.6735225863877672E-2</v>
      </c>
      <c r="BK75">
        <f>IF(RunSize_by_Stock!BK27&gt;0,(RunSize_by_Stock!BK27-Escapements!BK28)/RunSize_by_Stock!BK27,"")</f>
        <v>8.7920338929017447E-2</v>
      </c>
      <c r="BL75">
        <f>IF(RunSize_by_Stock!BL27&gt;0,(RunSize_by_Stock!BL27-Escapements!BL28)/RunSize_by_Stock!BL27,"")</f>
        <v>0.38461538461538464</v>
      </c>
      <c r="BM75">
        <f>IF(RunSize_by_Stock!BM27&gt;0,(RunSize_by_Stock!BM27-Escapements!BM28)/RunSize_by_Stock!BM27,"")</f>
        <v>0.27881040892193309</v>
      </c>
      <c r="BN75">
        <f>IF(RunSize_by_Stock!BN27&gt;0,(RunSize_by_Stock!BN27-Escapements!BN28)/RunSize_by_Stock!BN27,"")</f>
        <v>0.3</v>
      </c>
      <c r="BO75">
        <f>IF(RunSize_by_Stock!BO27&gt;0,(RunSize_by_Stock!BO27-Escapements!BO28)/RunSize_by_Stock!BO27,"")</f>
        <v>0.36133343888997532</v>
      </c>
      <c r="BP75">
        <f>IF(RunSize_by_Stock!BP27&gt;0,(RunSize_by_Stock!BP27-Escapements!BP28)/RunSize_by_Stock!BP27,"")</f>
        <v>0.35863598508352312</v>
      </c>
      <c r="BQ75">
        <f>IF(RunSize_by_Stock!BQ27&gt;0,(RunSize_by_Stock!BQ27-Escapements!BQ28)/RunSize_by_Stock!BQ27,"")</f>
        <v>8.7108013937282226E-3</v>
      </c>
      <c r="BR75">
        <f>IF(RunSize_by_Stock!BR27&gt;0,(RunSize_by_Stock!BR27-Escapements!BR28)/RunSize_by_Stock!BR27,"")</f>
        <v>0.35779521151024979</v>
      </c>
      <c r="BS75">
        <f>IF(RunSize_by_Stock!BS27&gt;0,(RunSize_by_Stock!BS27-Escapements!BS28)/RunSize_by_Stock!BS27,"")</f>
        <v>0.18344459583424338</v>
      </c>
      <c r="BT75">
        <f>IF(RunSize_by_Stock!BT27&gt;0,(RunSize_by_Stock!BT27-Escapements!BT28)/RunSize_by_Stock!BT27,"")</f>
        <v>0.27916666666666667</v>
      </c>
      <c r="BU75">
        <f>IF(RunSize_by_Stock!BU27&gt;0,(RunSize_by_Stock!BU27-Escapements!BU28)/RunSize_by_Stock!BU27,"")</f>
        <v>0.22222222222222221</v>
      </c>
      <c r="BV75">
        <f>IF(RunSize_by_Stock!BV27&gt;0,(RunSize_by_Stock!BV27-Escapements!BV28)/RunSize_by_Stock!BV27,"")</f>
        <v>0.28947368421052633</v>
      </c>
      <c r="BW75">
        <f>IF(RunSize_by_Stock!BW27&gt;0,(RunSize_by_Stock!BW27-Escapements!BW28)/RunSize_by_Stock!BW27,"")</f>
        <v>0.38461538461538464</v>
      </c>
      <c r="BX75">
        <f>IF(RunSize_by_Stock!BX27&gt;0,(RunSize_by_Stock!BX27-Escapements!BX28)/RunSize_by_Stock!BX27,"")</f>
        <v>0.39205955334987591</v>
      </c>
      <c r="BY75">
        <f>IF(RunSize_by_Stock!BY27&gt;0,(RunSize_by_Stock!BY27-Escapements!BY28)/RunSize_by_Stock!BY27,"")</f>
        <v>0.35769841950164055</v>
      </c>
      <c r="BZ75">
        <f>IF(RunSize_by_Stock!BZ27&gt;0,(RunSize_by_Stock!BZ27-Escapements!BZ28)/RunSize_by_Stock!BZ27,"")</f>
        <v>0.35776474234031791</v>
      </c>
      <c r="CA75">
        <f>IF(RunSize_by_Stock!CA27&gt;0,(RunSize_by_Stock!CA27-Escapements!CA28)/RunSize_by_Stock!CA27,"")</f>
        <v>0.375</v>
      </c>
      <c r="CB75">
        <f>IF(RunSize_by_Stock!CB27&gt;0,(RunSize_by_Stock!CB27-Escapements!CB28)/RunSize_by_Stock!CB27,"")</f>
        <v>0.18235294117647058</v>
      </c>
      <c r="CC75">
        <f>IF(RunSize_by_Stock!CC27&gt;0,(RunSize_by_Stock!CC27-Escapements!CC28)/RunSize_by_Stock!CC27,"")</f>
        <v>0.14285714285714285</v>
      </c>
      <c r="CD75">
        <f>IF(RunSize_by_Stock!CD27&gt;0,(RunSize_by_Stock!CD27-Escapements!CD28)/RunSize_by_Stock!CD27,"")</f>
        <v>0</v>
      </c>
      <c r="CE75">
        <f>IF(RunSize_by_Stock!CE27&gt;0,(RunSize_by_Stock!CE27-Escapements!CE28)/RunSize_by_Stock!CE27,"")</f>
        <v>0.27606602721491175</v>
      </c>
      <c r="CF75">
        <f>IF(RunSize_by_Stock!CF27&gt;0,(RunSize_by_Stock!CF27-Escapements!CF28)/RunSize_by_Stock!CF27,"")</f>
        <v>0.27243352829740741</v>
      </c>
      <c r="CG75">
        <f>IF(RunSize_by_Stock!CG27&gt;0,(RunSize_by_Stock!CG27-Escapements!CG28)/RunSize_by_Stock!CG27,"")</f>
        <v>0.3233318405732199</v>
      </c>
      <c r="CH75">
        <f t="shared" si="3"/>
        <v>0.29107611567882746</v>
      </c>
    </row>
    <row r="76" spans="1:86" x14ac:dyDescent="0.55000000000000004">
      <c r="A76">
        <f t="shared" si="2"/>
        <v>2005</v>
      </c>
      <c r="B76">
        <f>IF(RunSize_by_Stock!B28&gt;0,(RunSize_by_Stock!B28-Escapements!B29)/RunSize_by_Stock!B28,"")</f>
        <v>0.38077634011090572</v>
      </c>
      <c r="C76">
        <f>IF(RunSize_by_Stock!C28&gt;0,(RunSize_by_Stock!C28-Escapements!C29)/RunSize_by_Stock!C28,"")</f>
        <v>0.21375464684014869</v>
      </c>
      <c r="D76">
        <f>IF(RunSize_by_Stock!D28&gt;0,(RunSize_by_Stock!D28-Escapements!D29)/RunSize_by_Stock!D28,"")</f>
        <v>0.38181818181818183</v>
      </c>
      <c r="E76">
        <f>IF(RunSize_by_Stock!E28&gt;0,(RunSize_by_Stock!E28-Escapements!E29)/RunSize_by_Stock!E28,"")</f>
        <v>0.35833333333333334</v>
      </c>
      <c r="F76">
        <f>IF(RunSize_by_Stock!F28&gt;0,(RunSize_by_Stock!F28-Escapements!F29)/RunSize_by_Stock!F28,"")</f>
        <v>0.34996041171813141</v>
      </c>
      <c r="G76">
        <f>IF(RunSize_by_Stock!G28&gt;0,(RunSize_by_Stock!G28-Escapements!G29)/RunSize_by_Stock!G28,"")</f>
        <v>0.35537190082644626</v>
      </c>
      <c r="H76">
        <f>IF(RunSize_by_Stock!H28&gt;0,(RunSize_by_Stock!H28-Escapements!H29)/RunSize_by_Stock!H28,"")</f>
        <v>0.3577981651376147</v>
      </c>
      <c r="I76">
        <f>IF(RunSize_by_Stock!I28&gt;0,(RunSize_by_Stock!I28-Escapements!I29)/RunSize_by_Stock!I28,"")</f>
        <v>0.35744680851063831</v>
      </c>
      <c r="J76">
        <f>IF(RunSize_by_Stock!J28&gt;0,(RunSize_by_Stock!J28-Escapements!J29)/RunSize_by_Stock!J28,"")</f>
        <v>0.36408566721581548</v>
      </c>
      <c r="K76">
        <f>IF(RunSize_by_Stock!K28&gt;0,(RunSize_by_Stock!K28-Escapements!K29)/RunSize_by_Stock!K28,"")</f>
        <v>0.34394904458598724</v>
      </c>
      <c r="L76">
        <f>IF(RunSize_by_Stock!L28&gt;0,(RunSize_by_Stock!L28-Escapements!L29)/RunSize_by_Stock!L28,"")</f>
        <v>0.35732165206508137</v>
      </c>
      <c r="M76">
        <f>IF(RunSize_by_Stock!M28&gt;0,(RunSize_by_Stock!M28-Escapements!M29)/RunSize_by_Stock!M28,"")</f>
        <v>0.31621621621621621</v>
      </c>
      <c r="N76">
        <f>IF(RunSize_by_Stock!N28&gt;0,(RunSize_by_Stock!N28-Escapements!N29)/RunSize_by_Stock!N28,"")</f>
        <v>0.23314407381121363</v>
      </c>
      <c r="O76">
        <f>IF(RunSize_by_Stock!O28&gt;0,(RunSize_by_Stock!O28-Escapements!O29)/RunSize_by_Stock!O28,"")</f>
        <v>0.23978156544762549</v>
      </c>
      <c r="P76">
        <f>IF(RunSize_by_Stock!P28&gt;0,(RunSize_by_Stock!P28-Escapements!P29)/RunSize_by_Stock!P28,"")</f>
        <v>0.32517731198640809</v>
      </c>
      <c r="Q76">
        <f>IF(RunSize_by_Stock!Q28&gt;0,(RunSize_by_Stock!Q28-Escapements!Q29)/RunSize_by_Stock!Q28,"")</f>
        <v>0.21339563862928349</v>
      </c>
      <c r="R76">
        <f>IF(RunSize_by_Stock!R28&gt;0,(RunSize_by_Stock!R28-Escapements!R29)/RunSize_by_Stock!R28,"")</f>
        <v>0.17472118959107807</v>
      </c>
      <c r="S76">
        <f>IF(RunSize_by_Stock!S28&gt;0,(RunSize_by_Stock!S28-Escapements!S29)/RunSize_by_Stock!S28,"")</f>
        <v>0.19585305845028367</v>
      </c>
      <c r="T76">
        <f>IF(RunSize_by_Stock!T28&gt;0,(RunSize_by_Stock!T28-Escapements!T29)/RunSize_by_Stock!T28,"")</f>
        <v>0.16428571428571428</v>
      </c>
      <c r="U76">
        <f>IF(RunSize_by_Stock!U28&gt;0,(RunSize_by_Stock!U28-Escapements!U29)/RunSize_by_Stock!U28,"")</f>
        <v>0.15693430656934307</v>
      </c>
      <c r="V76">
        <f>IF(RunSize_by_Stock!V28&gt;0,(RunSize_by_Stock!V28-Escapements!V29)/RunSize_by_Stock!V28,"")</f>
        <v>0.25</v>
      </c>
      <c r="W76">
        <f>IF(RunSize_by_Stock!W28&gt;0,(RunSize_by_Stock!W28-Escapements!W29)/RunSize_by_Stock!W28,"")</f>
        <v>0.58486707566462171</v>
      </c>
      <c r="X76">
        <f>IF(RunSize_by_Stock!X28&gt;0,(RunSize_by_Stock!X28-Escapements!X29)/RunSize_by_Stock!X28,"")</f>
        <v>0.36940602115541082</v>
      </c>
      <c r="Y76">
        <f>IF(RunSize_by_Stock!Y28&gt;0,(RunSize_by_Stock!Y28-Escapements!Y29)/RunSize_by_Stock!Y28,"")</f>
        <v>0.46711153479504292</v>
      </c>
      <c r="Z76">
        <f>IF(RunSize_by_Stock!Z28&gt;0,(RunSize_by_Stock!Z28-Escapements!Z29)/RunSize_by_Stock!Z28,"")</f>
        <v>0.20951669157947184</v>
      </c>
      <c r="AA76">
        <f>IF(RunSize_by_Stock!AA28&gt;0,(RunSize_by_Stock!AA28-Escapements!AA29)/RunSize_by_Stock!AA28,"")</f>
        <v>0.19325153374233128</v>
      </c>
      <c r="AB76">
        <f>IF(RunSize_by_Stock!AB28&gt;0,(RunSize_by_Stock!AB28-Escapements!AB29)/RunSize_by_Stock!AB28,"")</f>
        <v>0.14740368509212731</v>
      </c>
      <c r="AC76">
        <f>IF(RunSize_by_Stock!AC28&gt;0,(RunSize_by_Stock!AC28-Escapements!AC29)/RunSize_by_Stock!AC28,"")</f>
        <v>0.16301563179261114</v>
      </c>
      <c r="AD76">
        <f>IF(RunSize_by_Stock!AD28&gt;0,(RunSize_by_Stock!AD28-Escapements!AD29)/RunSize_by_Stock!AD28,"")</f>
        <v>0.58536585365853655</v>
      </c>
      <c r="AE76">
        <f>IF(RunSize_by_Stock!AE28&gt;0,(RunSize_by_Stock!AE28-Escapements!AE29)/RunSize_by_Stock!AE28,"")</f>
        <v>0.16452321579287318</v>
      </c>
      <c r="AF76">
        <f>IF(RunSize_by_Stock!AF28&gt;0,(RunSize_by_Stock!AF28-Escapements!AF29)/RunSize_by_Stock!AF28,"")</f>
        <v>0.15301450491882121</v>
      </c>
      <c r="AG76">
        <f>IF(RunSize_by_Stock!AG28&gt;0,(RunSize_by_Stock!AG28-Escapements!AG29)/RunSize_by_Stock!AG28,"")</f>
        <v>0.12984496124031009</v>
      </c>
      <c r="AH76">
        <f>IF(RunSize_by_Stock!AH28&gt;0,(RunSize_by_Stock!AH28-Escapements!AH29)/RunSize_by_Stock!AH28,"")</f>
        <v>0.58992805755395683</v>
      </c>
      <c r="AI76">
        <f>IF(RunSize_by_Stock!AI28&gt;0,(RunSize_by_Stock!AI28-Escapements!AI29)/RunSize_by_Stock!AI28,"")</f>
        <v>0.20192307692307693</v>
      </c>
      <c r="AJ76">
        <f>IF(RunSize_by_Stock!AJ28&gt;0,(RunSize_by_Stock!AJ28-Escapements!AJ29)/RunSize_by_Stock!AJ28,"")</f>
        <v>0.99857142857142855</v>
      </c>
      <c r="AK76">
        <f>IF(RunSize_by_Stock!AK28&gt;0,(RunSize_by_Stock!AK28-Escapements!AK29)/RunSize_by_Stock!AK28,"")</f>
        <v>0.1798780487804878</v>
      </c>
      <c r="AL76">
        <f>IF(RunSize_by_Stock!AL28&gt;0,(RunSize_by_Stock!AL28-Escapements!AL29)/RunSize_by_Stock!AL28,"")</f>
        <v>0.21503457506134285</v>
      </c>
      <c r="AM76">
        <f>IF(RunSize_by_Stock!AM28&gt;0,(RunSize_by_Stock!AM28-Escapements!AM29)/RunSize_by_Stock!AM28,"")</f>
        <v>0.35714285714285715</v>
      </c>
      <c r="AN76">
        <f>IF(RunSize_by_Stock!AN28&gt;0,(RunSize_by_Stock!AN28-Escapements!AN29)/RunSize_by_Stock!AN28,"")</f>
        <v>0.18518518518518517</v>
      </c>
      <c r="AO76">
        <f>IF(RunSize_by_Stock!AO28&gt;0,(RunSize_by_Stock!AO28-Escapements!AO29)/RunSize_by_Stock!AO28,"")</f>
        <v>0.2</v>
      </c>
      <c r="AP76">
        <f>IF(RunSize_by_Stock!AP28&gt;0,(RunSize_by_Stock!AP28-Escapements!AP29)/RunSize_by_Stock!AP28,"")</f>
        <v>0.61165048543689315</v>
      </c>
      <c r="AQ76">
        <f>IF(RunSize_by_Stock!AQ28&gt;0,(RunSize_by_Stock!AQ28-Escapements!AQ29)/RunSize_by_Stock!AQ28,"")</f>
        <v>0.20418006430868169</v>
      </c>
      <c r="AR76">
        <f>IF(RunSize_by_Stock!AR28&gt;0,(RunSize_by_Stock!AR28-Escapements!AR29)/RunSize_by_Stock!AR28,"")</f>
        <v>0.23728813559322035</v>
      </c>
      <c r="AS76">
        <f>IF(RunSize_by_Stock!AS28&gt;0,(RunSize_by_Stock!AS28-Escapements!AS29)/RunSize_by_Stock!AS28,"")</f>
        <v>0.22818406381914888</v>
      </c>
      <c r="AT76">
        <f>IF(RunSize_by_Stock!AT28&gt;0,(RunSize_by_Stock!AT28-Escapements!AT29)/RunSize_by_Stock!AT28,"")</f>
        <v>0.20646798827184806</v>
      </c>
      <c r="AU76">
        <f>IF(RunSize_by_Stock!AU28&gt;0,(RunSize_by_Stock!AU28-Escapements!AU29)/RunSize_by_Stock!AU28,"")</f>
        <v>0.25868055555555558</v>
      </c>
      <c r="AV76">
        <f>IF(RunSize_by_Stock!AV28&gt;0,(RunSize_by_Stock!AV28-Escapements!AV29)/RunSize_by_Stock!AV28,"")</f>
        <v>0.30278232405891981</v>
      </c>
      <c r="AW76">
        <f>IF(RunSize_by_Stock!AW28&gt;0,(RunSize_by_Stock!AW28-Escapements!AW29)/RunSize_by_Stock!AW28,"")</f>
        <v>0.16822024712768263</v>
      </c>
      <c r="AX76">
        <f>IF(RunSize_by_Stock!AX28&gt;0,(RunSize_by_Stock!AX28-Escapements!AX29)/RunSize_by_Stock!AX28,"")</f>
        <v>0.1476491095825874</v>
      </c>
      <c r="AY76">
        <f>IF(RunSize_by_Stock!AY28&gt;0,(RunSize_by_Stock!AY28-Escapements!AY29)/RunSize_by_Stock!AY28,"")</f>
        <v>0.16598780750971084</v>
      </c>
      <c r="AZ76">
        <f>IF(RunSize_by_Stock!AZ28&gt;0,(RunSize_by_Stock!AZ28-Escapements!AZ29)/RunSize_by_Stock!AZ28,"")</f>
        <v>8.335056993474893E-2</v>
      </c>
      <c r="BA76">
        <f>IF(RunSize_by_Stock!BA28&gt;0,(RunSize_by_Stock!BA28-Escapements!BA29)/RunSize_by_Stock!BA28,"")</f>
        <v>0.49823736780258521</v>
      </c>
      <c r="BB76">
        <f>IF(RunSize_by_Stock!BB28&gt;0,(RunSize_by_Stock!BB28-Escapements!BB29)/RunSize_by_Stock!BB28,"")</f>
        <v>0.4642935377875137</v>
      </c>
      <c r="BC76">
        <f>IF(RunSize_by_Stock!BC28&gt;0,(RunSize_by_Stock!BC28-Escapements!BC29)/RunSize_by_Stock!BC28,"")</f>
        <v>0.55837563451776651</v>
      </c>
      <c r="BD76">
        <f>IF(RunSize_by_Stock!BD28&gt;0,(RunSize_by_Stock!BD28-Escapements!BD29)/RunSize_by_Stock!BD28,"")</f>
        <v>0.55895865237366005</v>
      </c>
      <c r="BE76">
        <f>IF(RunSize_by_Stock!BE28&gt;0,(RunSize_by_Stock!BE28-Escapements!BE29)/RunSize_by_Stock!BE28,"")</f>
        <v>0.40262504434196522</v>
      </c>
      <c r="BF76">
        <f>IF(RunSize_by_Stock!BF28&gt;0,(RunSize_by_Stock!BF28-Escapements!BF29)/RunSize_by_Stock!BF28,"")</f>
        <v>0.10299346545479551</v>
      </c>
      <c r="BG76">
        <f>IF(RunSize_by_Stock!BG28&gt;0,(RunSize_by_Stock!BG28-Escapements!BG29)/RunSize_by_Stock!BG28,"")</f>
        <v>9.7872340425531917E-2</v>
      </c>
      <c r="BH76">
        <f>IF(RunSize_by_Stock!BH28&gt;0,(RunSize_by_Stock!BH28-Escapements!BH29)/RunSize_by_Stock!BH28,"")</f>
        <v>0.25635910224438901</v>
      </c>
      <c r="BI76">
        <f>IF(RunSize_by_Stock!BI28&gt;0,(RunSize_by_Stock!BI28-Escapements!BI29)/RunSize_by_Stock!BI28,"")</f>
        <v>3.0720524017467249E-2</v>
      </c>
      <c r="BJ76">
        <f>IF(RunSize_by_Stock!BJ28&gt;0,(RunSize_by_Stock!BJ28-Escapements!BJ29)/RunSize_by_Stock!BJ28,"")</f>
        <v>0.16180397586786668</v>
      </c>
      <c r="BK76">
        <f>IF(RunSize_by_Stock!BK28&gt;0,(RunSize_by_Stock!BK28-Escapements!BK29)/RunSize_by_Stock!BK28,"")</f>
        <v>1.5706806282722512E-2</v>
      </c>
      <c r="BL76">
        <f>IF(RunSize_by_Stock!BL28&gt;0,(RunSize_by_Stock!BL28-Escapements!BL29)/RunSize_by_Stock!BL28,"")</f>
        <v>0.26416237844283341</v>
      </c>
      <c r="BM76">
        <f>IF(RunSize_by_Stock!BM28&gt;0,(RunSize_by_Stock!BM28-Escapements!BM29)/RunSize_by_Stock!BM28,"")</f>
        <v>0.20754716981132076</v>
      </c>
      <c r="BN76">
        <f>IF(RunSize_by_Stock!BN28&gt;0,(RunSize_by_Stock!BN28-Escapements!BN29)/RunSize_by_Stock!BN28,"")</f>
        <v>0.17476178333063475</v>
      </c>
      <c r="BO76">
        <f>IF(RunSize_by_Stock!BO28&gt;0,(RunSize_by_Stock!BO28-Escapements!BO29)/RunSize_by_Stock!BO28,"")</f>
        <v>0.27449608113030832</v>
      </c>
      <c r="BP76">
        <f>IF(RunSize_by_Stock!BP28&gt;0,(RunSize_by_Stock!BP28-Escapements!BP29)/RunSize_by_Stock!BP28,"")</f>
        <v>0.2664456886983233</v>
      </c>
      <c r="BQ76">
        <f>IF(RunSize_by_Stock!BQ28&gt;0,(RunSize_by_Stock!BQ28-Escapements!BQ29)/RunSize_by_Stock!BQ28,"")</f>
        <v>3.770739064856712E-3</v>
      </c>
      <c r="BR76">
        <f>IF(RunSize_by_Stock!BR28&gt;0,(RunSize_by_Stock!BR28-Escapements!BR29)/RunSize_by_Stock!BR28,"")</f>
        <v>0.46679982676464499</v>
      </c>
      <c r="BS76">
        <f>IF(RunSize_by_Stock!BS28&gt;0,(RunSize_by_Stock!BS28-Escapements!BS29)/RunSize_by_Stock!BS28,"")</f>
        <v>6.2937062937062943E-2</v>
      </c>
      <c r="BT76">
        <f>IF(RunSize_by_Stock!BT28&gt;0,(RunSize_by_Stock!BT28-Escapements!BT29)/RunSize_by_Stock!BT28,"")</f>
        <v>0.17525773195876287</v>
      </c>
      <c r="BU76" t="str">
        <f>IF(RunSize_by_Stock!BU28&gt;0,(RunSize_by_Stock!BU28-Escapements!BU29)/RunSize_by_Stock!BU28,"")</f>
        <v/>
      </c>
      <c r="BV76">
        <f>IF(RunSize_by_Stock!BV28&gt;0,(RunSize_by_Stock!BV28-Escapements!BV29)/RunSize_by_Stock!BV28,"")</f>
        <v>0.34615384615384615</v>
      </c>
      <c r="BW76">
        <f>IF(RunSize_by_Stock!BW28&gt;0,(RunSize_by_Stock!BW28-Escapements!BW29)/RunSize_by_Stock!BW28,"")</f>
        <v>0.13499780620878674</v>
      </c>
      <c r="BX76">
        <f>IF(RunSize_by_Stock!BX28&gt;0,(RunSize_by_Stock!BX28-Escapements!BX29)/RunSize_by_Stock!BX28,"")</f>
        <v>0.19207317073170732</v>
      </c>
      <c r="BY76">
        <f>IF(RunSize_by_Stock!BY28&gt;0,(RunSize_by_Stock!BY28-Escapements!BY29)/RunSize_by_Stock!BY28,"")</f>
        <v>0.46653008855499734</v>
      </c>
      <c r="BZ76">
        <f>IF(RunSize_by_Stock!BZ28&gt;0,(RunSize_by_Stock!BZ28-Escapements!BZ29)/RunSize_by_Stock!BZ28,"")</f>
        <v>0.4665587970009108</v>
      </c>
      <c r="CA76">
        <f>IF(RunSize_by_Stock!CA28&gt;0,(RunSize_by_Stock!CA28-Escapements!CA29)/RunSize_by_Stock!CA28,"")</f>
        <v>0.18367346938775511</v>
      </c>
      <c r="CB76">
        <f>IF(RunSize_by_Stock!CB28&gt;0,(RunSize_by_Stock!CB28-Escapements!CB29)/RunSize_by_Stock!CB28,"")</f>
        <v>6.5217391304347824E-2</v>
      </c>
      <c r="CC76">
        <f>IF(RunSize_by_Stock!CC28&gt;0,(RunSize_by_Stock!CC28-Escapements!CC29)/RunSize_by_Stock!CC28,"")</f>
        <v>0.16666666666666666</v>
      </c>
      <c r="CD76" t="str">
        <f>IF(RunSize_by_Stock!CD28&gt;0,(RunSize_by_Stock!CD28-Escapements!CD29)/RunSize_by_Stock!CD28,"")</f>
        <v/>
      </c>
      <c r="CE76">
        <f>IF(RunSize_by_Stock!CE28&gt;0,(RunSize_by_Stock!CE28-Escapements!CE29)/RunSize_by_Stock!CE28,"")</f>
        <v>0.16626548516606626</v>
      </c>
      <c r="CF76">
        <f>IF(RunSize_by_Stock!CF28&gt;0,(RunSize_by_Stock!CF28-Escapements!CF29)/RunSize_by_Stock!CF28,"")</f>
        <v>0.14808576830948975</v>
      </c>
      <c r="CG76">
        <f>IF(RunSize_by_Stock!CG28&gt;0,(RunSize_by_Stock!CG28-Escapements!CG29)/RunSize_by_Stock!CG28,"")</f>
        <v>0.22540666150271108</v>
      </c>
      <c r="CH76">
        <f t="shared" si="3"/>
        <v>0.27323542172245413</v>
      </c>
    </row>
    <row r="77" spans="1:86" x14ac:dyDescent="0.55000000000000004">
      <c r="A77">
        <f t="shared" si="2"/>
        <v>2006</v>
      </c>
      <c r="B77">
        <f>IF(RunSize_by_Stock!B29&gt;0,(RunSize_by_Stock!B29-Escapements!B30)/RunSize_by_Stock!B29,"")</f>
        <v>0.30561555075593955</v>
      </c>
      <c r="C77">
        <f>IF(RunSize_by_Stock!C29&gt;0,(RunSize_by_Stock!C29-Escapements!C30)/RunSize_by_Stock!C29,"")</f>
        <v>0.21452145214521451</v>
      </c>
      <c r="D77">
        <f>IF(RunSize_by_Stock!D29&gt;0,(RunSize_by_Stock!D29-Escapements!D30)/RunSize_by_Stock!D29,"")</f>
        <v>0.30476190476190479</v>
      </c>
      <c r="E77">
        <f>IF(RunSize_by_Stock!E29&gt;0,(RunSize_by_Stock!E29-Escapements!E30)/RunSize_by_Stock!E29,"")</f>
        <v>0.29554655870445345</v>
      </c>
      <c r="F77">
        <f>IF(RunSize_by_Stock!F29&gt;0,(RunSize_by_Stock!F29-Escapements!F30)/RunSize_by_Stock!F29,"")</f>
        <v>0.29251700680272108</v>
      </c>
      <c r="G77">
        <f>IF(RunSize_by_Stock!G29&gt;0,(RunSize_by_Stock!G29-Escapements!G30)/RunSize_by_Stock!G29,"")</f>
        <v>0.3125</v>
      </c>
      <c r="H77">
        <f>IF(RunSize_by_Stock!H29&gt;0,(RunSize_by_Stock!H29-Escapements!H30)/RunSize_by_Stock!H29,"")</f>
        <v>0.29577464788732394</v>
      </c>
      <c r="I77">
        <f>IF(RunSize_by_Stock!I29&gt;0,(RunSize_by_Stock!I29-Escapements!I30)/RunSize_by_Stock!I29,"")</f>
        <v>0.29508196721311475</v>
      </c>
      <c r="J77">
        <f>IF(RunSize_by_Stock!J29&gt;0,(RunSize_by_Stock!J29-Escapements!J30)/RunSize_by_Stock!J29,"")</f>
        <v>0.29795396419437342</v>
      </c>
      <c r="K77">
        <f>IF(RunSize_by_Stock!K29&gt;0,(RunSize_by_Stock!K29-Escapements!K30)/RunSize_by_Stock!K29,"")</f>
        <v>0.28658536585365851</v>
      </c>
      <c r="L77">
        <f>IF(RunSize_by_Stock!L29&gt;0,(RunSize_by_Stock!L29-Escapements!L30)/RunSize_by_Stock!L29,"")</f>
        <v>0.29503464203233254</v>
      </c>
      <c r="M77">
        <f>IF(RunSize_by_Stock!M29&gt;0,(RunSize_by_Stock!M29-Escapements!M30)/RunSize_by_Stock!M29,"")</f>
        <v>0.27272727272727271</v>
      </c>
      <c r="N77">
        <f>IF(RunSize_by_Stock!N29&gt;0,(RunSize_by_Stock!N29-Escapements!N30)/RunSize_by_Stock!N29,"")</f>
        <v>0.22612359550561797</v>
      </c>
      <c r="O77">
        <f>IF(RunSize_by_Stock!O29&gt;0,(RunSize_by_Stock!O29-Escapements!O30)/RunSize_by_Stock!O29,"")</f>
        <v>0.23559091791189615</v>
      </c>
      <c r="P77">
        <f>IF(RunSize_by_Stock!P29&gt;0,(RunSize_by_Stock!P29-Escapements!P30)/RunSize_by_Stock!P29,"")</f>
        <v>0.27778782366413995</v>
      </c>
      <c r="Q77">
        <f>IF(RunSize_by_Stock!Q29&gt;0,(RunSize_by_Stock!Q29-Escapements!Q30)/RunSize_by_Stock!Q29,"")</f>
        <v>0.21447196870925683</v>
      </c>
      <c r="R77">
        <f>IF(RunSize_by_Stock!R29&gt;0,(RunSize_by_Stock!R29-Escapements!R30)/RunSize_by_Stock!R29,"")</f>
        <v>0.19082840236686391</v>
      </c>
      <c r="S77">
        <f>IF(RunSize_by_Stock!S29&gt;0,(RunSize_by_Stock!S29-Escapements!S30)/RunSize_by_Stock!S29,"")</f>
        <v>0.15202373940967823</v>
      </c>
      <c r="T77">
        <f>IF(RunSize_by_Stock!T29&gt;0,(RunSize_by_Stock!T29-Escapements!T30)/RunSize_by_Stock!T29,"")</f>
        <v>0.16167590881084412</v>
      </c>
      <c r="U77" t="str">
        <f>IF(RunSize_by_Stock!U29&gt;0,(RunSize_by_Stock!U29-Escapements!U30)/RunSize_by_Stock!U29,"")</f>
        <v/>
      </c>
      <c r="V77">
        <f>IF(RunSize_by_Stock!V29&gt;0,(RunSize_by_Stock!V29-Escapements!V30)/RunSize_by_Stock!V29,"")</f>
        <v>0.23870967741935484</v>
      </c>
      <c r="W77">
        <f>IF(RunSize_by_Stock!W29&gt;0,(RunSize_by_Stock!W29-Escapements!W30)/RunSize_by_Stock!W29,"")</f>
        <v>0.5213675213675214</v>
      </c>
      <c r="X77">
        <f>IF(RunSize_by_Stock!X29&gt;0,(RunSize_by_Stock!X29-Escapements!X30)/RunSize_by_Stock!X29,"")</f>
        <v>0.28645161290322568</v>
      </c>
      <c r="Y77">
        <f>IF(RunSize_by_Stock!Y29&gt;0,(RunSize_by_Stock!Y29-Escapements!Y30)/RunSize_by_Stock!Y29,"")</f>
        <v>0.38119054472937314</v>
      </c>
      <c r="Z77">
        <f>IF(RunSize_by_Stock!Z29&gt;0,(RunSize_by_Stock!Z29-Escapements!Z30)/RunSize_by_Stock!Z29,"")</f>
        <v>0.12594293210888816</v>
      </c>
      <c r="AA77">
        <f>IF(RunSize_by_Stock!AA29&gt;0,(RunSize_by_Stock!AA29-Escapements!AA30)/RunSize_by_Stock!AA29,"")</f>
        <v>0.14887892376681613</v>
      </c>
      <c r="AB77">
        <f>IF(RunSize_by_Stock!AB29&gt;0,(RunSize_by_Stock!AB29-Escapements!AB30)/RunSize_by_Stock!AB29,"")</f>
        <v>0.16707021791767554</v>
      </c>
      <c r="AC77">
        <f>IF(RunSize_by_Stock!AC29&gt;0,(RunSize_by_Stock!AC29-Escapements!AC30)/RunSize_by_Stock!AC29,"")</f>
        <v>0.17776438162583483</v>
      </c>
      <c r="AD77">
        <f>IF(RunSize_by_Stock!AD29&gt;0,(RunSize_by_Stock!AD29-Escapements!AD30)/RunSize_by_Stock!AD29,"")</f>
        <v>0.52095808383233533</v>
      </c>
      <c r="AE77">
        <f>IF(RunSize_by_Stock!AE29&gt;0,(RunSize_by_Stock!AE29-Escapements!AE30)/RunSize_by_Stock!AE29,"")</f>
        <v>0.18178882509113484</v>
      </c>
      <c r="AF77">
        <f>IF(RunSize_by_Stock!AF29&gt;0,(RunSize_by_Stock!AF29-Escapements!AF30)/RunSize_by_Stock!AF29,"")</f>
        <v>0.169127877384113</v>
      </c>
      <c r="AG77">
        <f>IF(RunSize_by_Stock!AG29&gt;0,(RunSize_by_Stock!AG29-Escapements!AG30)/RunSize_by_Stock!AG29,"")</f>
        <v>0.16551724137931034</v>
      </c>
      <c r="AH77">
        <f>IF(RunSize_by_Stock!AH29&gt;0,(RunSize_by_Stock!AH29-Escapements!AH30)/RunSize_by_Stock!AH29,"")</f>
        <v>0.48584905660377359</v>
      </c>
      <c r="AI77">
        <f>IF(RunSize_by_Stock!AI29&gt;0,(RunSize_by_Stock!AI29-Escapements!AI30)/RunSize_by_Stock!AI29,"")</f>
        <v>0.16095890410958905</v>
      </c>
      <c r="AJ77">
        <f>IF(RunSize_by_Stock!AJ29&gt;0,(RunSize_by_Stock!AJ29-Escapements!AJ30)/RunSize_by_Stock!AJ29,"")</f>
        <v>0.99833333333333341</v>
      </c>
      <c r="AK77">
        <f>IF(RunSize_by_Stock!AK29&gt;0,(RunSize_by_Stock!AK29-Escapements!AK30)/RunSize_by_Stock!AK29,"")</f>
        <v>0.125</v>
      </c>
      <c r="AL77">
        <f>IF(RunSize_by_Stock!AL29&gt;0,(RunSize_by_Stock!AL29-Escapements!AL30)/RunSize_by_Stock!AL29,"")</f>
        <v>0.16415261756876665</v>
      </c>
      <c r="AM77">
        <f>IF(RunSize_by_Stock!AM29&gt;0,(RunSize_by_Stock!AM29-Escapements!AM30)/RunSize_by_Stock!AM29,"")</f>
        <v>0.32881355932203388</v>
      </c>
      <c r="AN77">
        <f>IF(RunSize_by_Stock!AN29&gt;0,(RunSize_by_Stock!AN29-Escapements!AN30)/RunSize_by_Stock!AN29,"")</f>
        <v>0.15083798882681565</v>
      </c>
      <c r="AO77">
        <f>IF(RunSize_by_Stock!AO29&gt;0,(RunSize_by_Stock!AO29-Escapements!AO30)/RunSize_by_Stock!AO29,"")</f>
        <v>0.15354330708661418</v>
      </c>
      <c r="AP77">
        <f>IF(RunSize_by_Stock!AP29&gt;0,(RunSize_by_Stock!AP29-Escapements!AP30)/RunSize_by_Stock!AP29,"")</f>
        <v>0.44930069930069932</v>
      </c>
      <c r="AQ77">
        <f>IF(RunSize_by_Stock!AQ29&gt;0,(RunSize_by_Stock!AQ29-Escapements!AQ30)/RunSize_by_Stock!AQ29,"")</f>
        <v>0.14003189792663476</v>
      </c>
      <c r="AR77">
        <f>IF(RunSize_by_Stock!AR29&gt;0,(RunSize_by_Stock!AR29-Escapements!AR30)/RunSize_by_Stock!AR29,"")</f>
        <v>0.20461095100864554</v>
      </c>
      <c r="AS77">
        <f>IF(RunSize_by_Stock!AS29&gt;0,(RunSize_by_Stock!AS29-Escapements!AS30)/RunSize_by_Stock!AS29,"")</f>
        <v>0.24335644136337378</v>
      </c>
      <c r="AT77">
        <f>IF(RunSize_by_Stock!AT29&gt;0,(RunSize_by_Stock!AT29-Escapements!AT30)/RunSize_by_Stock!AT29,"")</f>
        <v>0.14353008373113887</v>
      </c>
      <c r="AU77">
        <f>IF(RunSize_by_Stock!AU29&gt;0,(RunSize_by_Stock!AU29-Escapements!AU30)/RunSize_by_Stock!AU29,"")</f>
        <v>0.27638888888888891</v>
      </c>
      <c r="AV77">
        <f>IF(RunSize_by_Stock!AV29&gt;0,(RunSize_by_Stock!AV29-Escapements!AV30)/RunSize_by_Stock!AV29,"")</f>
        <v>0.31256952169076752</v>
      </c>
      <c r="AW77">
        <f>IF(RunSize_by_Stock!AW29&gt;0,(RunSize_by_Stock!AW29-Escapements!AW30)/RunSize_by_Stock!AW29,"")</f>
        <v>9.4619666048237475E-2</v>
      </c>
      <c r="AX77">
        <f>IF(RunSize_by_Stock!AX29&gt;0,(RunSize_by_Stock!AX29-Escapements!AX30)/RunSize_by_Stock!AX29,"")</f>
        <v>7.3654696430497144E-2</v>
      </c>
      <c r="AY77">
        <f>IF(RunSize_by_Stock!AY29&gt;0,(RunSize_by_Stock!AY29-Escapements!AY30)/RunSize_by_Stock!AY29,"")</f>
        <v>9.3106875056463992E-2</v>
      </c>
      <c r="AZ77">
        <f>IF(RunSize_by_Stock!AZ29&gt;0,(RunSize_by_Stock!AZ29-Escapements!AZ30)/RunSize_by_Stock!AZ29,"")</f>
        <v>2.8193325661680091E-2</v>
      </c>
      <c r="BA77">
        <f>IF(RunSize_by_Stock!BA29&gt;0,(RunSize_by_Stock!BA29-Escapements!BA30)/RunSize_by_Stock!BA29,"")</f>
        <v>0.38943731490621913</v>
      </c>
      <c r="BB77">
        <f>IF(RunSize_by_Stock!BB29&gt;0,(RunSize_by_Stock!BB29-Escapements!BB30)/RunSize_by_Stock!BB29,"")</f>
        <v>0.4073400060661207</v>
      </c>
      <c r="BC77">
        <f>IF(RunSize_by_Stock!BC29&gt;0,(RunSize_by_Stock!BC29-Escapements!BC30)/RunSize_by_Stock!BC29,"")</f>
        <v>0.4902135231316726</v>
      </c>
      <c r="BD77">
        <f>IF(RunSize_by_Stock!BD29&gt;0,(RunSize_by_Stock!BD29-Escapements!BD30)/RunSize_by_Stock!BD29,"")</f>
        <v>0.49033816425120774</v>
      </c>
      <c r="BE77">
        <f>IF(RunSize_by_Stock!BE29&gt;0,(RunSize_by_Stock!BE29-Escapements!BE30)/RunSize_by_Stock!BE29,"")</f>
        <v>0.37277323062108808</v>
      </c>
      <c r="BF77">
        <f>IF(RunSize_by_Stock!BF29&gt;0,(RunSize_by_Stock!BF29-Escapements!BF30)/RunSize_by_Stock!BF29,"")</f>
        <v>0.14551819127726337</v>
      </c>
      <c r="BG77">
        <f>IF(RunSize_by_Stock!BG29&gt;0,(RunSize_by_Stock!BG29-Escapements!BG30)/RunSize_by_Stock!BG29,"")</f>
        <v>5.865102639296188E-2</v>
      </c>
      <c r="BH77">
        <f>IF(RunSize_by_Stock!BH29&gt;0,(RunSize_by_Stock!BH29-Escapements!BH30)/RunSize_by_Stock!BH29,"")</f>
        <v>0.24790919952210275</v>
      </c>
      <c r="BI77">
        <f>IF(RunSize_by_Stock!BI29&gt;0,(RunSize_by_Stock!BI29-Escapements!BI30)/RunSize_by_Stock!BI29,"")</f>
        <v>8.0810063633835541E-3</v>
      </c>
      <c r="BJ77">
        <f>IF(RunSize_by_Stock!BJ29&gt;0,(RunSize_by_Stock!BJ29-Escapements!BJ30)/RunSize_by_Stock!BJ29,"")</f>
        <v>0.15229653505237711</v>
      </c>
      <c r="BK77">
        <f>IF(RunSize_by_Stock!BK29&gt;0,(RunSize_by_Stock!BK29-Escapements!BK30)/RunSize_by_Stock!BK29,"")</f>
        <v>1.4018691588785047E-2</v>
      </c>
      <c r="BL77">
        <f>IF(RunSize_by_Stock!BL29&gt;0,(RunSize_by_Stock!BL29-Escapements!BL30)/RunSize_by_Stock!BL29,"")</f>
        <v>0.24822695035460993</v>
      </c>
      <c r="BM77">
        <f>IF(RunSize_by_Stock!BM29&gt;0,(RunSize_by_Stock!BM29-Escapements!BM30)/RunSize_by_Stock!BM29,"")</f>
        <v>0.16666666666666666</v>
      </c>
      <c r="BN77">
        <f>IF(RunSize_by_Stock!BN29&gt;0,(RunSize_by_Stock!BN29-Escapements!BN30)/RunSize_by_Stock!BN29,"")</f>
        <v>0.12698412698412698</v>
      </c>
      <c r="BO77">
        <f>IF(RunSize_by_Stock!BO29&gt;0,(RunSize_by_Stock!BO29-Escapements!BO30)/RunSize_by_Stock!BO29,"")</f>
        <v>0.30149705164596846</v>
      </c>
      <c r="BP77">
        <f>IF(RunSize_by_Stock!BP29&gt;0,(RunSize_by_Stock!BP29-Escapements!BP30)/RunSize_by_Stock!BP29,"")</f>
        <v>0.29827934860486383</v>
      </c>
      <c r="BQ77">
        <f>IF(RunSize_by_Stock!BQ29&gt;0,(RunSize_by_Stock!BQ29-Escapements!BQ30)/RunSize_by_Stock!BQ29,"")</f>
        <v>2.1493495335512575E-3</v>
      </c>
      <c r="BR77">
        <f>IF(RunSize_by_Stock!BR29&gt;0,(RunSize_by_Stock!BR29-Escapements!BR30)/RunSize_by_Stock!BR29,"")</f>
        <v>0.38</v>
      </c>
      <c r="BS77">
        <f>IF(RunSize_by_Stock!BS29&gt;0,(RunSize_by_Stock!BS29-Escapements!BS30)/RunSize_by_Stock!BS29,"")</f>
        <v>4.1284403669724773E-2</v>
      </c>
      <c r="BT77">
        <f>IF(RunSize_by_Stock!BT29&gt;0,(RunSize_by_Stock!BT29-Escapements!BT30)/RunSize_by_Stock!BT29,"")</f>
        <v>0.1341297120802839</v>
      </c>
      <c r="BU77" t="str">
        <f>IF(RunSize_by_Stock!BU29&gt;0,(RunSize_by_Stock!BU29-Escapements!BU30)/RunSize_by_Stock!BU29,"")</f>
        <v/>
      </c>
      <c r="BV77">
        <f>IF(RunSize_by_Stock!BV29&gt;0,(RunSize_by_Stock!BV29-Escapements!BV30)/RunSize_by_Stock!BV29,"")</f>
        <v>0.29411764705882354</v>
      </c>
      <c r="BW77">
        <f>IF(RunSize_by_Stock!BW29&gt;0,(RunSize_by_Stock!BW29-Escapements!BW30)/RunSize_by_Stock!BW29,"")</f>
        <v>0.13080642495407155</v>
      </c>
      <c r="BX77">
        <f>IF(RunSize_by_Stock!BX29&gt;0,(RunSize_by_Stock!BX29-Escapements!BX30)/RunSize_by_Stock!BX29,"")</f>
        <v>0.15909090909090909</v>
      </c>
      <c r="BY77">
        <f>IF(RunSize_by_Stock!BY29&gt;0,(RunSize_by_Stock!BY29-Escapements!BY30)/RunSize_by_Stock!BY29,"")</f>
        <v>0.38144329896907214</v>
      </c>
      <c r="BZ77">
        <f>IF(RunSize_by_Stock!BZ29&gt;0,(RunSize_by_Stock!BZ29-Escapements!BZ30)/RunSize_by_Stock!BZ29,"")</f>
        <v>0.38150289017341038</v>
      </c>
      <c r="CA77">
        <f>IF(RunSize_by_Stock!CA29&gt;0,(RunSize_by_Stock!CA29-Escapements!CA30)/RunSize_by_Stock!CA29,"")</f>
        <v>0.15</v>
      </c>
      <c r="CB77">
        <f>IF(RunSize_by_Stock!CB29&gt;0,(RunSize_by_Stock!CB29-Escapements!CB30)/RunSize_by_Stock!CB29,"")</f>
        <v>3.8167938931297711E-2</v>
      </c>
      <c r="CC77">
        <f>IF(RunSize_by_Stock!CC29&gt;0,(RunSize_by_Stock!CC29-Escapements!CC30)/RunSize_by_Stock!CC29,"")</f>
        <v>0.10465116279069768</v>
      </c>
      <c r="CD77" t="str">
        <f>IF(RunSize_by_Stock!CD29&gt;0,(RunSize_by_Stock!CD29-Escapements!CD30)/RunSize_by_Stock!CD29,"")</f>
        <v/>
      </c>
      <c r="CE77">
        <f>IF(RunSize_by_Stock!CE29&gt;0,(RunSize_by_Stock!CE29-Escapements!CE30)/RunSize_by_Stock!CE29,"")</f>
        <v>0.15626156388486767</v>
      </c>
      <c r="CF77">
        <f>IF(RunSize_by_Stock!CF29&gt;0,(RunSize_by_Stock!CF29-Escapements!CF30)/RunSize_by_Stock!CF29,"")</f>
        <v>0.1735152259798842</v>
      </c>
      <c r="CG77">
        <f>IF(RunSize_by_Stock!CG29&gt;0,(RunSize_by_Stock!CG29-Escapements!CG30)/RunSize_by_Stock!CG29,"")</f>
        <v>0.18623860899946568</v>
      </c>
      <c r="CH77">
        <f t="shared" si="3"/>
        <v>0.2379053396603163</v>
      </c>
    </row>
    <row r="78" spans="1:86" x14ac:dyDescent="0.55000000000000004">
      <c r="A78">
        <f t="shared" si="2"/>
        <v>2007</v>
      </c>
      <c r="B78">
        <f>IF(RunSize_by_Stock!B30&gt;0,(RunSize_by_Stock!B30-Escapements!B31)/RunSize_by_Stock!B30,"")</f>
        <v>0.2807017543859649</v>
      </c>
      <c r="C78">
        <f>IF(RunSize_by_Stock!C30&gt;0,(RunSize_by_Stock!C30-Escapements!C31)/RunSize_by_Stock!C30,"")</f>
        <v>0.23175319789315274</v>
      </c>
      <c r="D78">
        <f>IF(RunSize_by_Stock!D30&gt;0,(RunSize_by_Stock!D30-Escapements!D31)/RunSize_by_Stock!D30,"")</f>
        <v>0.29032258064516131</v>
      </c>
      <c r="E78">
        <f>IF(RunSize_by_Stock!E30&gt;0,(RunSize_by_Stock!E30-Escapements!E31)/RunSize_by_Stock!E30,"")</f>
        <v>0.27586206896551724</v>
      </c>
      <c r="F78">
        <f>IF(RunSize_by_Stock!F30&gt;0,(RunSize_by_Stock!F30-Escapements!F31)/RunSize_by_Stock!F30,"")</f>
        <v>0.27264061010486179</v>
      </c>
      <c r="G78">
        <f>IF(RunSize_by_Stock!G30&gt;0,(RunSize_by_Stock!G30-Escapements!G31)/RunSize_by_Stock!G30,"")</f>
        <v>0.2608695652173913</v>
      </c>
      <c r="H78">
        <f>IF(RunSize_by_Stock!H30&gt;0,(RunSize_by_Stock!H30-Escapements!H31)/RunSize_by_Stock!H30,"")</f>
        <v>0.2857142857142857</v>
      </c>
      <c r="I78">
        <f>IF(RunSize_by_Stock!I30&gt;0,(RunSize_by_Stock!I30-Escapements!I31)/RunSize_by_Stock!I30,"")</f>
        <v>0.27388535031847133</v>
      </c>
      <c r="J78">
        <f>IF(RunSize_by_Stock!J30&gt;0,(RunSize_by_Stock!J30-Escapements!J31)/RunSize_by_Stock!J30,"")</f>
        <v>0.27689594356261021</v>
      </c>
      <c r="K78">
        <f>IF(RunSize_by_Stock!K30&gt;0,(RunSize_by_Stock!K30-Escapements!K31)/RunSize_by_Stock!K30,"")</f>
        <v>0.26940639269406391</v>
      </c>
      <c r="L78">
        <f>IF(RunSize_by_Stock!L30&gt;0,(RunSize_by_Stock!L30-Escapements!L31)/RunSize_by_Stock!L30,"")</f>
        <v>0.27436527436527436</v>
      </c>
      <c r="M78">
        <f>IF(RunSize_by_Stock!M30&gt;0,(RunSize_by_Stock!M30-Escapements!M31)/RunSize_by_Stock!M30,"")</f>
        <v>0.26122448979591839</v>
      </c>
      <c r="N78">
        <f>IF(RunSize_by_Stock!N30&gt;0,(RunSize_by_Stock!N30-Escapements!N31)/RunSize_by_Stock!N30,"")</f>
        <v>0.23508771929824562</v>
      </c>
      <c r="O78">
        <f>IF(RunSize_by_Stock!O30&gt;0,(RunSize_by_Stock!O30-Escapements!O31)/RunSize_by_Stock!O30,"")</f>
        <v>0.23711772098868891</v>
      </c>
      <c r="P78">
        <f>IF(RunSize_by_Stock!P30&gt;0,(RunSize_by_Stock!P30-Escapements!P31)/RunSize_by_Stock!P30,"")</f>
        <v>0.26425110931898599</v>
      </c>
      <c r="Q78">
        <f>IF(RunSize_by_Stock!Q30&gt;0,(RunSize_by_Stock!Q30-Escapements!Q31)/RunSize_by_Stock!Q30,"")</f>
        <v>0.23232323232323232</v>
      </c>
      <c r="R78">
        <f>IF(RunSize_by_Stock!R30&gt;0,(RunSize_by_Stock!R30-Escapements!R31)/RunSize_by_Stock!R30,"")</f>
        <v>0.23142857142857143</v>
      </c>
      <c r="S78">
        <f>IF(RunSize_by_Stock!S30&gt;0,(RunSize_by_Stock!S30-Escapements!S31)/RunSize_by_Stock!S30,"")</f>
        <v>0.29328337855200087</v>
      </c>
      <c r="T78">
        <f>IF(RunSize_by_Stock!T30&gt;0,(RunSize_by_Stock!T30-Escapements!T31)/RunSize_by_Stock!T30,"")</f>
        <v>0.2751269035532995</v>
      </c>
      <c r="U78" t="str">
        <f>IF(RunSize_by_Stock!U30&gt;0,(RunSize_by_Stock!U30-Escapements!U31)/RunSize_by_Stock!U30,"")</f>
        <v/>
      </c>
      <c r="V78">
        <f>IF(RunSize_by_Stock!V30&gt;0,(RunSize_by_Stock!V30-Escapements!V31)/RunSize_by_Stock!V30,"")</f>
        <v>0.234375</v>
      </c>
      <c r="W78">
        <f>IF(RunSize_by_Stock!W30&gt;0,(RunSize_by_Stock!W30-Escapements!W31)/RunSize_by_Stock!W30,"")</f>
        <v>0.50318471337579618</v>
      </c>
      <c r="X78">
        <f>IF(RunSize_by_Stock!X30&gt;0,(RunSize_by_Stock!X30-Escapements!X31)/RunSize_by_Stock!X30,"")</f>
        <v>0.29249617151607954</v>
      </c>
      <c r="Y78">
        <f>IF(RunSize_by_Stock!Y30&gt;0,(RunSize_by_Stock!Y30-Escapements!Y31)/RunSize_by_Stock!Y30,"")</f>
        <v>0.40091463414634149</v>
      </c>
      <c r="Z78">
        <f>IF(RunSize_by_Stock!Z30&gt;0,(RunSize_by_Stock!Z30-Escapements!Z31)/RunSize_by_Stock!Z30,"")</f>
        <v>0.17840593141797961</v>
      </c>
      <c r="AA78">
        <f>IF(RunSize_by_Stock!AA30&gt;0,(RunSize_by_Stock!AA30-Escapements!AA31)/RunSize_by_Stock!AA30,"")</f>
        <v>0.2561307901907357</v>
      </c>
      <c r="AB78">
        <f>IF(RunSize_by_Stock!AB30&gt;0,(RunSize_by_Stock!AB30-Escapements!AB31)/RunSize_by_Stock!AB30,"")</f>
        <v>0.22727272727272727</v>
      </c>
      <c r="AC78">
        <f>IF(RunSize_by_Stock!AC30&gt;0,(RunSize_by_Stock!AC30-Escapements!AC31)/RunSize_by_Stock!AC30,"")</f>
        <v>0.22335580008782385</v>
      </c>
      <c r="AD78">
        <f>IF(RunSize_by_Stock!AD30&gt;0,(RunSize_by_Stock!AD30-Escapements!AD31)/RunSize_by_Stock!AD30,"")</f>
        <v>0.5027932960893855</v>
      </c>
      <c r="AE78">
        <f>IF(RunSize_by_Stock!AE30&gt;0,(RunSize_by_Stock!AE30-Escapements!AE31)/RunSize_by_Stock!AE30,"")</f>
        <v>0.21146318163669514</v>
      </c>
      <c r="AF78">
        <f>IF(RunSize_by_Stock!AF30&gt;0,(RunSize_by_Stock!AF30-Escapements!AF31)/RunSize_by_Stock!AF30,"")</f>
        <v>0.234332690939282</v>
      </c>
      <c r="AG78">
        <f>IF(RunSize_by_Stock!AG30&gt;0,(RunSize_by_Stock!AG30-Escapements!AG31)/RunSize_by_Stock!AG30,"")</f>
        <v>0.22967908363106768</v>
      </c>
      <c r="AH78">
        <f>IF(RunSize_by_Stock!AH30&gt;0,(RunSize_by_Stock!AH30-Escapements!AH31)/RunSize_by_Stock!AH30,"")</f>
        <v>0.29591836734693877</v>
      </c>
      <c r="AI78">
        <f>IF(RunSize_by_Stock!AI30&gt;0,(RunSize_by_Stock!AI30-Escapements!AI31)/RunSize_by_Stock!AI30,"")</f>
        <v>0.66</v>
      </c>
      <c r="AJ78">
        <f>IF(RunSize_by_Stock!AJ30&gt;0,(RunSize_by_Stock!AJ30-Escapements!AJ31)/RunSize_by_Stock!AJ30,"")</f>
        <v>0.99944444444444436</v>
      </c>
      <c r="AK78">
        <f>IF(RunSize_by_Stock!AK30&gt;0,(RunSize_by_Stock!AK30-Escapements!AK31)/RunSize_by_Stock!AK30,"")</f>
        <v>0.21276595744680851</v>
      </c>
      <c r="AL78">
        <f>IF(RunSize_by_Stock!AL30&gt;0,(RunSize_by_Stock!AL30-Escapements!AL31)/RunSize_by_Stock!AL30,"")</f>
        <v>0.24980205859065716</v>
      </c>
      <c r="AM78">
        <f>IF(RunSize_by_Stock!AM30&gt;0,(RunSize_by_Stock!AM30-Escapements!AM31)/RunSize_by_Stock!AM30,"")</f>
        <v>0.6</v>
      </c>
      <c r="AN78">
        <f>IF(RunSize_by_Stock!AN30&gt;0,(RunSize_by_Stock!AN30-Escapements!AN31)/RunSize_by_Stock!AN30,"")</f>
        <v>0.22448979591836735</v>
      </c>
      <c r="AO78">
        <f>IF(RunSize_by_Stock!AO30&gt;0,(RunSize_by_Stock!AO30-Escapements!AO31)/RunSize_by_Stock!AO30,"")</f>
        <v>0.25925925925925924</v>
      </c>
      <c r="AP78">
        <f>IF(RunSize_by_Stock!AP30&gt;0,(RunSize_by_Stock!AP30-Escapements!AP31)/RunSize_by_Stock!AP30,"")</f>
        <v>0.66666666666666663</v>
      </c>
      <c r="AQ78">
        <f>IF(RunSize_by_Stock!AQ30&gt;0,(RunSize_by_Stock!AQ30-Escapements!AQ31)/RunSize_by_Stock!AQ30,"")</f>
        <v>0.20649013308004524</v>
      </c>
      <c r="AR78">
        <f>IF(RunSize_by_Stock!AR30&gt;0,(RunSize_by_Stock!AR30-Escapements!AR31)/RunSize_by_Stock!AR30,"")</f>
        <v>0.16666666666666666</v>
      </c>
      <c r="AS78">
        <f>IF(RunSize_by_Stock!AS30&gt;0,(RunSize_by_Stock!AS30-Escapements!AS31)/RunSize_by_Stock!AS30,"")</f>
        <v>0.28028086600351082</v>
      </c>
      <c r="AT78">
        <f>IF(RunSize_by_Stock!AT30&gt;0,(RunSize_by_Stock!AT30-Escapements!AT31)/RunSize_by_Stock!AT30,"")</f>
        <v>0.23631382551603608</v>
      </c>
      <c r="AU78">
        <f>IF(RunSize_by_Stock!AU30&gt;0,(RunSize_by_Stock!AU30-Escapements!AU31)/RunSize_by_Stock!AU30,"")</f>
        <v>0.32661290322580644</v>
      </c>
      <c r="AV78">
        <f>IF(RunSize_by_Stock!AV30&gt;0,(RunSize_by_Stock!AV30-Escapements!AV31)/RunSize_by_Stock!AV30,"")</f>
        <v>0.26455026455026454</v>
      </c>
      <c r="AW78">
        <f>IF(RunSize_by_Stock!AW30&gt;0,(RunSize_by_Stock!AW30-Escapements!AW31)/RunSize_by_Stock!AW30,"")</f>
        <v>0.14649852428226456</v>
      </c>
      <c r="AX78">
        <f>IF(RunSize_by_Stock!AX30&gt;0,(RunSize_by_Stock!AX30-Escapements!AX31)/RunSize_by_Stock!AX30,"")</f>
        <v>0.14581154873939817</v>
      </c>
      <c r="AY78">
        <f>IF(RunSize_by_Stock!AY30&gt;0,(RunSize_by_Stock!AY30-Escapements!AY31)/RunSize_by_Stock!AY30,"")</f>
        <v>0.16969663682466452</v>
      </c>
      <c r="AZ78">
        <f>IF(RunSize_by_Stock!AZ30&gt;0,(RunSize_by_Stock!AZ30-Escapements!AZ31)/RunSize_by_Stock!AZ30,"")</f>
        <v>0.18261784109379481</v>
      </c>
      <c r="BA78">
        <f>IF(RunSize_by_Stock!BA30&gt;0,(RunSize_by_Stock!BA30-Escapements!BA31)/RunSize_by_Stock!BA30,"")</f>
        <v>0.37945492662473795</v>
      </c>
      <c r="BB78">
        <f>IF(RunSize_by_Stock!BB30&gt;0,(RunSize_by_Stock!BB30-Escapements!BB31)/RunSize_by_Stock!BB30,"")</f>
        <v>0.38788221970554926</v>
      </c>
      <c r="BC78">
        <f>IF(RunSize_by_Stock!BC30&gt;0,(RunSize_by_Stock!BC30-Escapements!BC31)/RunSize_by_Stock!BC30,"")</f>
        <v>0.67355371900826444</v>
      </c>
      <c r="BD78">
        <f>IF(RunSize_by_Stock!BD30&gt;0,(RunSize_by_Stock!BD30-Escapements!BD31)/RunSize_by_Stock!BD30,"")</f>
        <v>0.67295597484276726</v>
      </c>
      <c r="BE78">
        <f>IF(RunSize_by_Stock!BE30&gt;0,(RunSize_by_Stock!BE30-Escapements!BE31)/RunSize_by_Stock!BE30,"")</f>
        <v>0.41627786417833074</v>
      </c>
      <c r="BF78">
        <f>IF(RunSize_by_Stock!BF30&gt;0,(RunSize_by_Stock!BF30-Escapements!BF31)/RunSize_by_Stock!BF30,"")</f>
        <v>0.18181996980771561</v>
      </c>
      <c r="BG78">
        <f>IF(RunSize_by_Stock!BG30&gt;0,(RunSize_by_Stock!BG30-Escapements!BG31)/RunSize_by_Stock!BG30,"")</f>
        <v>7.040417209908735E-2</v>
      </c>
      <c r="BH78">
        <f>IF(RunSize_by_Stock!BH30&gt;0,(RunSize_by_Stock!BH30-Escapements!BH31)/RunSize_by_Stock!BH30,"")</f>
        <v>0.25903614457831325</v>
      </c>
      <c r="BI78">
        <f>IF(RunSize_by_Stock!BI30&gt;0,(RunSize_by_Stock!BI30-Escapements!BI31)/RunSize_by_Stock!BI30,"")</f>
        <v>3.8406060682077588E-2</v>
      </c>
      <c r="BJ78">
        <f>IF(RunSize_by_Stock!BJ30&gt;0,(RunSize_by_Stock!BJ30-Escapements!BJ31)/RunSize_by_Stock!BJ30,"")</f>
        <v>9.9112731274503055E-2</v>
      </c>
      <c r="BK78">
        <f>IF(RunSize_by_Stock!BK30&gt;0,(RunSize_by_Stock!BK30-Escapements!BK31)/RunSize_by_Stock!BK30,"")</f>
        <v>9.6153846153846159E-3</v>
      </c>
      <c r="BL78">
        <f>IF(RunSize_by_Stock!BL30&gt;0,(RunSize_by_Stock!BL30-Escapements!BL31)/RunSize_by_Stock!BL30,"")</f>
        <v>0.33898305084745761</v>
      </c>
      <c r="BM78">
        <f>IF(RunSize_by_Stock!BM30&gt;0,(RunSize_by_Stock!BM30-Escapements!BM31)/RunSize_by_Stock!BM30,"")</f>
        <v>0.16666666666666666</v>
      </c>
      <c r="BN78">
        <f>IF(RunSize_by_Stock!BN30&gt;0,(RunSize_by_Stock!BN30-Escapements!BN31)/RunSize_by_Stock!BN30,"")</f>
        <v>0.2</v>
      </c>
      <c r="BO78">
        <f>IF(RunSize_by_Stock!BO30&gt;0,(RunSize_by_Stock!BO30-Escapements!BO31)/RunSize_by_Stock!BO30,"")</f>
        <v>0.26004474749800222</v>
      </c>
      <c r="BP78">
        <f>IF(RunSize_by_Stock!BP30&gt;0,(RunSize_by_Stock!BP30-Escapements!BP31)/RunSize_by_Stock!BP30,"")</f>
        <v>0.27738113080457227</v>
      </c>
      <c r="BQ78">
        <f>IF(RunSize_by_Stock!BQ30&gt;0,(RunSize_by_Stock!BQ30-Escapements!BQ31)/RunSize_by_Stock!BQ30,"")</f>
        <v>8.122641725560301E-3</v>
      </c>
      <c r="BR78">
        <f>IF(RunSize_by_Stock!BR30&gt;0,(RunSize_by_Stock!BR30-Escapements!BR31)/RunSize_by_Stock!BR30,"")</f>
        <v>0.39910920627867413</v>
      </c>
      <c r="BS78">
        <f>IF(RunSize_by_Stock!BS30&gt;0,(RunSize_by_Stock!BS30-Escapements!BS31)/RunSize_by_Stock!BS30,"")</f>
        <v>4.6153846153846156E-2</v>
      </c>
      <c r="BT78">
        <f>IF(RunSize_by_Stock!BT30&gt;0,(RunSize_by_Stock!BT30-Escapements!BT31)/RunSize_by_Stock!BT30,"")</f>
        <v>0.14205547915768951</v>
      </c>
      <c r="BU78">
        <f>IF(RunSize_by_Stock!BU30&gt;0,(RunSize_by_Stock!BU30-Escapements!BU31)/RunSize_by_Stock!BU30,"")</f>
        <v>2.8817960360615569E-2</v>
      </c>
      <c r="BV78">
        <f>IF(RunSize_by_Stock!BV30&gt;0,(RunSize_by_Stock!BV30-Escapements!BV31)/RunSize_by_Stock!BV30,"")</f>
        <v>0.25</v>
      </c>
      <c r="BW78">
        <f>IF(RunSize_by_Stock!BW30&gt;0,(RunSize_by_Stock!BW30-Escapements!BW31)/RunSize_by_Stock!BW30,"")</f>
        <v>0.37164391148264497</v>
      </c>
      <c r="BX78">
        <f>IF(RunSize_by_Stock!BX30&gt;0,(RunSize_by_Stock!BX30-Escapements!BX31)/RunSize_by_Stock!BX30,"")</f>
        <v>0.30215827338129497</v>
      </c>
      <c r="BY78">
        <f>IF(RunSize_by_Stock!BY30&gt;0,(RunSize_by_Stock!BY30-Escapements!BY31)/RunSize_by_Stock!BY30,"")</f>
        <v>0.4020781825085496</v>
      </c>
      <c r="BZ78">
        <f>IF(RunSize_by_Stock!BZ30&gt;0,(RunSize_by_Stock!BZ30-Escapements!BZ31)/RunSize_by_Stock!BZ30,"")</f>
        <v>0.39928080356395196</v>
      </c>
      <c r="CA78">
        <f>IF(RunSize_by_Stock!CA30&gt;0,(RunSize_by_Stock!CA30-Escapements!CA31)/RunSize_by_Stock!CA30,"")</f>
        <v>0.29166666666666669</v>
      </c>
      <c r="CB78">
        <f>IF(RunSize_by_Stock!CB30&gt;0,(RunSize_by_Stock!CB30-Escapements!CB31)/RunSize_by_Stock!CB30,"")</f>
        <v>4.3070107692849635E-2</v>
      </c>
      <c r="CC78">
        <f>IF(RunSize_by_Stock!CC30&gt;0,(RunSize_by_Stock!CC30-Escapements!CC31)/RunSize_by_Stock!CC30,"")</f>
        <v>0.54629629629629628</v>
      </c>
      <c r="CD78" t="str">
        <f>IF(RunSize_by_Stock!CD30&gt;0,(RunSize_by_Stock!CD30-Escapements!CD31)/RunSize_by_Stock!CD30,"")</f>
        <v/>
      </c>
      <c r="CE78">
        <f>IF(RunSize_by_Stock!CE30&gt;0,(RunSize_by_Stock!CE30-Escapements!CE31)/RunSize_by_Stock!CE30,"")</f>
        <v>0.19642857142857142</v>
      </c>
      <c r="CF78">
        <f>IF(RunSize_by_Stock!CF30&gt;0,(RunSize_by_Stock!CF30-Escapements!CF31)/RunSize_by_Stock!CF30,"")</f>
        <v>0.23849068957341119</v>
      </c>
      <c r="CG78">
        <f>IF(RunSize_by_Stock!CG30&gt;0,(RunSize_by_Stock!CG30-Escapements!CG31)/RunSize_by_Stock!CG30,"")</f>
        <v>0.22173451408499775</v>
      </c>
      <c r="CH78">
        <f t="shared" si="3"/>
        <v>0.28206404686188119</v>
      </c>
    </row>
    <row r="79" spans="1:86" x14ac:dyDescent="0.55000000000000004">
      <c r="A79">
        <f t="shared" si="2"/>
        <v>2008</v>
      </c>
      <c r="B79">
        <f>IF(RunSize_by_Stock!B31&gt;0,(RunSize_by_Stock!B31-Escapements!B32)/RunSize_by_Stock!B31,"")</f>
        <v>0.268630849220104</v>
      </c>
      <c r="C79">
        <f>IF(RunSize_by_Stock!C31&gt;0,(RunSize_by_Stock!C31-Escapements!C32)/RunSize_by_Stock!C31,"")</f>
        <v>0.20462328767123289</v>
      </c>
      <c r="D79" t="str">
        <f>IF(RunSize_by_Stock!D31&gt;0,(RunSize_by_Stock!D31-Escapements!D32)/RunSize_by_Stock!D31,"")</f>
        <v/>
      </c>
      <c r="E79">
        <f>IF(RunSize_by_Stock!E31&gt;0,(RunSize_by_Stock!E31-Escapements!E32)/RunSize_by_Stock!E31,"")</f>
        <v>0.25925925925925924</v>
      </c>
      <c r="F79">
        <f>IF(RunSize_by_Stock!F31&gt;0,(RunSize_by_Stock!F31-Escapements!F32)/RunSize_by_Stock!F31,"")</f>
        <v>0.26058631921824105</v>
      </c>
      <c r="G79">
        <f>IF(RunSize_by_Stock!G31&gt;0,(RunSize_by_Stock!G31-Escapements!G32)/RunSize_by_Stock!G31,"")</f>
        <v>0.25</v>
      </c>
      <c r="H79">
        <f>IF(RunSize_by_Stock!H31&gt;0,(RunSize_by_Stock!H31-Escapements!H32)/RunSize_by_Stock!H31,"")</f>
        <v>0.2608695652173913</v>
      </c>
      <c r="I79">
        <f>IF(RunSize_by_Stock!I31&gt;0,(RunSize_by_Stock!I31-Escapements!I32)/RunSize_by_Stock!I31,"")</f>
        <v>0.26395939086294418</v>
      </c>
      <c r="J79">
        <f>IF(RunSize_by_Stock!J31&gt;0,(RunSize_by_Stock!J31-Escapements!J32)/RunSize_by_Stock!J31,"")</f>
        <v>0.26587301587301587</v>
      </c>
      <c r="K79">
        <f>IF(RunSize_by_Stock!K31&gt;0,(RunSize_by_Stock!K31-Escapements!K32)/RunSize_by_Stock!K31,"")</f>
        <v>0.25882352941176473</v>
      </c>
      <c r="L79">
        <f>IF(RunSize_by_Stock!L31&gt;0,(RunSize_by_Stock!L31-Escapements!L32)/RunSize_by_Stock!L31,"")</f>
        <v>0.26369327073552423</v>
      </c>
      <c r="M79">
        <f>IF(RunSize_by_Stock!M31&gt;0,(RunSize_by_Stock!M31-Escapements!M32)/RunSize_by_Stock!M31,"")</f>
        <v>0.24666666666666667</v>
      </c>
      <c r="N79">
        <f>IF(RunSize_by_Stock!N31&gt;0,(RunSize_by_Stock!N31-Escapements!N32)/RunSize_by_Stock!N31,"")</f>
        <v>0.21213840045377197</v>
      </c>
      <c r="O79">
        <f>IF(RunSize_by_Stock!O31&gt;0,(RunSize_by_Stock!O31-Escapements!O32)/RunSize_by_Stock!O31,"")</f>
        <v>0.21757990867579929</v>
      </c>
      <c r="P79">
        <f>IF(RunSize_by_Stock!P31&gt;0,(RunSize_by_Stock!P31-Escapements!P32)/RunSize_by_Stock!P31,"")</f>
        <v>0.25103266402463875</v>
      </c>
      <c r="Q79">
        <f>IF(RunSize_by_Stock!Q31&gt;0,(RunSize_by_Stock!Q31-Escapements!Q32)/RunSize_by_Stock!Q31,"")</f>
        <v>0.20500595947556616</v>
      </c>
      <c r="R79">
        <f>IF(RunSize_by_Stock!R31&gt;0,(RunSize_by_Stock!R31-Escapements!R32)/RunSize_by_Stock!R31,"")</f>
        <v>0.19083969465648856</v>
      </c>
      <c r="S79">
        <f>IF(RunSize_by_Stock!S31&gt;0,(RunSize_by_Stock!S31-Escapements!S32)/RunSize_by_Stock!S31,"")</f>
        <v>0.22562668387776622</v>
      </c>
      <c r="T79">
        <f>IF(RunSize_by_Stock!T31&gt;0,(RunSize_by_Stock!T31-Escapements!T32)/RunSize_by_Stock!T31,"")</f>
        <v>0.19745660766454717</v>
      </c>
      <c r="U79">
        <f>IF(RunSize_by_Stock!U31&gt;0,(RunSize_by_Stock!U31-Escapements!U32)/RunSize_by_Stock!U31,"")</f>
        <v>0</v>
      </c>
      <c r="V79">
        <f>IF(RunSize_by_Stock!V31&gt;0,(RunSize_by_Stock!V31-Escapements!V32)/RunSize_by_Stock!V31,"")</f>
        <v>0.21957671957671956</v>
      </c>
      <c r="W79">
        <f>IF(RunSize_by_Stock!W31&gt;0,(RunSize_by_Stock!W31-Escapements!W32)/RunSize_by_Stock!W31,"")</f>
        <v>0.27647058823529413</v>
      </c>
      <c r="X79">
        <f>IF(RunSize_by_Stock!X31&gt;0,(RunSize_by_Stock!X31-Escapements!X32)/RunSize_by_Stock!X31,"")</f>
        <v>0.23039999999999991</v>
      </c>
      <c r="Y79">
        <f>IF(RunSize_by_Stock!Y31&gt;0,(RunSize_by_Stock!Y31-Escapements!Y32)/RunSize_by_Stock!Y31,"")</f>
        <v>0.20212765957446807</v>
      </c>
      <c r="Z79">
        <f>IF(RunSize_by_Stock!Z31&gt;0,(RunSize_by_Stock!Z31-Escapements!Z32)/RunSize_by_Stock!Z31,"")</f>
        <v>0.43249897414854327</v>
      </c>
      <c r="AA79">
        <f>IF(RunSize_by_Stock!AA31&gt;0,(RunSize_by_Stock!AA31-Escapements!AA32)/RunSize_by_Stock!AA31,"")</f>
        <v>0.28730158730158728</v>
      </c>
      <c r="AB79">
        <f>IF(RunSize_by_Stock!AB31&gt;0,(RunSize_by_Stock!AB31-Escapements!AB32)/RunSize_by_Stock!AB31,"")</f>
        <v>0.184</v>
      </c>
      <c r="AC79">
        <f>IF(RunSize_by_Stock!AC31&gt;0,(RunSize_by_Stock!AC31-Escapements!AC32)/RunSize_by_Stock!AC31,"")</f>
        <v>0.19701831108094398</v>
      </c>
      <c r="AD79">
        <f>IF(RunSize_by_Stock!AD31&gt;0,(RunSize_by_Stock!AD31-Escapements!AD32)/RunSize_by_Stock!AD31,"")</f>
        <v>0.27710843373493976</v>
      </c>
      <c r="AE79">
        <f>IF(RunSize_by_Stock!AE31&gt;0,(RunSize_by_Stock!AE31-Escapements!AE32)/RunSize_by_Stock!AE31,"")</f>
        <v>0.19762308998302208</v>
      </c>
      <c r="AF79">
        <f>IF(RunSize_by_Stock!AF31&gt;0,(RunSize_by_Stock!AF31-Escapements!AF32)/RunSize_by_Stock!AF31,"")</f>
        <v>0.19994630568943697</v>
      </c>
      <c r="AG79">
        <f>IF(RunSize_by_Stock!AG31&gt;0,(RunSize_by_Stock!AG31-Escapements!AG32)/RunSize_by_Stock!AG31,"")</f>
        <v>0.19066937119675456</v>
      </c>
      <c r="AH79">
        <f>IF(RunSize_by_Stock!AH31&gt;0,(RunSize_by_Stock!AH31-Escapements!AH32)/RunSize_by_Stock!AH31,"")</f>
        <v>0.61245674740484424</v>
      </c>
      <c r="AI79">
        <f>IF(RunSize_by_Stock!AI31&gt;0,(RunSize_by_Stock!AI31-Escapements!AI32)/RunSize_by_Stock!AI31,"")</f>
        <v>6.4655172413793108E-2</v>
      </c>
      <c r="AJ79">
        <f>IF(RunSize_by_Stock!AJ31&gt;0,(RunSize_by_Stock!AJ31-Escapements!AJ32)/RunSize_by_Stock!AJ31,"")</f>
        <v>0.998</v>
      </c>
      <c r="AK79">
        <f>IF(RunSize_by_Stock!AK31&gt;0,(RunSize_by_Stock!AK31-Escapements!AK32)/RunSize_by_Stock!AK31,"")</f>
        <v>0.21212121212121213</v>
      </c>
      <c r="AL79">
        <f>IF(RunSize_by_Stock!AL31&gt;0,(RunSize_by_Stock!AL31-Escapements!AL32)/RunSize_by_Stock!AL31,"")</f>
        <v>0.247040072859745</v>
      </c>
      <c r="AM79">
        <f>IF(RunSize_by_Stock!AM31&gt;0,(RunSize_by_Stock!AM31-Escapements!AM32)/RunSize_by_Stock!AM31,"")</f>
        <v>0.2814814814814815</v>
      </c>
      <c r="AN79">
        <f>IF(RunSize_by_Stock!AN31&gt;0,(RunSize_by_Stock!AN31-Escapements!AN32)/RunSize_by_Stock!AN31,"")</f>
        <v>0.18049792531120332</v>
      </c>
      <c r="AO79">
        <f>IF(RunSize_by_Stock!AO31&gt;0,(RunSize_by_Stock!AO31-Escapements!AO32)/RunSize_by_Stock!AO31,"")</f>
        <v>0.17886178861788618</v>
      </c>
      <c r="AP79">
        <f>IF(RunSize_by_Stock!AP31&gt;0,(RunSize_by_Stock!AP31-Escapements!AP32)/RunSize_by_Stock!AP31,"")</f>
        <v>0.35374149659863946</v>
      </c>
      <c r="AQ79">
        <f>IF(RunSize_by_Stock!AQ31&gt;0,(RunSize_by_Stock!AQ31-Escapements!AQ32)/RunSize_by_Stock!AQ31,"")</f>
        <v>0.21634615384615385</v>
      </c>
      <c r="AR79">
        <f>IF(RunSize_by_Stock!AR31&gt;0,(RunSize_by_Stock!AR31-Escapements!AR32)/RunSize_by_Stock!AR31,"")</f>
        <v>0.22222222222222221</v>
      </c>
      <c r="AS79">
        <f>IF(RunSize_by_Stock!AS31&gt;0,(RunSize_by_Stock!AS31-Escapements!AS32)/RunSize_by_Stock!AS31,"")</f>
        <v>0.28748997594226144</v>
      </c>
      <c r="AT79">
        <f>IF(RunSize_by_Stock!AT31&gt;0,(RunSize_by_Stock!AT31-Escapements!AT32)/RunSize_by_Stock!AT31,"")</f>
        <v>0.28790718560270079</v>
      </c>
      <c r="AU79">
        <f>IF(RunSize_by_Stock!AU31&gt;0,(RunSize_by_Stock!AU31-Escapements!AU32)/RunSize_by_Stock!AU31,"")</f>
        <v>0.28804347826086957</v>
      </c>
      <c r="AV79">
        <f>IF(RunSize_by_Stock!AV31&gt;0,(RunSize_by_Stock!AV31-Escapements!AV32)/RunSize_by_Stock!AV31,"")</f>
        <v>0.26912928759894461</v>
      </c>
      <c r="AW79">
        <f>IF(RunSize_by_Stock!AW31&gt;0,(RunSize_by_Stock!AW31-Escapements!AW32)/RunSize_by_Stock!AW31,"")</f>
        <v>0.21650879566982409</v>
      </c>
      <c r="AX79">
        <f>IF(RunSize_by_Stock!AX31&gt;0,(RunSize_by_Stock!AX31-Escapements!AX32)/RunSize_by_Stock!AX31,"")</f>
        <v>0.17333525928065868</v>
      </c>
      <c r="AY79">
        <f>IF(RunSize_by_Stock!AY31&gt;0,(RunSize_by_Stock!AY31-Escapements!AY32)/RunSize_by_Stock!AY31,"")</f>
        <v>0.20465432733028785</v>
      </c>
      <c r="AZ79">
        <f>IF(RunSize_by_Stock!AZ31&gt;0,(RunSize_by_Stock!AZ31-Escapements!AZ32)/RunSize_by_Stock!AZ31,"")</f>
        <v>8.0581097992273795E-2</v>
      </c>
      <c r="BA79">
        <f>IF(RunSize_by_Stock!BA31&gt;0,(RunSize_by_Stock!BA31-Escapements!BA32)/RunSize_by_Stock!BA31,"")</f>
        <v>0.33604060913705586</v>
      </c>
      <c r="BB79">
        <f>IF(RunSize_by_Stock!BB31&gt;0,(RunSize_by_Stock!BB31-Escapements!BB32)/RunSize_by_Stock!BB31,"")</f>
        <v>0.32633279483037159</v>
      </c>
      <c r="BC79">
        <f>IF(RunSize_by_Stock!BC31&gt;0,(RunSize_by_Stock!BC31-Escapements!BC32)/RunSize_by_Stock!BC31,"")</f>
        <v>0.38837516512549536</v>
      </c>
      <c r="BD79">
        <f>IF(RunSize_by_Stock!BD31&gt;0,(RunSize_by_Stock!BD31-Escapements!BD32)/RunSize_by_Stock!BD31,"")</f>
        <v>0.38784067085953877</v>
      </c>
      <c r="BE79">
        <f>IF(RunSize_by_Stock!BE31&gt;0,(RunSize_by_Stock!BE31-Escapements!BE32)/RunSize_by_Stock!BE31,"")</f>
        <v>0.3218665868979958</v>
      </c>
      <c r="BF79">
        <f>IF(RunSize_by_Stock!BF31&gt;0,(RunSize_by_Stock!BF31-Escapements!BF32)/RunSize_by_Stock!BF31,"")</f>
        <v>0.184748057517929</v>
      </c>
      <c r="BG79">
        <f>IF(RunSize_by_Stock!BG31&gt;0,(RunSize_by_Stock!BG31-Escapements!BG32)/RunSize_by_Stock!BG31,"")</f>
        <v>0.12676056338028169</v>
      </c>
      <c r="BH79">
        <f>IF(RunSize_by_Stock!BH31&gt;0,(RunSize_by_Stock!BH31-Escapements!BH32)/RunSize_by_Stock!BH31,"")</f>
        <v>0.2251655629139073</v>
      </c>
      <c r="BI79">
        <f>IF(RunSize_by_Stock!BI31&gt;0,(RunSize_by_Stock!BI31-Escapements!BI32)/RunSize_by_Stock!BI31,"")</f>
        <v>1.4311987173441478E-2</v>
      </c>
      <c r="BJ79">
        <f>IF(RunSize_by_Stock!BJ31&gt;0,(RunSize_by_Stock!BJ31-Escapements!BJ32)/RunSize_by_Stock!BJ31,"")</f>
        <v>8.5084493476928466E-2</v>
      </c>
      <c r="BK79">
        <f>IF(RunSize_by_Stock!BK31&gt;0,(RunSize_by_Stock!BK31-Escapements!BK32)/RunSize_by_Stock!BK31,"")</f>
        <v>1.9801980198019802E-2</v>
      </c>
      <c r="BL79">
        <f>IF(RunSize_by_Stock!BL31&gt;0,(RunSize_by_Stock!BL31-Escapements!BL32)/RunSize_by_Stock!BL31,"")</f>
        <v>0.28061224489795916</v>
      </c>
      <c r="BM79">
        <f>IF(RunSize_by_Stock!BM31&gt;0,(RunSize_by_Stock!BM31-Escapements!BM32)/RunSize_by_Stock!BM31,"")</f>
        <v>0.19402985074626866</v>
      </c>
      <c r="BN79">
        <f>IF(RunSize_by_Stock!BN31&gt;0,(RunSize_by_Stock!BN31-Escapements!BN32)/RunSize_by_Stock!BN31,"")</f>
        <v>0.21052631578947367</v>
      </c>
      <c r="BO79">
        <f>IF(RunSize_by_Stock!BO31&gt;0,(RunSize_by_Stock!BO31-Escapements!BO32)/RunSize_by_Stock!BO31,"")</f>
        <v>0.25</v>
      </c>
      <c r="BP79">
        <f>IF(RunSize_by_Stock!BP31&gt;0,(RunSize_by_Stock!BP31-Escapements!BP32)/RunSize_by_Stock!BP31,"")</f>
        <v>0.25806451612903225</v>
      </c>
      <c r="BQ79">
        <f>IF(RunSize_by_Stock!BQ31&gt;0,(RunSize_by_Stock!BQ31-Escapements!BQ32)/RunSize_by_Stock!BQ31,"")</f>
        <v>9.9827561022443074E-4</v>
      </c>
      <c r="BR79">
        <f>IF(RunSize_by_Stock!BR31&gt;0,(RunSize_by_Stock!BR31-Escapements!BR32)/RunSize_by_Stock!BR31,"")</f>
        <v>0.20212765957446807</v>
      </c>
      <c r="BS79">
        <f>IF(RunSize_by_Stock!BS31&gt;0,(RunSize_by_Stock!BS31-Escapements!BS32)/RunSize_by_Stock!BS31,"")</f>
        <v>9.0909090909090912E-2</v>
      </c>
      <c r="BT79">
        <f>IF(RunSize_by_Stock!BT31&gt;0,(RunSize_by_Stock!BT31-Escapements!BT32)/RunSize_by_Stock!BT31,"")</f>
        <v>0.19518377693282637</v>
      </c>
      <c r="BU79" t="str">
        <f>IF(RunSize_by_Stock!BU31&gt;0,(RunSize_by_Stock!BU31-Escapements!BU32)/RunSize_by_Stock!BU31,"")</f>
        <v/>
      </c>
      <c r="BV79">
        <f>IF(RunSize_by_Stock!BV31&gt;0,(RunSize_by_Stock!BV31-Escapements!BV32)/RunSize_by_Stock!BV31,"")</f>
        <v>0.25</v>
      </c>
      <c r="BW79">
        <f>IF(RunSize_by_Stock!BW31&gt;0,(RunSize_by_Stock!BW31-Escapements!BW32)/RunSize_by_Stock!BW31,"")</f>
        <v>0.20454545454545456</v>
      </c>
      <c r="BX79">
        <f>IF(RunSize_by_Stock!BX31&gt;0,(RunSize_by_Stock!BX31-Escapements!BX32)/RunSize_by_Stock!BX31,"")</f>
        <v>0.20324189526184538</v>
      </c>
      <c r="BY79">
        <f>IF(RunSize_by_Stock!BY31&gt;0,(RunSize_by_Stock!BY31-Escapements!BY32)/RunSize_by_Stock!BY31,"")</f>
        <v>0.2</v>
      </c>
      <c r="BZ79">
        <f>IF(RunSize_by_Stock!BZ31&gt;0,(RunSize_by_Stock!BZ31-Escapements!BZ32)/RunSize_by_Stock!BZ31,"")</f>
        <v>0.20288081206745856</v>
      </c>
      <c r="CA79">
        <f>IF(RunSize_by_Stock!CA31&gt;0,(RunSize_by_Stock!CA31-Escapements!CA32)/RunSize_by_Stock!CA31,"")</f>
        <v>0.2</v>
      </c>
      <c r="CB79">
        <f>IF(RunSize_by_Stock!CB31&gt;0,(RunSize_by_Stock!CB31-Escapements!CB32)/RunSize_by_Stock!CB31,"")</f>
        <v>8.3333333333333329E-2</v>
      </c>
      <c r="CC79" t="str">
        <f>IF(RunSize_by_Stock!CC31&gt;0,(RunSize_by_Stock!CC31-Escapements!CC32)/RunSize_by_Stock!CC31,"")</f>
        <v/>
      </c>
      <c r="CD79" t="str">
        <f>IF(RunSize_by_Stock!CD31&gt;0,(RunSize_by_Stock!CD31-Escapements!CD32)/RunSize_by_Stock!CD31,"")</f>
        <v/>
      </c>
      <c r="CE79">
        <f>IF(RunSize_by_Stock!CE31&gt;0,(RunSize_by_Stock!CE31-Escapements!CE32)/RunSize_by_Stock!CE31,"")</f>
        <v>0.17035032650270465</v>
      </c>
      <c r="CF79">
        <f>IF(RunSize_by_Stock!CF31&gt;0,(RunSize_by_Stock!CF31-Escapements!CF32)/RunSize_by_Stock!CF31,"")</f>
        <v>0.18518518518518517</v>
      </c>
      <c r="CG79">
        <f>IF(RunSize_by_Stock!CG31&gt;0,(RunSize_by_Stock!CG31-Escapements!CG32)/RunSize_by_Stock!CG31,"")</f>
        <v>0.24441274369947694</v>
      </c>
      <c r="CH79">
        <f t="shared" si="3"/>
        <v>0.232690121834215</v>
      </c>
    </row>
    <row r="80" spans="1:86" x14ac:dyDescent="0.55000000000000004">
      <c r="A80">
        <f t="shared" si="2"/>
        <v>2009</v>
      </c>
      <c r="B80">
        <f>IF(RunSize_by_Stock!B32&gt;0,(RunSize_by_Stock!B32-Escapements!B33)/RunSize_by_Stock!B32,"")</f>
        <v>0.30961182994454711</v>
      </c>
      <c r="C80">
        <f>IF(RunSize_by_Stock!C32&gt;0,(RunSize_by_Stock!C32-Escapements!C33)/RunSize_by_Stock!C32,"")</f>
        <v>0.24226327944572748</v>
      </c>
      <c r="D80">
        <f>IF(RunSize_by_Stock!D32&gt;0,(RunSize_by_Stock!D32-Escapements!D33)/RunSize_by_Stock!D32,"")</f>
        <v>0.30625000000000002</v>
      </c>
      <c r="E80">
        <f>IF(RunSize_by_Stock!E32&gt;0,(RunSize_by_Stock!E32-Escapements!E33)/RunSize_by_Stock!E32,"")</f>
        <v>0.28979591836734692</v>
      </c>
      <c r="F80">
        <f>IF(RunSize_by_Stock!F32&gt;0,(RunSize_by_Stock!F32-Escapements!F33)/RunSize_by_Stock!F32,"")</f>
        <v>0.28552760535772626</v>
      </c>
      <c r="G80">
        <f>IF(RunSize_by_Stock!G32&gt;0,(RunSize_by_Stock!G32-Escapements!G33)/RunSize_by_Stock!G32,"")</f>
        <v>0.28915662650602408</v>
      </c>
      <c r="H80">
        <f>IF(RunSize_by_Stock!H32&gt;0,(RunSize_by_Stock!H32-Escapements!H33)/RunSize_by_Stock!H32,"")</f>
        <v>0.28985507246376813</v>
      </c>
      <c r="I80">
        <f>IF(RunSize_by_Stock!I32&gt;0,(RunSize_by_Stock!I32-Escapements!I33)/RunSize_by_Stock!I32,"")</f>
        <v>0.28995433789954339</v>
      </c>
      <c r="J80">
        <f>IF(RunSize_by_Stock!J32&gt;0,(RunSize_by_Stock!J32-Escapements!J33)/RunSize_by_Stock!J32,"")</f>
        <v>0.29395900755124055</v>
      </c>
      <c r="K80">
        <f>IF(RunSize_by_Stock!K32&gt;0,(RunSize_by_Stock!K32-Escapements!K33)/RunSize_by_Stock!K32,"")</f>
        <v>0.27988338192419826</v>
      </c>
      <c r="L80">
        <f>IF(RunSize_by_Stock!L32&gt;0,(RunSize_by_Stock!L32-Escapements!L33)/RunSize_by_Stock!L32,"")</f>
        <v>0.28948319479580775</v>
      </c>
      <c r="M80">
        <f>IF(RunSize_by_Stock!M32&gt;0,(RunSize_by_Stock!M32-Escapements!M33)/RunSize_by_Stock!M32,"")</f>
        <v>0.26793432120059074</v>
      </c>
      <c r="N80">
        <f>IF(RunSize_by_Stock!N32&gt;0,(RunSize_by_Stock!N32-Escapements!N33)/RunSize_by_Stock!N32,"")</f>
        <v>0.24578084145471832</v>
      </c>
      <c r="O80">
        <f>IF(RunSize_by_Stock!O32&gt;0,(RunSize_by_Stock!O32-Escapements!O33)/RunSize_by_Stock!O32,"")</f>
        <v>0.25194567373721971</v>
      </c>
      <c r="P80">
        <f>IF(RunSize_by_Stock!P32&gt;0,(RunSize_by_Stock!P32-Escapements!P33)/RunSize_by_Stock!P32,"")</f>
        <v>0.27192845546250016</v>
      </c>
      <c r="Q80">
        <f>IF(RunSize_by_Stock!Q32&gt;0,(RunSize_by_Stock!Q32-Escapements!Q33)/RunSize_by_Stock!Q32,"")</f>
        <v>0.24205748865355523</v>
      </c>
      <c r="R80">
        <f>IF(RunSize_by_Stock!R32&gt;0,(RunSize_by_Stock!R32-Escapements!R33)/RunSize_by_Stock!R32,"")</f>
        <v>0.23695198329853862</v>
      </c>
      <c r="S80">
        <f>IF(RunSize_by_Stock!S32&gt;0,(RunSize_by_Stock!S32-Escapements!S33)/RunSize_by_Stock!S32,"")</f>
        <v>0.19965758910904563</v>
      </c>
      <c r="T80">
        <f>IF(RunSize_by_Stock!T32&gt;0,(RunSize_by_Stock!T32-Escapements!T33)/RunSize_by_Stock!T32,"")</f>
        <v>0.21721450355811589</v>
      </c>
      <c r="U80">
        <f>IF(RunSize_by_Stock!U32&gt;0,(RunSize_by_Stock!U32-Escapements!U33)/RunSize_by_Stock!U32,"")</f>
        <v>0.25</v>
      </c>
      <c r="V80">
        <f>IF(RunSize_by_Stock!V32&gt;0,(RunSize_by_Stock!V32-Escapements!V33)/RunSize_by_Stock!V32,"")</f>
        <v>0.24886877828054299</v>
      </c>
      <c r="W80">
        <f>IF(RunSize_by_Stock!W32&gt;0,(RunSize_by_Stock!W32-Escapements!W33)/RunSize_by_Stock!W32,"")</f>
        <v>0.31325301204819278</v>
      </c>
      <c r="X80">
        <f>IF(RunSize_by_Stock!X32&gt;0,(RunSize_by_Stock!X32-Escapements!X33)/RunSize_by_Stock!X32,"")</f>
        <v>0.29092208720514645</v>
      </c>
      <c r="Y80">
        <f>IF(RunSize_by_Stock!Y32&gt;0,(RunSize_by_Stock!Y32-Escapements!Y33)/RunSize_by_Stock!Y32,"")</f>
        <v>0.28856382978723405</v>
      </c>
      <c r="Z80">
        <f>IF(RunSize_by_Stock!Z32&gt;0,(RunSize_by_Stock!Z32-Escapements!Z33)/RunSize_by_Stock!Z32,"")</f>
        <v>0.2014480408858603</v>
      </c>
      <c r="AA80">
        <f>IF(RunSize_by_Stock!AA32&gt;0,(RunSize_by_Stock!AA32-Escapements!AA33)/RunSize_by_Stock!AA32,"")</f>
        <v>0.20848375451263537</v>
      </c>
      <c r="AB80">
        <f>IF(RunSize_by_Stock!AB32&gt;0,(RunSize_by_Stock!AB32-Escapements!AB33)/RunSize_by_Stock!AB32,"")</f>
        <v>0.22592592592592592</v>
      </c>
      <c r="AC80">
        <f>IF(RunSize_by_Stock!AC32&gt;0,(RunSize_by_Stock!AC32-Escapements!AC33)/RunSize_by_Stock!AC32,"")</f>
        <v>0.23381792448227215</v>
      </c>
      <c r="AD80">
        <f>IF(RunSize_by_Stock!AD32&gt;0,(RunSize_by_Stock!AD32-Escapements!AD33)/RunSize_by_Stock!AD32,"")</f>
        <v>0.3135593220338983</v>
      </c>
      <c r="AE80">
        <f>IF(RunSize_by_Stock!AE32&gt;0,(RunSize_by_Stock!AE32-Escapements!AE33)/RunSize_by_Stock!AE32,"")</f>
        <v>0.23819444444444443</v>
      </c>
      <c r="AF80">
        <f>IF(RunSize_by_Stock!AF32&gt;0,(RunSize_by_Stock!AF32-Escapements!AF33)/RunSize_by_Stock!AF32,"")</f>
        <v>0.23058496266541606</v>
      </c>
      <c r="AG80">
        <f>IF(RunSize_by_Stock!AG32&gt;0,(RunSize_by_Stock!AG32-Escapements!AG33)/RunSize_by_Stock!AG32,"")</f>
        <v>0.23602080624187255</v>
      </c>
      <c r="AH80">
        <f>IF(RunSize_by_Stock!AH32&gt;0,(RunSize_by_Stock!AH32-Escapements!AH33)/RunSize_by_Stock!AH32,"")</f>
        <v>0.96625766871165641</v>
      </c>
      <c r="AI80">
        <f>IF(RunSize_by_Stock!AI32&gt;0,(RunSize_by_Stock!AI32-Escapements!AI33)/RunSize_by_Stock!AI32,"")</f>
        <v>0.22916666666666666</v>
      </c>
      <c r="AJ80">
        <f>IF(RunSize_by_Stock!AJ32&gt;0,(RunSize_by_Stock!AJ32-Escapements!AJ33)/RunSize_by_Stock!AJ32,"")</f>
        <v>0.99857142857142855</v>
      </c>
      <c r="AK80">
        <f>IF(RunSize_by_Stock!AK32&gt;0,(RunSize_by_Stock!AK32-Escapements!AK33)/RunSize_by_Stock!AK32,"")</f>
        <v>0.19548872180451127</v>
      </c>
      <c r="AL80">
        <f>IF(RunSize_by_Stock!AL32&gt;0,(RunSize_by_Stock!AL32-Escapements!AL33)/RunSize_by_Stock!AL32,"")</f>
        <v>0.23057128152341741</v>
      </c>
      <c r="AM80">
        <f>IF(RunSize_by_Stock!AM32&gt;0,(RunSize_by_Stock!AM32-Escapements!AM33)/RunSize_by_Stock!AM32,"")</f>
        <v>0.31060606060606061</v>
      </c>
      <c r="AN80">
        <f>IF(RunSize_by_Stock!AN32&gt;0,(RunSize_by_Stock!AN32-Escapements!AN33)/RunSize_by_Stock!AN32,"")</f>
        <v>0.19502074688796681</v>
      </c>
      <c r="AO80">
        <f>IF(RunSize_by_Stock!AO32&gt;0,(RunSize_by_Stock!AO32-Escapements!AO33)/RunSize_by_Stock!AO32,"")</f>
        <v>0.19565217391304349</v>
      </c>
      <c r="AP80">
        <f>IF(RunSize_by_Stock!AP32&gt;0,(RunSize_by_Stock!AP32-Escapements!AP33)/RunSize_by_Stock!AP32,"")</f>
        <v>0.5</v>
      </c>
      <c r="AQ80">
        <f>IF(RunSize_by_Stock!AQ32&gt;0,(RunSize_by_Stock!AQ32-Escapements!AQ33)/RunSize_by_Stock!AQ32,"")</f>
        <v>0.20448795838112538</v>
      </c>
      <c r="AR80">
        <f>IF(RunSize_by_Stock!AR32&gt;0,(RunSize_by_Stock!AR32-Escapements!AR33)/RunSize_by_Stock!AR32,"")</f>
        <v>0.24324324324324326</v>
      </c>
      <c r="AS80">
        <f>IF(RunSize_by_Stock!AS32&gt;0,(RunSize_by_Stock!AS32-Escapements!AS33)/RunSize_by_Stock!AS32,"")</f>
        <v>0.3016304347826087</v>
      </c>
      <c r="AT80">
        <f>IF(RunSize_by_Stock!AT32&gt;0,(RunSize_by_Stock!AT32-Escapements!AT33)/RunSize_by_Stock!AT32,"")</f>
        <v>0.22500151781919739</v>
      </c>
      <c r="AU80">
        <f>IF(RunSize_by_Stock!AU32&gt;0,(RunSize_by_Stock!AU32-Escapements!AU33)/RunSize_by_Stock!AU32,"")</f>
        <v>0.33100233100233101</v>
      </c>
      <c r="AV80">
        <f>IF(RunSize_by_Stock!AV32&gt;0,(RunSize_by_Stock!AV32-Escapements!AV33)/RunSize_by_Stock!AV32,"")</f>
        <v>0.34008097165991902</v>
      </c>
      <c r="AW80">
        <f>IF(RunSize_by_Stock!AW32&gt;0,(RunSize_by_Stock!AW32-Escapements!AW33)/RunSize_by_Stock!AW32,"")</f>
        <v>0.19015065198126346</v>
      </c>
      <c r="AX80">
        <f>IF(RunSize_by_Stock!AX32&gt;0,(RunSize_by_Stock!AX32-Escapements!AX33)/RunSize_by_Stock!AX32,"")</f>
        <v>0.17326676500624077</v>
      </c>
      <c r="AY80">
        <f>IF(RunSize_by_Stock!AY32&gt;0,(RunSize_by_Stock!AY32-Escapements!AY33)/RunSize_by_Stock!AY32,"")</f>
        <v>0.20191387559808613</v>
      </c>
      <c r="AZ80">
        <f>IF(RunSize_by_Stock!AZ32&gt;0,(RunSize_by_Stock!AZ32-Escapements!AZ33)/RunSize_by_Stock!AZ32,"")</f>
        <v>0.16873855539971325</v>
      </c>
      <c r="BA80">
        <f>IF(RunSize_by_Stock!BA32&gt;0,(RunSize_by_Stock!BA32-Escapements!BA33)/RunSize_by_Stock!BA32,"")</f>
        <v>0.4375</v>
      </c>
      <c r="BB80">
        <f>IF(RunSize_by_Stock!BB32&gt;0,(RunSize_by_Stock!BB32-Escapements!BB33)/RunSize_by_Stock!BB32,"")</f>
        <v>0.40645161290322579</v>
      </c>
      <c r="BC80">
        <f>IF(RunSize_by_Stock!BC32&gt;0,(RunSize_by_Stock!BC32-Escapements!BC33)/RunSize_by_Stock!BC32,"")</f>
        <v>0.51219512195121952</v>
      </c>
      <c r="BD80">
        <f>IF(RunSize_by_Stock!BD32&gt;0,(RunSize_by_Stock!BD32-Escapements!BD33)/RunSize_by_Stock!BD32,"")</f>
        <v>0.51262135922330099</v>
      </c>
      <c r="BE80">
        <f>IF(RunSize_by_Stock!BE32&gt;0,(RunSize_by_Stock!BE32-Escapements!BE33)/RunSize_by_Stock!BE32,"")</f>
        <v>0.39599651871192343</v>
      </c>
      <c r="BF80">
        <f>IF(RunSize_by_Stock!BF32&gt;0,(RunSize_by_Stock!BF32-Escapements!BF33)/RunSize_by_Stock!BF32,"")</f>
        <v>0.22727272727272727</v>
      </c>
      <c r="BG80">
        <f>IF(RunSize_by_Stock!BG32&gt;0,(RunSize_by_Stock!BG32-Escapements!BG33)/RunSize_by_Stock!BG32,"")</f>
        <v>0.11885245901639344</v>
      </c>
      <c r="BH80">
        <f>IF(RunSize_by_Stock!BH32&gt;0,(RunSize_by_Stock!BH32-Escapements!BH33)/RunSize_by_Stock!BH32,"")</f>
        <v>0.24791418355184744</v>
      </c>
      <c r="BI80">
        <f>IF(RunSize_by_Stock!BI32&gt;0,(RunSize_by_Stock!BI32-Escapements!BI33)/RunSize_by_Stock!BI32,"")</f>
        <v>2.2802797513938905E-2</v>
      </c>
      <c r="BJ80">
        <f>IF(RunSize_by_Stock!BJ32&gt;0,(RunSize_by_Stock!BJ32-Escapements!BJ33)/RunSize_by_Stock!BJ32,"")</f>
        <v>0.27710613993336508</v>
      </c>
      <c r="BK80">
        <f>IF(RunSize_by_Stock!BK32&gt;0,(RunSize_by_Stock!BK32-Escapements!BK33)/RunSize_by_Stock!BK32,"")</f>
        <v>4.5454545454545456E-2</v>
      </c>
      <c r="BL80">
        <f>IF(RunSize_by_Stock!BL32&gt;0,(RunSize_by_Stock!BL32-Escapements!BL33)/RunSize_by_Stock!BL32,"")</f>
        <v>0.30769230769230771</v>
      </c>
      <c r="BM80">
        <f>IF(RunSize_by_Stock!BM32&gt;0,(RunSize_by_Stock!BM32-Escapements!BM33)/RunSize_by_Stock!BM32,"")</f>
        <v>0.22727272727272727</v>
      </c>
      <c r="BN80">
        <f>IF(RunSize_by_Stock!BN32&gt;0,(RunSize_by_Stock!BN32-Escapements!BN33)/RunSize_by_Stock!BN32,"")</f>
        <v>0.19801980198019803</v>
      </c>
      <c r="BO80">
        <f>IF(RunSize_by_Stock!BO32&gt;0,(RunSize_by_Stock!BO32-Escapements!BO33)/RunSize_by_Stock!BO32,"")</f>
        <v>0.34168315398081378</v>
      </c>
      <c r="BP80">
        <f>IF(RunSize_by_Stock!BP32&gt;0,(RunSize_by_Stock!BP32-Escapements!BP33)/RunSize_by_Stock!BP32,"")</f>
        <v>0.33333333333333331</v>
      </c>
      <c r="BQ80">
        <f>IF(RunSize_by_Stock!BQ32&gt;0,(RunSize_by_Stock!BQ32-Escapements!BQ33)/RunSize_by_Stock!BQ32,"")</f>
        <v>3.9840637450199202E-3</v>
      </c>
      <c r="BR80">
        <f>IF(RunSize_by_Stock!BR32&gt;0,(RunSize_by_Stock!BR32-Escapements!BR33)/RunSize_by_Stock!BR32,"")</f>
        <v>0.2896986746806629</v>
      </c>
      <c r="BS80">
        <f>IF(RunSize_by_Stock!BS32&gt;0,(RunSize_by_Stock!BS32-Escapements!BS33)/RunSize_by_Stock!BS32,"")</f>
        <v>9.5238095238095233E-2</v>
      </c>
      <c r="BT80">
        <f>IF(RunSize_by_Stock!BT32&gt;0,(RunSize_by_Stock!BT32-Escapements!BT33)/RunSize_by_Stock!BT32,"")</f>
        <v>0.20665499124343256</v>
      </c>
      <c r="BU80">
        <f>IF(RunSize_by_Stock!BU32&gt;0,(RunSize_by_Stock!BU32-Escapements!BU33)/RunSize_by_Stock!BU32,"")</f>
        <v>0.11581893366634947</v>
      </c>
      <c r="BV80">
        <f>IF(RunSize_by_Stock!BV32&gt;0,(RunSize_by_Stock!BV32-Escapements!BV33)/RunSize_by_Stock!BV32,"")</f>
        <v>0.28925619834710742</v>
      </c>
      <c r="BW80">
        <f>IF(RunSize_by_Stock!BW32&gt;0,(RunSize_by_Stock!BW32-Escapements!BW33)/RunSize_by_Stock!BW32,"")</f>
        <v>0.21739130434782608</v>
      </c>
      <c r="BX80">
        <f>IF(RunSize_by_Stock!BX32&gt;0,(RunSize_by_Stock!BX32-Escapements!BX33)/RunSize_by_Stock!BX32,"")</f>
        <v>0.20253164556962025</v>
      </c>
      <c r="BY80">
        <f>IF(RunSize_by_Stock!BY32&gt;0,(RunSize_by_Stock!BY32-Escapements!BY33)/RunSize_by_Stock!BY32,"")</f>
        <v>0.28959161927835564</v>
      </c>
      <c r="BZ80">
        <f>IF(RunSize_by_Stock!BZ32&gt;0,(RunSize_by_Stock!BZ32-Escapements!BZ33)/RunSize_by_Stock!BZ32,"")</f>
        <v>0.28881987577639751</v>
      </c>
      <c r="CA80">
        <f>IF(RunSize_by_Stock!CA32&gt;0,(RunSize_by_Stock!CA32-Escapements!CA33)/RunSize_by_Stock!CA32,"")</f>
        <v>0.19354838709677419</v>
      </c>
      <c r="CB80">
        <f>IF(RunSize_by_Stock!CB32&gt;0,(RunSize_by_Stock!CB32-Escapements!CB33)/RunSize_by_Stock!CB32,"")</f>
        <v>0.10586787234382573</v>
      </c>
      <c r="CC80">
        <f>IF(RunSize_by_Stock!CC32&gt;0,(RunSize_by_Stock!CC32-Escapements!CC33)/RunSize_by_Stock!CC32,"")</f>
        <v>0.23076923076923078</v>
      </c>
      <c r="CD80" t="str">
        <f>IF(RunSize_by_Stock!CD32&gt;0,(RunSize_by_Stock!CD32-Escapements!CD33)/RunSize_by_Stock!CD32,"")</f>
        <v/>
      </c>
      <c r="CE80">
        <f>IF(RunSize_by_Stock!CE32&gt;0,(RunSize_by_Stock!CE32-Escapements!CE33)/RunSize_by_Stock!CE32,"")</f>
        <v>0.16666666666666666</v>
      </c>
      <c r="CF80">
        <f>IF(RunSize_by_Stock!CF32&gt;0,(RunSize_by_Stock!CF32-Escapements!CF33)/RunSize_by_Stock!CF32,"")</f>
        <v>0.25</v>
      </c>
      <c r="CG80">
        <f>IF(RunSize_by_Stock!CG32&gt;0,(RunSize_by_Stock!CG32-Escapements!CG33)/RunSize_by_Stock!CG32,"")</f>
        <v>0.26150039793478369</v>
      </c>
      <c r="CH80">
        <f t="shared" si="3"/>
        <v>0.26987002167829111</v>
      </c>
    </row>
    <row r="81" spans="1:86" x14ac:dyDescent="0.55000000000000004">
      <c r="A81">
        <f t="shared" si="2"/>
        <v>2010</v>
      </c>
      <c r="B81">
        <f>IF(RunSize_by_Stock!B33&gt;0,(RunSize_by_Stock!B33-Escapements!B34)/RunSize_by_Stock!B33,"")</f>
        <v>0.16371681415929204</v>
      </c>
      <c r="C81">
        <f>IF(RunSize_by_Stock!C33&gt;0,(RunSize_by_Stock!C33-Escapements!C34)/RunSize_by_Stock!C33,"")</f>
        <v>0.18699186991869918</v>
      </c>
      <c r="D81">
        <f>IF(RunSize_by_Stock!D33&gt;0,(RunSize_by_Stock!D33-Escapements!D34)/RunSize_by_Stock!D33,"")</f>
        <v>0.16049382716049382</v>
      </c>
      <c r="E81">
        <f>IF(RunSize_by_Stock!E33&gt;0,(RunSize_by_Stock!E33-Escapements!E34)/RunSize_by_Stock!E33,"")</f>
        <v>0.17142857142857143</v>
      </c>
      <c r="F81">
        <f>IF(RunSize_by_Stock!F33&gt;0,(RunSize_by_Stock!F33-Escapements!F34)/RunSize_by_Stock!F33,"")</f>
        <v>0.17829457364341086</v>
      </c>
      <c r="G81">
        <f>IF(RunSize_by_Stock!G33&gt;0,(RunSize_by_Stock!G33-Escapements!G34)/RunSize_by_Stock!G33,"")</f>
        <v>0.17142857142857143</v>
      </c>
      <c r="H81">
        <f>IF(RunSize_by_Stock!H33&gt;0,(RunSize_by_Stock!H33-Escapements!H34)/RunSize_by_Stock!H33,"")</f>
        <v>0.17857142857142858</v>
      </c>
      <c r="I81">
        <f>IF(RunSize_by_Stock!I33&gt;0,(RunSize_by_Stock!I33-Escapements!I34)/RunSize_by_Stock!I33,"")</f>
        <v>0.17582417582417584</v>
      </c>
      <c r="J81">
        <f>IF(RunSize_by_Stock!J33&gt;0,(RunSize_by_Stock!J33-Escapements!J34)/RunSize_by_Stock!J33,"")</f>
        <v>0.1718213058419244</v>
      </c>
      <c r="K81">
        <f>IF(RunSize_by_Stock!K33&gt;0,(RunSize_by_Stock!K33-Escapements!K34)/RunSize_by_Stock!K33,"")</f>
        <v>0.17582417582417584</v>
      </c>
      <c r="L81">
        <f>IF(RunSize_by_Stock!L33&gt;0,(RunSize_by_Stock!L33-Escapements!L34)/RunSize_by_Stock!L33,"")</f>
        <v>0.17502278942570648</v>
      </c>
      <c r="M81">
        <f>IF(RunSize_by_Stock!M33&gt;0,(RunSize_by_Stock!M33-Escapements!M34)/RunSize_by_Stock!M33,"")</f>
        <v>0.18466212624063244</v>
      </c>
      <c r="N81">
        <f>IF(RunSize_by_Stock!N33&gt;0,(RunSize_by_Stock!N33-Escapements!N34)/RunSize_by_Stock!N33,"")</f>
        <v>0.18746533555185801</v>
      </c>
      <c r="O81">
        <f>IF(RunSize_by_Stock!O33&gt;0,(RunSize_by_Stock!O33-Escapements!O34)/RunSize_by_Stock!O33,"")</f>
        <v>0.19527559055118121</v>
      </c>
      <c r="P81">
        <f>IF(RunSize_by_Stock!P33&gt;0,(RunSize_by_Stock!P33-Escapements!P34)/RunSize_by_Stock!P33,"")</f>
        <v>0.18201390771713963</v>
      </c>
      <c r="Q81">
        <f>IF(RunSize_by_Stock!Q33&gt;0,(RunSize_by_Stock!Q33-Escapements!Q34)/RunSize_by_Stock!Q33,"")</f>
        <v>0.18702832630242158</v>
      </c>
      <c r="R81">
        <f>IF(RunSize_by_Stock!R33&gt;0,(RunSize_by_Stock!R33-Escapements!R34)/RunSize_by_Stock!R33,"")</f>
        <v>0.1830238726790451</v>
      </c>
      <c r="S81">
        <f>IF(RunSize_by_Stock!S33&gt;0,(RunSize_by_Stock!S33-Escapements!S34)/RunSize_by_Stock!S33,"")</f>
        <v>0.11442883361970546</v>
      </c>
      <c r="T81">
        <f>IF(RunSize_by_Stock!T33&gt;0,(RunSize_by_Stock!T33-Escapements!T34)/RunSize_by_Stock!T33,"")</f>
        <v>0.14555788953416532</v>
      </c>
      <c r="U81">
        <f>IF(RunSize_by_Stock!U33&gt;0,(RunSize_by_Stock!U33-Escapements!U34)/RunSize_by_Stock!U33,"")</f>
        <v>0.125</v>
      </c>
      <c r="V81">
        <f>IF(RunSize_by_Stock!V33&gt;0,(RunSize_by_Stock!V33-Escapements!V34)/RunSize_by_Stock!V33,"")</f>
        <v>0.19174041297935104</v>
      </c>
      <c r="W81">
        <f>IF(RunSize_by_Stock!W33&gt;0,(RunSize_by_Stock!W33-Escapements!W34)/RunSize_by_Stock!W33,"")</f>
        <v>2.1505376344086023E-2</v>
      </c>
      <c r="X81">
        <f>IF(RunSize_by_Stock!X33&gt;0,(RunSize_by_Stock!X33-Escapements!X34)/RunSize_by_Stock!X33,"")</f>
        <v>0.12587904360056243</v>
      </c>
      <c r="Y81">
        <f>IF(RunSize_by_Stock!Y33&gt;0,(RunSize_by_Stock!Y33-Escapements!Y34)/RunSize_by_Stock!Y33,"")</f>
        <v>2.5730994152046785E-2</v>
      </c>
      <c r="Z81">
        <f>IF(RunSize_by_Stock!Z33&gt;0,(RunSize_by_Stock!Z33-Escapements!Z34)/RunSize_by_Stock!Z33,"")</f>
        <v>0.14396456256921372</v>
      </c>
      <c r="AA81">
        <f>IF(RunSize_by_Stock!AA33&gt;0,(RunSize_by_Stock!AA33-Escapements!AA34)/RunSize_by_Stock!AA33,"")</f>
        <v>0.12615384615384614</v>
      </c>
      <c r="AB81">
        <f>IF(RunSize_by_Stock!AB33&gt;0,(RunSize_by_Stock!AB33-Escapements!AB34)/RunSize_by_Stock!AB33,"")</f>
        <v>0.16549295774647887</v>
      </c>
      <c r="AC81">
        <f>IF(RunSize_by_Stock!AC33&gt;0,(RunSize_by_Stock!AC33-Escapements!AC34)/RunSize_by_Stock!AC33,"")</f>
        <v>0.17701351499835183</v>
      </c>
      <c r="AD81">
        <f>IF(RunSize_by_Stock!AD33&gt;0,(RunSize_by_Stock!AD33-Escapements!AD34)/RunSize_by_Stock!AD33,"")</f>
        <v>1.7241379310344827E-2</v>
      </c>
      <c r="AE81">
        <f>IF(RunSize_by_Stock!AE33&gt;0,(RunSize_by_Stock!AE33-Escapements!AE34)/RunSize_by_Stock!AE33,"")</f>
        <v>0.18537218030772201</v>
      </c>
      <c r="AF81">
        <f>IF(RunSize_by_Stock!AF33&gt;0,(RunSize_by_Stock!AF33-Escapements!AF34)/RunSize_by_Stock!AF33,"")</f>
        <v>0.16985462892119357</v>
      </c>
      <c r="AG81">
        <f>IF(RunSize_by_Stock!AG33&gt;0,(RunSize_by_Stock!AG33-Escapements!AG34)/RunSize_by_Stock!AG33,"")</f>
        <v>0.17503805175038051</v>
      </c>
      <c r="AH81">
        <f>IF(RunSize_by_Stock!AH33&gt;0,(RunSize_by_Stock!AH33-Escapements!AH34)/RunSize_by_Stock!AH33,"")</f>
        <v>0.39285714285714285</v>
      </c>
      <c r="AI81">
        <f>IF(RunSize_by_Stock!AI33&gt;0,(RunSize_by_Stock!AI33-Escapements!AI34)/RunSize_by_Stock!AI33,"")</f>
        <v>3.1496062992125984E-2</v>
      </c>
      <c r="AJ81">
        <f>IF(RunSize_by_Stock!AJ33&gt;0,(RunSize_by_Stock!AJ33-Escapements!AJ34)/RunSize_by_Stock!AJ33,"")</f>
        <v>1</v>
      </c>
      <c r="AK81">
        <f>IF(RunSize_by_Stock!AK33&gt;0,(RunSize_by_Stock!AK33-Escapements!AK34)/RunSize_by_Stock!AK33,"")</f>
        <v>0.14285714285714285</v>
      </c>
      <c r="AL81">
        <f>IF(RunSize_by_Stock!AL33&gt;0,(RunSize_by_Stock!AL33-Escapements!AL34)/RunSize_by_Stock!AL33,"")</f>
        <v>0.15813598166539344</v>
      </c>
      <c r="AM81">
        <f>IF(RunSize_by_Stock!AM33&gt;0,(RunSize_by_Stock!AM33-Escapements!AM34)/RunSize_by_Stock!AM33,"")</f>
        <v>0.2</v>
      </c>
      <c r="AN81">
        <f>IF(RunSize_by_Stock!AN33&gt;0,(RunSize_by_Stock!AN33-Escapements!AN34)/RunSize_by_Stock!AN33,"")</f>
        <v>0.12328767123287671</v>
      </c>
      <c r="AO81">
        <f>IF(RunSize_by_Stock!AO33&gt;0,(RunSize_by_Stock!AO33-Escapements!AO34)/RunSize_by_Stock!AO33,"")</f>
        <v>0.12</v>
      </c>
      <c r="AP81">
        <f>IF(RunSize_by_Stock!AP33&gt;0,(RunSize_by_Stock!AP33-Escapements!AP34)/RunSize_by_Stock!AP33,"")</f>
        <v>7.2289156626506021E-2</v>
      </c>
      <c r="AQ81">
        <f>IF(RunSize_by_Stock!AQ33&gt;0,(RunSize_by_Stock!AQ33-Escapements!AQ34)/RunSize_by_Stock!AQ33,"")</f>
        <v>0.14705882352941177</v>
      </c>
      <c r="AR81">
        <f>IF(RunSize_by_Stock!AR33&gt;0,(RunSize_by_Stock!AR33-Escapements!AR34)/RunSize_by_Stock!AR33,"")</f>
        <v>0.16872427983539096</v>
      </c>
      <c r="AS81">
        <f>IF(RunSize_by_Stock!AS33&gt;0,(RunSize_by_Stock!AS33-Escapements!AS34)/RunSize_by_Stock!AS33,"")</f>
        <v>0.21167770759513171</v>
      </c>
      <c r="AT81">
        <f>IF(RunSize_by_Stock!AT33&gt;0,(RunSize_by_Stock!AT33-Escapements!AT34)/RunSize_by_Stock!AT33,"")</f>
        <v>0.132024160379069</v>
      </c>
      <c r="AU81">
        <f>IF(RunSize_by_Stock!AU33&gt;0,(RunSize_by_Stock!AU33-Escapements!AU34)/RunSize_by_Stock!AU33,"")</f>
        <v>0.21943430656934307</v>
      </c>
      <c r="AV81">
        <f>IF(RunSize_by_Stock!AV33&gt;0,(RunSize_by_Stock!AV33-Escapements!AV34)/RunSize_by_Stock!AV33,"")</f>
        <v>0.23776223776223776</v>
      </c>
      <c r="AW81">
        <f>IF(RunSize_by_Stock!AW33&gt;0,(RunSize_by_Stock!AW33-Escapements!AW34)/RunSize_by_Stock!AW33,"")</f>
        <v>0.12393780509853553</v>
      </c>
      <c r="AX81">
        <f>IF(RunSize_by_Stock!AX33&gt;0,(RunSize_by_Stock!AX33-Escapements!AX34)/RunSize_by_Stock!AX33,"")</f>
        <v>0.12486824537980465</v>
      </c>
      <c r="AY81">
        <f>IF(RunSize_by_Stock!AY33&gt;0,(RunSize_by_Stock!AY33-Escapements!AY34)/RunSize_by_Stock!AY33,"")</f>
        <v>0.13896326208137647</v>
      </c>
      <c r="AZ81">
        <f>IF(RunSize_by_Stock!AZ33&gt;0,(RunSize_by_Stock!AZ33-Escapements!AZ34)/RunSize_by_Stock!AZ33,"")</f>
        <v>7.9339601008942898E-2</v>
      </c>
      <c r="BA81">
        <f>IF(RunSize_by_Stock!BA33&gt;0,(RunSize_by_Stock!BA33-Escapements!BA34)/RunSize_by_Stock!BA33,"")</f>
        <v>0.2</v>
      </c>
      <c r="BB81">
        <f>IF(RunSize_by_Stock!BB33&gt;0,(RunSize_by_Stock!BB33-Escapements!BB34)/RunSize_by_Stock!BB33,"")</f>
        <v>0.33863449410474361</v>
      </c>
      <c r="BC81">
        <f>IF(RunSize_by_Stock!BC33&gt;0,(RunSize_by_Stock!BC33-Escapements!BC34)/RunSize_by_Stock!BC33,"")</f>
        <v>6.1797752808988762E-2</v>
      </c>
      <c r="BD81">
        <f>IF(RunSize_by_Stock!BD33&gt;0,(RunSize_by_Stock!BD33-Escapements!BD34)/RunSize_by_Stock!BD33,"")</f>
        <v>6.2271062271062272E-2</v>
      </c>
      <c r="BE81">
        <f>IF(RunSize_by_Stock!BE33&gt;0,(RunSize_by_Stock!BE33-Escapements!BE34)/RunSize_by_Stock!BE33,"")</f>
        <v>0.22636922636922638</v>
      </c>
      <c r="BF81">
        <f>IF(RunSize_by_Stock!BF33&gt;0,(RunSize_by_Stock!BF33-Escapements!BF34)/RunSize_by_Stock!BF33,"")</f>
        <v>0</v>
      </c>
      <c r="BG81">
        <f>IF(RunSize_by_Stock!BG33&gt;0,(RunSize_by_Stock!BG33-Escapements!BG34)/RunSize_by_Stock!BG33,"")</f>
        <v>8.0476900149031291E-2</v>
      </c>
      <c r="BH81">
        <f>IF(RunSize_by_Stock!BH33&gt;0,(RunSize_by_Stock!BH33-Escapements!BH34)/RunSize_by_Stock!BH33,"")</f>
        <v>0.24113829256115826</v>
      </c>
      <c r="BI81">
        <f>IF(RunSize_by_Stock!BI33&gt;0,(RunSize_by_Stock!BI33-Escapements!BI34)/RunSize_by_Stock!BI33,"")</f>
        <v>7.5421133231240427E-3</v>
      </c>
      <c r="BJ81">
        <f>IF(RunSize_by_Stock!BJ33&gt;0,(RunSize_by_Stock!BJ33-Escapements!BJ34)/RunSize_by_Stock!BJ33,"")</f>
        <v>8.4301046145512412E-2</v>
      </c>
      <c r="BK81">
        <f>IF(RunSize_by_Stock!BK33&gt;0,(RunSize_by_Stock!BK33-Escapements!BK34)/RunSize_by_Stock!BK33,"")</f>
        <v>2.2988505747126436E-2</v>
      </c>
      <c r="BL81">
        <f>IF(RunSize_by_Stock!BL33&gt;0,(RunSize_by_Stock!BL33-Escapements!BL34)/RunSize_by_Stock!BL33,"")</f>
        <v>0.20418848167539266</v>
      </c>
      <c r="BM81">
        <f>IF(RunSize_by_Stock!BM33&gt;0,(RunSize_by_Stock!BM33-Escapements!BM34)/RunSize_by_Stock!BM33,"")</f>
        <v>0.15</v>
      </c>
      <c r="BN81">
        <f>IF(RunSize_by_Stock!BN33&gt;0,(RunSize_by_Stock!BN33-Escapements!BN34)/RunSize_by_Stock!BN33,"")</f>
        <v>9.8360655737704916E-2</v>
      </c>
      <c r="BO81">
        <f>IF(RunSize_by_Stock!BO33&gt;0,(RunSize_by_Stock!BO33-Escapements!BO34)/RunSize_by_Stock!BO33,"")</f>
        <v>0.23333333333333334</v>
      </c>
      <c r="BP81">
        <f>IF(RunSize_by_Stock!BP33&gt;0,(RunSize_by_Stock!BP33-Escapements!BP34)/RunSize_by_Stock!BP33,"")</f>
        <v>0.24324324324324326</v>
      </c>
      <c r="BQ81">
        <f>IF(RunSize_by_Stock!BQ33&gt;0,(RunSize_by_Stock!BQ33-Escapements!BQ34)/RunSize_by_Stock!BQ33,"")</f>
        <v>3.9840637450199202E-3</v>
      </c>
      <c r="BR81">
        <f>IF(RunSize_by_Stock!BR33&gt;0,(RunSize_by_Stock!BR33-Escapements!BR34)/RunSize_by_Stock!BR33,"")</f>
        <v>2.4152460660230048E-2</v>
      </c>
      <c r="BS81">
        <f>IF(RunSize_by_Stock!BS33&gt;0,(RunSize_by_Stock!BS33-Escapements!BS34)/RunSize_by_Stock!BS33,"")</f>
        <v>5.8823529411764705E-2</v>
      </c>
      <c r="BT81">
        <f>IF(RunSize_by_Stock!BT33&gt;0,(RunSize_by_Stock!BT33-Escapements!BT34)/RunSize_by_Stock!BT33,"")</f>
        <v>0.13935276367096486</v>
      </c>
      <c r="BU81">
        <f>IF(RunSize_by_Stock!BU33&gt;0,(RunSize_by_Stock!BU33-Escapements!BU34)/RunSize_by_Stock!BU33,"")</f>
        <v>2.8056260915569987E-2</v>
      </c>
      <c r="BV81">
        <f>IF(RunSize_by_Stock!BV33&gt;0,(RunSize_by_Stock!BV33-Escapements!BV34)/RunSize_by_Stock!BV33,"")</f>
        <v>0.17647058823529413</v>
      </c>
      <c r="BW81" t="str">
        <f>IF(RunSize_by_Stock!BW33&gt;0,(RunSize_by_Stock!BW33-Escapements!BW34)/RunSize_by_Stock!BW33,"")</f>
        <v/>
      </c>
      <c r="BX81">
        <f>IF(RunSize_by_Stock!BX33&gt;0,(RunSize_by_Stock!BX33-Escapements!BX34)/RunSize_by_Stock!BX33,"")</f>
        <v>0.1245136186770428</v>
      </c>
      <c r="BY81">
        <f>IF(RunSize_by_Stock!BY33&gt;0,(RunSize_by_Stock!BY33-Escapements!BY34)/RunSize_by_Stock!BY33,"")</f>
        <v>2.8441721756254878E-2</v>
      </c>
      <c r="BZ81">
        <f>IF(RunSize_by_Stock!BZ33&gt;0,(RunSize_by_Stock!BZ33-Escapements!BZ34)/RunSize_by_Stock!BZ33,"")</f>
        <v>2.5458049500611916E-2</v>
      </c>
      <c r="CA81">
        <f>IF(RunSize_by_Stock!CA33&gt;0,(RunSize_by_Stock!CA33-Escapements!CA34)/RunSize_by_Stock!CA33,"")</f>
        <v>0.1</v>
      </c>
      <c r="CB81">
        <f>IF(RunSize_by_Stock!CB33&gt;0,(RunSize_by_Stock!CB33-Escapements!CB34)/RunSize_by_Stock!CB33,"")</f>
        <v>4.2319586227081471E-2</v>
      </c>
      <c r="CC81">
        <f>IF(RunSize_by_Stock!CC33&gt;0,(RunSize_by_Stock!CC33-Escapements!CC34)/RunSize_by_Stock!CC33,"")</f>
        <v>0</v>
      </c>
      <c r="CD81" t="str">
        <f>IF(RunSize_by_Stock!CD33&gt;0,(RunSize_by_Stock!CD33-Escapements!CD34)/RunSize_by_Stock!CD33,"")</f>
        <v/>
      </c>
      <c r="CE81">
        <f>IF(RunSize_by_Stock!CE33&gt;0,(RunSize_by_Stock!CE33-Escapements!CE34)/RunSize_by_Stock!CE33,"")</f>
        <v>0.16666666666666666</v>
      </c>
      <c r="CF81" t="str">
        <f>IF(RunSize_by_Stock!CF33&gt;0,(RunSize_by_Stock!CF33-Escapements!CF34)/RunSize_by_Stock!CF33,"")</f>
        <v/>
      </c>
      <c r="CG81">
        <f>IF(RunSize_by_Stock!CG33&gt;0,(RunSize_by_Stock!CG33-Escapements!CG34)/RunSize_by_Stock!CG33,"")</f>
        <v>0.22674777193320428</v>
      </c>
      <c r="CH81">
        <f t="shared" si="3"/>
        <v>0.15016304580982673</v>
      </c>
    </row>
    <row r="82" spans="1:86" x14ac:dyDescent="0.55000000000000004">
      <c r="A82">
        <f t="shared" si="2"/>
        <v>2011</v>
      </c>
      <c r="B82">
        <f>IF(RunSize_by_Stock!B34&gt;0,(RunSize_by_Stock!B34-Escapements!B35)/RunSize_by_Stock!B34,"")</f>
        <v>0.14788732394366197</v>
      </c>
      <c r="C82">
        <f>IF(RunSize_by_Stock!C34&gt;0,(RunSize_by_Stock!C34-Escapements!C35)/RunSize_by_Stock!C34,"")</f>
        <v>0.24964131994261118</v>
      </c>
      <c r="D82">
        <f>IF(RunSize_by_Stock!D34&gt;0,(RunSize_by_Stock!D34-Escapements!D35)/RunSize_by_Stock!D34,"")</f>
        <v>0.14035087719298245</v>
      </c>
      <c r="E82">
        <f>IF(RunSize_by_Stock!E34&gt;0,(RunSize_by_Stock!E34-Escapements!E35)/RunSize_by_Stock!E34,"")</f>
        <v>0.1650485436893204</v>
      </c>
      <c r="F82">
        <f>IF(RunSize_by_Stock!F34&gt;0,(RunSize_by_Stock!F34-Escapements!F35)/RunSize_by_Stock!F34,"")</f>
        <v>0.17485265225933203</v>
      </c>
      <c r="G82">
        <f>IF(RunSize_by_Stock!G34&gt;0,(RunSize_by_Stock!G34-Escapements!G35)/RunSize_by_Stock!G34,"")</f>
        <v>0.16666666666666666</v>
      </c>
      <c r="H82">
        <f>IF(RunSize_by_Stock!H34&gt;0,(RunSize_by_Stock!H34-Escapements!H35)/RunSize_by_Stock!H34,"")</f>
        <v>0.15</v>
      </c>
      <c r="I82">
        <f>IF(RunSize_by_Stock!I34&gt;0,(RunSize_by_Stock!I34-Escapements!I35)/RunSize_by_Stock!I34,"")</f>
        <v>0.16666666666666666</v>
      </c>
      <c r="J82">
        <f>IF(RunSize_by_Stock!J34&gt;0,(RunSize_by_Stock!J34-Escapements!J35)/RunSize_by_Stock!J34,"")</f>
        <v>0.16470588235294117</v>
      </c>
      <c r="K82">
        <f>IF(RunSize_by_Stock!K34&gt;0,(RunSize_by_Stock!K34-Escapements!K35)/RunSize_by_Stock!K34,"")</f>
        <v>0.17525773195876287</v>
      </c>
      <c r="L82">
        <f>IF(RunSize_by_Stock!L34&gt;0,(RunSize_by_Stock!L34-Escapements!L35)/RunSize_by_Stock!L34,"")</f>
        <v>0.16904761904761906</v>
      </c>
      <c r="M82">
        <f>IF(RunSize_by_Stock!M34&gt;0,(RunSize_by_Stock!M34-Escapements!M35)/RunSize_by_Stock!M34,"")</f>
        <v>0.1932290393561098</v>
      </c>
      <c r="N82">
        <f>IF(RunSize_by_Stock!N34&gt;0,(RunSize_by_Stock!N34-Escapements!N35)/RunSize_by_Stock!N34,"")</f>
        <v>0.23849765258215963</v>
      </c>
      <c r="O82">
        <f>IF(RunSize_by_Stock!O34&gt;0,(RunSize_by_Stock!O34-Escapements!O35)/RunSize_by_Stock!O34,"")</f>
        <v>0.25204483489851576</v>
      </c>
      <c r="P82">
        <f>IF(RunSize_by_Stock!P34&gt;0,(RunSize_by_Stock!P34-Escapements!P35)/RunSize_by_Stock!P34,"")</f>
        <v>0.19006049152021443</v>
      </c>
      <c r="Q82">
        <f>IF(RunSize_by_Stock!Q34&gt;0,(RunSize_by_Stock!Q34-Escapements!Q35)/RunSize_by_Stock!Q34,"")</f>
        <v>0.24943052391799544</v>
      </c>
      <c r="R82">
        <f>IF(RunSize_by_Stock!R34&gt;0,(RunSize_by_Stock!R34-Escapements!R35)/RunSize_by_Stock!R34,"")</f>
        <v>0.27698863636363635</v>
      </c>
      <c r="S82">
        <f>IF(RunSize_by_Stock!S34&gt;0,(RunSize_by_Stock!S34-Escapements!S35)/RunSize_by_Stock!S34,"")</f>
        <v>0.35450553533900442</v>
      </c>
      <c r="T82">
        <f>IF(RunSize_by_Stock!T34&gt;0,(RunSize_by_Stock!T34-Escapements!T35)/RunSize_by_Stock!T34,"")</f>
        <v>0.34272300469483569</v>
      </c>
      <c r="U82">
        <f>IF(RunSize_by_Stock!U34&gt;0,(RunSize_by_Stock!U34-Escapements!U35)/RunSize_by_Stock!U34,"")</f>
        <v>0.4</v>
      </c>
      <c r="V82">
        <f>IF(RunSize_by_Stock!V34&gt;0,(RunSize_by_Stock!V34-Escapements!V35)/RunSize_by_Stock!V34,"")</f>
        <v>0.22448979591836735</v>
      </c>
      <c r="W82">
        <f>IF(RunSize_by_Stock!W34&gt;0,(RunSize_by_Stock!W34-Escapements!W35)/RunSize_by_Stock!W34,"")</f>
        <v>3.0303030303030304E-2</v>
      </c>
      <c r="X82">
        <f>IF(RunSize_by_Stock!X34&gt;0,(RunSize_by_Stock!X34-Escapements!X35)/RunSize_by_Stock!X34,"")</f>
        <v>0.15416238437821159</v>
      </c>
      <c r="Y82">
        <f>IF(RunSize_by_Stock!Y34&gt;0,(RunSize_by_Stock!Y34-Escapements!Y35)/RunSize_by_Stock!Y34,"")</f>
        <v>2.8423772609819122E-2</v>
      </c>
      <c r="Z82">
        <f>IF(RunSize_by_Stock!Z34&gt;0,(RunSize_by_Stock!Z34-Escapements!Z35)/RunSize_by_Stock!Z34,"")</f>
        <v>0.28955223880597014</v>
      </c>
      <c r="AA82">
        <f>IF(RunSize_by_Stock!AA34&gt;0,(RunSize_by_Stock!AA34-Escapements!AA35)/RunSize_by_Stock!AA34,"")</f>
        <v>0.33114754098360655</v>
      </c>
      <c r="AB82">
        <f>IF(RunSize_by_Stock!AB34&gt;0,(RunSize_by_Stock!AB34-Escapements!AB35)/RunSize_by_Stock!AB34,"")</f>
        <v>0.30582524271844658</v>
      </c>
      <c r="AC82">
        <f>IF(RunSize_by_Stock!AC34&gt;0,(RunSize_by_Stock!AC34-Escapements!AC35)/RunSize_by_Stock!AC34,"")</f>
        <v>0.28036341818805177</v>
      </c>
      <c r="AD82">
        <f>IF(RunSize_by_Stock!AD34&gt;0,(RunSize_by_Stock!AD34-Escapements!AD35)/RunSize_by_Stock!AD34,"")</f>
        <v>2.9411764705882353E-2</v>
      </c>
      <c r="AE82">
        <f>IF(RunSize_by_Stock!AE34&gt;0,(RunSize_by_Stock!AE34-Escapements!AE35)/RunSize_by_Stock!AE34,"")</f>
        <v>0.26754010469230077</v>
      </c>
      <c r="AF82">
        <f>IF(RunSize_by_Stock!AF34&gt;0,(RunSize_by_Stock!AF34-Escapements!AF35)/RunSize_by_Stock!AF34,"")</f>
        <v>0.30259049037194768</v>
      </c>
      <c r="AG82">
        <f>IF(RunSize_by_Stock!AG34&gt;0,(RunSize_by_Stock!AG34-Escapements!AG35)/RunSize_by_Stock!AG34,"")</f>
        <v>0.3066595059076262</v>
      </c>
      <c r="AH82">
        <f>IF(RunSize_by_Stock!AH34&gt;0,(RunSize_by_Stock!AH34-Escapements!AH35)/RunSize_by_Stock!AH34,"")</f>
        <v>0.48407643312101911</v>
      </c>
      <c r="AI82">
        <f>IF(RunSize_by_Stock!AI34&gt;0,(RunSize_by_Stock!AI34-Escapements!AI35)/RunSize_by_Stock!AI34,"")</f>
        <v>9.7222222222222224E-2</v>
      </c>
      <c r="AJ82">
        <f>IF(RunSize_by_Stock!AJ34&gt;0,(RunSize_by_Stock!AJ34-Escapements!AJ35)/RunSize_by_Stock!AJ34,"")</f>
        <v>0.18385812290002426</v>
      </c>
      <c r="AK82">
        <f>IF(RunSize_by_Stock!AK34&gt;0,(RunSize_by_Stock!AK34-Escapements!AK35)/RunSize_by_Stock!AK34,"")</f>
        <v>0.27777777777777779</v>
      </c>
      <c r="AL82">
        <f>IF(RunSize_by_Stock!AL34&gt;0,(RunSize_by_Stock!AL34-Escapements!AL35)/RunSize_by_Stock!AL34,"")</f>
        <v>0.32354601919819309</v>
      </c>
      <c r="AM82">
        <f>IF(RunSize_by_Stock!AM34&gt;0,(RunSize_by_Stock!AM34-Escapements!AM35)/RunSize_by_Stock!AM34,"")</f>
        <v>0.42038216560509556</v>
      </c>
      <c r="AN82">
        <f>IF(RunSize_by_Stock!AN34&gt;0,(RunSize_by_Stock!AN34-Escapements!AN35)/RunSize_by_Stock!AN34,"")</f>
        <v>0.28846153846153844</v>
      </c>
      <c r="AO82">
        <f>IF(RunSize_by_Stock!AO34&gt;0,(RunSize_by_Stock!AO34-Escapements!AO35)/RunSize_by_Stock!AO34,"")</f>
        <v>0.29113924050632911</v>
      </c>
      <c r="AP82">
        <f>IF(RunSize_by_Stock!AP34&gt;0,(RunSize_by_Stock!AP34-Escapements!AP35)/RunSize_by_Stock!AP34,"")</f>
        <v>8.8607594936708861E-2</v>
      </c>
      <c r="AQ82">
        <f>IF(RunSize_by_Stock!AQ34&gt;0,(RunSize_by_Stock!AQ34-Escapements!AQ35)/RunSize_by_Stock!AQ34,"")</f>
        <v>0.27330316742081445</v>
      </c>
      <c r="AR82">
        <f>IF(RunSize_by_Stock!AR34&gt;0,(RunSize_by_Stock!AR34-Escapements!AR35)/RunSize_by_Stock!AR34,"")</f>
        <v>0.27272727272727271</v>
      </c>
      <c r="AS82">
        <f>IF(RunSize_by_Stock!AS34&gt;0,(RunSize_by_Stock!AS34-Escapements!AS35)/RunSize_by_Stock!AS34,"")</f>
        <v>0.35841470419299254</v>
      </c>
      <c r="AT82">
        <f>IF(RunSize_by_Stock!AT34&gt;0,(RunSize_by_Stock!AT34-Escapements!AT35)/RunSize_by_Stock!AT34,"")</f>
        <v>0.30858067997841337</v>
      </c>
      <c r="AU82">
        <f>IF(RunSize_by_Stock!AU34&gt;0,(RunSize_by_Stock!AU34-Escapements!AU35)/RunSize_by_Stock!AU34,"")</f>
        <v>0.41403026134800552</v>
      </c>
      <c r="AV82">
        <f>IF(RunSize_by_Stock!AV34&gt;0,(RunSize_by_Stock!AV34-Escapements!AV35)/RunSize_by_Stock!AV34,"")</f>
        <v>0.35315985130111527</v>
      </c>
      <c r="AW82">
        <f>IF(RunSize_by_Stock!AW34&gt;0,(RunSize_by_Stock!AW34-Escapements!AW35)/RunSize_by_Stock!AW34,"")</f>
        <v>0.26072374227714035</v>
      </c>
      <c r="AX82">
        <f>IF(RunSize_by_Stock!AX34&gt;0,(RunSize_by_Stock!AX34-Escapements!AX35)/RunSize_by_Stock!AX34,"")</f>
        <v>0.23523839595832019</v>
      </c>
      <c r="AY82">
        <f>IF(RunSize_by_Stock!AY34&gt;0,(RunSize_by_Stock!AY34-Escapements!AY35)/RunSize_by_Stock!AY34,"")</f>
        <v>0.24173684115621111</v>
      </c>
      <c r="AZ82">
        <f>IF(RunSize_by_Stock!AZ34&gt;0,(RunSize_by_Stock!AZ34-Escapements!AZ35)/RunSize_by_Stock!AZ34,"")</f>
        <v>0.14767175808546162</v>
      </c>
      <c r="BA82">
        <f>IF(RunSize_by_Stock!BA34&gt;0,(RunSize_by_Stock!BA34-Escapements!BA35)/RunSize_by_Stock!BA34,"")</f>
        <v>0.31848184818481851</v>
      </c>
      <c r="BB82">
        <f>IF(RunSize_by_Stock!BB34&gt;0,(RunSize_by_Stock!BB34-Escapements!BB35)/RunSize_by_Stock!BB34,"")</f>
        <v>0.33535890619065706</v>
      </c>
      <c r="BC82">
        <f>IF(RunSize_by_Stock!BC34&gt;0,(RunSize_by_Stock!BC34-Escapements!BC35)/RunSize_by_Stock!BC34,"")</f>
        <v>7.8291814946619215E-2</v>
      </c>
      <c r="BD82">
        <f>IF(RunSize_by_Stock!BD34&gt;0,(RunSize_by_Stock!BD34-Escapements!BD35)/RunSize_by_Stock!BD34,"")</f>
        <v>0.08</v>
      </c>
      <c r="BE82">
        <f>IF(RunSize_by_Stock!BE34&gt;0,(RunSize_by_Stock!BE34-Escapements!BE35)/RunSize_by_Stock!BE34,"")</f>
        <v>0.33884297520661155</v>
      </c>
      <c r="BF82">
        <f>IF(RunSize_by_Stock!BF34&gt;0,(RunSize_by_Stock!BF34-Escapements!BF35)/RunSize_by_Stock!BF34,"")</f>
        <v>0.3125</v>
      </c>
      <c r="BG82">
        <f>IF(RunSize_by_Stock!BG34&gt;0,(RunSize_by_Stock!BG34-Escapements!BG35)/RunSize_by_Stock!BG34,"")</f>
        <v>0.14163822525597269</v>
      </c>
      <c r="BH82">
        <f>IF(RunSize_by_Stock!BH34&gt;0,(RunSize_by_Stock!BH34-Escapements!BH35)/RunSize_by_Stock!BH34,"")</f>
        <v>0.24840255591054314</v>
      </c>
      <c r="BI82">
        <f>IF(RunSize_by_Stock!BI34&gt;0,(RunSize_by_Stock!BI34-Escapements!BI35)/RunSize_by_Stock!BI34,"")</f>
        <v>2.1098546807955813E-2</v>
      </c>
      <c r="BJ82">
        <f>IF(RunSize_by_Stock!BJ34&gt;0,(RunSize_by_Stock!BJ34-Escapements!BJ35)/RunSize_by_Stock!BJ34,"")</f>
        <v>8.0249270934592415E-2</v>
      </c>
      <c r="BK82">
        <f>IF(RunSize_by_Stock!BK34&gt;0,(RunSize_by_Stock!BK34-Escapements!BK35)/RunSize_by_Stock!BK34,"")</f>
        <v>2.7322404371584699E-2</v>
      </c>
      <c r="BL82">
        <f>IF(RunSize_by_Stock!BL34&gt;0,(RunSize_by_Stock!BL34-Escapements!BL35)/RunSize_by_Stock!BL34,"")</f>
        <v>0.41984732824427479</v>
      </c>
      <c r="BM82" t="str">
        <f>IF(RunSize_by_Stock!BM34&gt;0,(RunSize_by_Stock!BM34-Escapements!BM35)/RunSize_by_Stock!BM34,"")</f>
        <v/>
      </c>
      <c r="BN82">
        <f>IF(RunSize_by_Stock!BN34&gt;0,(RunSize_by_Stock!BN34-Escapements!BN35)/RunSize_by_Stock!BN34,"")</f>
        <v>0.26315789473684209</v>
      </c>
      <c r="BO82">
        <f>IF(RunSize_by_Stock!BO34&gt;0,(RunSize_by_Stock!BO34-Escapements!BO35)/RunSize_by_Stock!BO34,"")</f>
        <v>0.375</v>
      </c>
      <c r="BP82">
        <f>IF(RunSize_by_Stock!BP34&gt;0,(RunSize_by_Stock!BP34-Escapements!BP35)/RunSize_by_Stock!BP34,"")</f>
        <v>0.37777777777777777</v>
      </c>
      <c r="BQ82">
        <f>IF(RunSize_by_Stock!BQ34&gt;0,(RunSize_by_Stock!BQ34-Escapements!BQ35)/RunSize_by_Stock!BQ34,"")</f>
        <v>1.0662351129424581E-2</v>
      </c>
      <c r="BR82">
        <f>IF(RunSize_by_Stock!BR34&gt;0,(RunSize_by_Stock!BR34-Escapements!BR35)/RunSize_by_Stock!BR34,"")</f>
        <v>2.976190476190476E-2</v>
      </c>
      <c r="BS82">
        <f>IF(RunSize_by_Stock!BS34&gt;0,(RunSize_by_Stock!BS34-Escapements!BS35)/RunSize_by_Stock!BS34,"")</f>
        <v>0.1</v>
      </c>
      <c r="BT82">
        <f>IF(RunSize_by_Stock!BT34&gt;0,(RunSize_by_Stock!BT34-Escapements!BT35)/RunSize_by_Stock!BT34,"")</f>
        <v>0.18538529053471589</v>
      </c>
      <c r="BU82">
        <f>IF(RunSize_by_Stock!BU34&gt;0,(RunSize_by_Stock!BU34-Escapements!BU35)/RunSize_by_Stock!BU34,"")</f>
        <v>0.1335427135306359</v>
      </c>
      <c r="BV82">
        <f>IF(RunSize_by_Stock!BV34&gt;0,(RunSize_by_Stock!BV34-Escapements!BV35)/RunSize_by_Stock!BV34,"")</f>
        <v>0.15384615384615385</v>
      </c>
      <c r="BW82" t="str">
        <f>IF(RunSize_by_Stock!BW34&gt;0,(RunSize_by_Stock!BW34-Escapements!BW35)/RunSize_by_Stock!BW34,"")</f>
        <v/>
      </c>
      <c r="BX82">
        <f>IF(RunSize_by_Stock!BX34&gt;0,(RunSize_by_Stock!BX34-Escapements!BX35)/RunSize_by_Stock!BX34,"")</f>
        <v>0.36206896551724138</v>
      </c>
      <c r="BY82">
        <f>IF(RunSize_by_Stock!BY34&gt;0,(RunSize_by_Stock!BY34-Escapements!BY35)/RunSize_by_Stock!BY34,"")</f>
        <v>4.3478260869565216E-2</v>
      </c>
      <c r="BZ82">
        <f>IF(RunSize_by_Stock!BZ34&gt;0,(RunSize_by_Stock!BZ34-Escapements!BZ35)/RunSize_by_Stock!BZ34,"")</f>
        <v>3.4047379404958403E-2</v>
      </c>
      <c r="CA82">
        <f>IF(RunSize_by_Stock!CA34&gt;0,(RunSize_by_Stock!CA34-Escapements!CA35)/RunSize_by_Stock!CA34,"")</f>
        <v>0.375</v>
      </c>
      <c r="CB82">
        <f>IF(RunSize_by_Stock!CB34&gt;0,(RunSize_by_Stock!CB34-Escapements!CB35)/RunSize_by_Stock!CB34,"")</f>
        <v>0.10654909030144558</v>
      </c>
      <c r="CC82">
        <f>IF(RunSize_by_Stock!CC34&gt;0,(RunSize_by_Stock!CC34-Escapements!CC35)/RunSize_by_Stock!CC34,"")</f>
        <v>8.1632653061224483E-2</v>
      </c>
      <c r="CD82" t="str">
        <f>IF(RunSize_by_Stock!CD34&gt;0,(RunSize_by_Stock!CD34-Escapements!CD35)/RunSize_by_Stock!CD34,"")</f>
        <v/>
      </c>
      <c r="CE82">
        <f>IF(RunSize_by_Stock!CE34&gt;0,(RunSize_by_Stock!CE34-Escapements!CE35)/RunSize_by_Stock!CE34,"")</f>
        <v>0.33333333333333331</v>
      </c>
      <c r="CF82">
        <f>IF(RunSize_by_Stock!CF34&gt;0,(RunSize_by_Stock!CF34-Escapements!CF35)/RunSize_by_Stock!CF34,"")</f>
        <v>0.25</v>
      </c>
      <c r="CG82">
        <f>IF(RunSize_by_Stock!CG34&gt;0,(RunSize_by_Stock!CG34-Escapements!CG35)/RunSize_by_Stock!CG34,"")</f>
        <v>0.25257731958762886</v>
      </c>
      <c r="CH82">
        <f t="shared" si="3"/>
        <v>0.2235628030320671</v>
      </c>
    </row>
    <row r="83" spans="1:86" x14ac:dyDescent="0.55000000000000004">
      <c r="A83">
        <f t="shared" si="2"/>
        <v>2012</v>
      </c>
      <c r="B83">
        <f>IF(RunSize_by_Stock!B35&gt;0,(RunSize_by_Stock!B35-Escapements!B36)/RunSize_by_Stock!B35,"")</f>
        <v>9.1703056768558958E-2</v>
      </c>
      <c r="C83">
        <f>IF(RunSize_by_Stock!C35&gt;0,(RunSize_by_Stock!C35-Escapements!C36)/RunSize_by_Stock!C35,"")</f>
        <v>0.21871820956256358</v>
      </c>
      <c r="D83">
        <f>IF(RunSize_by_Stock!D35&gt;0,(RunSize_by_Stock!D35-Escapements!D36)/RunSize_by_Stock!D35,"")</f>
        <v>9.4339622641509441E-2</v>
      </c>
      <c r="E83">
        <f>IF(RunSize_by_Stock!E35&gt;0,(RunSize_by_Stock!E35-Escapements!E36)/RunSize_by_Stock!E35,"")</f>
        <v>0.11627906976744186</v>
      </c>
      <c r="F83">
        <f>IF(RunSize_by_Stock!F35&gt;0,(RunSize_by_Stock!F35-Escapements!F36)/RunSize_by_Stock!F35,"")</f>
        <v>0.11353711790393013</v>
      </c>
      <c r="G83">
        <f>IF(RunSize_by_Stock!G35&gt;0,(RunSize_by_Stock!G35-Escapements!G36)/RunSize_by_Stock!G35,"")</f>
        <v>0.16666666666666666</v>
      </c>
      <c r="H83">
        <f>IF(RunSize_by_Stock!H35&gt;0,(RunSize_by_Stock!H35-Escapements!H36)/RunSize_by_Stock!H35,"")</f>
        <v>0.10526315789473684</v>
      </c>
      <c r="I83">
        <f>IF(RunSize_by_Stock!I35&gt;0,(RunSize_by_Stock!I35-Escapements!I36)/RunSize_by_Stock!I35,"")</f>
        <v>0.10256410256410256</v>
      </c>
      <c r="J83">
        <f>IF(RunSize_by_Stock!J35&gt;0,(RunSize_by_Stock!J35-Escapements!J36)/RunSize_by_Stock!J35,"")</f>
        <v>0.14285714285714285</v>
      </c>
      <c r="K83">
        <f>IF(RunSize_by_Stock!K35&gt;0,(RunSize_by_Stock!K35-Escapements!K36)/RunSize_by_Stock!K35,"")</f>
        <v>0.1111111111111111</v>
      </c>
      <c r="L83">
        <f>IF(RunSize_by_Stock!L35&gt;0,(RunSize_by_Stock!L35-Escapements!L36)/RunSize_by_Stock!L35,"")</f>
        <v>0.10869565217391304</v>
      </c>
      <c r="M83">
        <f>IF(RunSize_by_Stock!M35&gt;0,(RunSize_by_Stock!M35-Escapements!M36)/RunSize_by_Stock!M35,"")</f>
        <v>0.13284226250500833</v>
      </c>
      <c r="N83">
        <f>IF(RunSize_by_Stock!N35&gt;0,(RunSize_by_Stock!N35-Escapements!N36)/RunSize_by_Stock!N35,"")</f>
        <v>0.19919919919919921</v>
      </c>
      <c r="O83">
        <f>IF(RunSize_by_Stock!O35&gt;0,(RunSize_by_Stock!O35-Escapements!O36)/RunSize_by_Stock!O35,"")</f>
        <v>0.21830143540669869</v>
      </c>
      <c r="P83">
        <f>IF(RunSize_by_Stock!P35&gt;0,(RunSize_by_Stock!P35-Escapements!P36)/RunSize_by_Stock!P35,"")</f>
        <v>0.12869269393301677</v>
      </c>
      <c r="Q83">
        <f>IF(RunSize_by_Stock!Q35&gt;0,(RunSize_by_Stock!Q35-Escapements!Q36)/RunSize_by_Stock!Q35,"")</f>
        <v>0.21951219512195122</v>
      </c>
      <c r="R83">
        <f>IF(RunSize_by_Stock!R35&gt;0,(RunSize_by_Stock!R35-Escapements!R36)/RunSize_by_Stock!R35,"")</f>
        <v>0.27325581395348836</v>
      </c>
      <c r="S83">
        <f>IF(RunSize_by_Stock!S35&gt;0,(RunSize_by_Stock!S35-Escapements!S36)/RunSize_by_Stock!S35,"")</f>
        <v>0.42502011920103555</v>
      </c>
      <c r="T83">
        <f>IF(RunSize_by_Stock!T35&gt;0,(RunSize_by_Stock!T35-Escapements!T36)/RunSize_by_Stock!T35,"")</f>
        <v>0.40011750881316099</v>
      </c>
      <c r="U83" t="str">
        <f>IF(RunSize_by_Stock!U35&gt;0,(RunSize_by_Stock!U35-Escapements!U36)/RunSize_by_Stock!U35,"")</f>
        <v/>
      </c>
      <c r="V83">
        <f>IF(RunSize_by_Stock!V35&gt;0,(RunSize_by_Stock!V35-Escapements!V36)/RunSize_by_Stock!V35,"")</f>
        <v>0.17204301075268819</v>
      </c>
      <c r="W83">
        <f>IF(RunSize_by_Stock!W35&gt;0,(RunSize_by_Stock!W35-Escapements!W36)/RunSize_by_Stock!W35,"")</f>
        <v>0</v>
      </c>
      <c r="X83">
        <f>IF(RunSize_by_Stock!X35&gt;0,(RunSize_by_Stock!X35-Escapements!X36)/RunSize_by_Stock!X35,"")</f>
        <v>0.12087912087912074</v>
      </c>
      <c r="Y83">
        <f>IF(RunSize_by_Stock!Y35&gt;0,(RunSize_by_Stock!Y35-Escapements!Y36)/RunSize_by_Stock!Y35,"")</f>
        <v>1.6372067158498409E-2</v>
      </c>
      <c r="Z83">
        <f>IF(RunSize_by_Stock!Z35&gt;0,(RunSize_by_Stock!Z35-Escapements!Z36)/RunSize_by_Stock!Z35,"")</f>
        <v>0.36533767290480063</v>
      </c>
      <c r="AA83">
        <f>IF(RunSize_by_Stock!AA35&gt;0,(RunSize_by_Stock!AA35-Escapements!AA36)/RunSize_by_Stock!AA35,"")</f>
        <v>0.39593908629441626</v>
      </c>
      <c r="AB83">
        <f>IF(RunSize_by_Stock!AB35&gt;0,(RunSize_by_Stock!AB35-Escapements!AB36)/RunSize_by_Stock!AB35,"")</f>
        <v>0.33333333333333331</v>
      </c>
      <c r="AC83">
        <f>IF(RunSize_by_Stock!AC35&gt;0,(RunSize_by_Stock!AC35-Escapements!AC36)/RunSize_by_Stock!AC35,"")</f>
        <v>0.30462493871547641</v>
      </c>
      <c r="AD83">
        <f>IF(RunSize_by_Stock!AD35&gt;0,(RunSize_by_Stock!AD35-Escapements!AD36)/RunSize_by_Stock!AD35,"")</f>
        <v>1.2048192771084338E-2</v>
      </c>
      <c r="AE83">
        <f>IF(RunSize_by_Stock!AE35&gt;0,(RunSize_by_Stock!AE35-Escapements!AE36)/RunSize_by_Stock!AE35,"")</f>
        <v>0.28090614886731391</v>
      </c>
      <c r="AF83">
        <f>IF(RunSize_by_Stock!AF35&gt;0,(RunSize_by_Stock!AF35-Escapements!AF36)/RunSize_by_Stock!AF35,"")</f>
        <v>0.34776486044639282</v>
      </c>
      <c r="AG83">
        <f>IF(RunSize_by_Stock!AG35&gt;0,(RunSize_by_Stock!AG35-Escapements!AG36)/RunSize_by_Stock!AG35,"")</f>
        <v>0.35306106561105211</v>
      </c>
      <c r="AH83">
        <f>IF(RunSize_by_Stock!AH35&gt;0,(RunSize_by_Stock!AH35-Escapements!AH36)/RunSize_by_Stock!AH35,"")</f>
        <v>0.42404227212681639</v>
      </c>
      <c r="AI83">
        <f>IF(RunSize_by_Stock!AI35&gt;0,(RunSize_by_Stock!AI35-Escapements!AI36)/RunSize_by_Stock!AI35,"")</f>
        <v>2.6315789473684209E-2</v>
      </c>
      <c r="AJ83">
        <f>IF(RunSize_by_Stock!AJ35&gt;0,(RunSize_by_Stock!AJ35-Escapements!AJ36)/RunSize_by_Stock!AJ35,"")</f>
        <v>0</v>
      </c>
      <c r="AK83">
        <f>IF(RunSize_by_Stock!AK35&gt;0,(RunSize_by_Stock!AK35-Escapements!AK36)/RunSize_by_Stock!AK35,"")</f>
        <v>0.3235294117647059</v>
      </c>
      <c r="AL83">
        <f>IF(RunSize_by_Stock!AL35&gt;0,(RunSize_by_Stock!AL35-Escapements!AL36)/RunSize_by_Stock!AL35,"")</f>
        <v>0.35974235104669888</v>
      </c>
      <c r="AM83">
        <f>IF(RunSize_by_Stock!AM35&gt;0,(RunSize_by_Stock!AM35-Escapements!AM36)/RunSize_by_Stock!AM35,"")</f>
        <v>0.4887640449438202</v>
      </c>
      <c r="AN83">
        <f>IF(RunSize_by_Stock!AN35&gt;0,(RunSize_by_Stock!AN35-Escapements!AN36)/RunSize_by_Stock!AN35,"")</f>
        <v>0.33600000000000002</v>
      </c>
      <c r="AO83">
        <f>IF(RunSize_by_Stock!AO35&gt;0,(RunSize_by_Stock!AO35-Escapements!AO36)/RunSize_by_Stock!AO35,"")</f>
        <v>0.33564013840830448</v>
      </c>
      <c r="AP83">
        <f>IF(RunSize_by_Stock!AP35&gt;0,(RunSize_by_Stock!AP35-Escapements!AP36)/RunSize_by_Stock!AP35,"")</f>
        <v>5.0251256281407038E-2</v>
      </c>
      <c r="AQ83">
        <f>IF(RunSize_by_Stock!AQ35&gt;0,(RunSize_by_Stock!AQ35-Escapements!AQ36)/RunSize_by_Stock!AQ35,"")</f>
        <v>0.33519553072625696</v>
      </c>
      <c r="AR83">
        <f>IF(RunSize_by_Stock!AR35&gt;0,(RunSize_by_Stock!AR35-Escapements!AR36)/RunSize_by_Stock!AR35,"")</f>
        <v>0.3</v>
      </c>
      <c r="AS83">
        <f>IF(RunSize_by_Stock!AS35&gt;0,(RunSize_by_Stock!AS35-Escapements!AS36)/RunSize_by_Stock!AS35,"")</f>
        <v>0.3148854961832061</v>
      </c>
      <c r="AT83">
        <f>IF(RunSize_by_Stock!AT35&gt;0,(RunSize_by_Stock!AT35-Escapements!AT36)/RunSize_by_Stock!AT35,"")</f>
        <v>0.37789865445176068</v>
      </c>
      <c r="AU83">
        <f>IF(RunSize_by_Stock!AU35&gt;0,(RunSize_by_Stock!AU35-Escapements!AU36)/RunSize_by_Stock!AU35,"")</f>
        <v>0.46750000000000003</v>
      </c>
      <c r="AV83">
        <f>IF(RunSize_by_Stock!AV35&gt;0,(RunSize_by_Stock!AV35-Escapements!AV36)/RunSize_by_Stock!AV35,"")</f>
        <v>0.28846153846153844</v>
      </c>
      <c r="AW83">
        <f>IF(RunSize_by_Stock!AW35&gt;0,(RunSize_by_Stock!AW35-Escapements!AW36)/RunSize_by_Stock!AW35,"")</f>
        <v>0.30155210643015523</v>
      </c>
      <c r="AX83">
        <f>IF(RunSize_by_Stock!AX35&gt;0,(RunSize_by_Stock!AX35-Escapements!AX36)/RunSize_by_Stock!AX35,"")</f>
        <v>0.27663852030558905</v>
      </c>
      <c r="AY83">
        <f>IF(RunSize_by_Stock!AY35&gt;0,(RunSize_by_Stock!AY35-Escapements!AY36)/RunSize_by_Stock!AY35,"")</f>
        <v>0.30195314154980302</v>
      </c>
      <c r="AZ83">
        <f>IF(RunSize_by_Stock!AZ35&gt;0,(RunSize_by_Stock!AZ35-Escapements!AZ36)/RunSize_by_Stock!AZ35,"")</f>
        <v>0.1524979524979525</v>
      </c>
      <c r="BA83">
        <f>IF(RunSize_by_Stock!BA35&gt;0,(RunSize_by_Stock!BA35-Escapements!BA36)/RunSize_by_Stock!BA35,"")</f>
        <v>0.26110678098207324</v>
      </c>
      <c r="BB83">
        <f>IF(RunSize_by_Stock!BB35&gt;0,(RunSize_by_Stock!BB35-Escapements!BB36)/RunSize_by_Stock!BB35,"")</f>
        <v>0.29212707182320441</v>
      </c>
      <c r="BC83">
        <f>IF(RunSize_by_Stock!BC35&gt;0,(RunSize_by_Stock!BC35-Escapements!BC36)/RunSize_by_Stock!BC35,"")</f>
        <v>4.0133779264214048E-2</v>
      </c>
      <c r="BD83">
        <f>IF(RunSize_by_Stock!BD35&gt;0,(RunSize_by_Stock!BD35-Escapements!BD36)/RunSize_by_Stock!BD35,"")</f>
        <v>4.0106951871657755E-2</v>
      </c>
      <c r="BE83">
        <f>IF(RunSize_by_Stock!BE35&gt;0,(RunSize_by_Stock!BE35-Escapements!BE36)/RunSize_by_Stock!BE35,"")</f>
        <v>0.27084373439840237</v>
      </c>
      <c r="BF83">
        <f>IF(RunSize_by_Stock!BF35&gt;0,(RunSize_by_Stock!BF35-Escapements!BF36)/RunSize_by_Stock!BF35,"")</f>
        <v>0.2857142857142857</v>
      </c>
      <c r="BG83">
        <f>IF(RunSize_by_Stock!BG35&gt;0,(RunSize_by_Stock!BG35-Escapements!BG36)/RunSize_by_Stock!BG35,"")</f>
        <v>0.1368421052631579</v>
      </c>
      <c r="BH83">
        <f>IF(RunSize_by_Stock!BH35&gt;0,(RunSize_by_Stock!BH35-Escapements!BH36)/RunSize_by_Stock!BH35,"")</f>
        <v>0.23057953144266338</v>
      </c>
      <c r="BI83">
        <f>IF(RunSize_by_Stock!BI35&gt;0,(RunSize_by_Stock!BI35-Escapements!BI36)/RunSize_by_Stock!BI35,"")</f>
        <v>9.7932776460682869E-3</v>
      </c>
      <c r="BJ83">
        <f>IF(RunSize_by_Stock!BJ35&gt;0,(RunSize_by_Stock!BJ35-Escapements!BJ36)/RunSize_by_Stock!BJ35,"")</f>
        <v>0.1224033374908606</v>
      </c>
      <c r="BK83">
        <f>IF(RunSize_by_Stock!BK35&gt;0,(RunSize_by_Stock!BK35-Escapements!BK36)/RunSize_by_Stock!BK35,"")</f>
        <v>2.8301886792452831E-2</v>
      </c>
      <c r="BL83">
        <f>IF(RunSize_by_Stock!BL35&gt;0,(RunSize_by_Stock!BL35-Escapements!BL36)/RunSize_by_Stock!BL35,"")</f>
        <v>0.48780487804878048</v>
      </c>
      <c r="BM83">
        <f>IF(RunSize_by_Stock!BM35&gt;0,(RunSize_by_Stock!BM35-Escapements!BM36)/RunSize_by_Stock!BM35,"")</f>
        <v>0.26666666666666666</v>
      </c>
      <c r="BN83">
        <f>IF(RunSize_by_Stock!BN35&gt;0,(RunSize_by_Stock!BN35-Escapements!BN36)/RunSize_by_Stock!BN35,"")</f>
        <v>0.31205673758865249</v>
      </c>
      <c r="BO83" t="str">
        <f>IF(RunSize_by_Stock!BO35&gt;0,(RunSize_by_Stock!BO35-Escapements!BO36)/RunSize_by_Stock!BO35,"")</f>
        <v/>
      </c>
      <c r="BP83">
        <f>IF(RunSize_by_Stock!BP35&gt;0,(RunSize_by_Stock!BP35-Escapements!BP36)/RunSize_by_Stock!BP35,"")</f>
        <v>0.34615384615384615</v>
      </c>
      <c r="BQ83">
        <f>IF(RunSize_by_Stock!BQ35&gt;0,(RunSize_by_Stock!BQ35-Escapements!BQ36)/RunSize_by_Stock!BQ35,"")</f>
        <v>0</v>
      </c>
      <c r="BR83">
        <f>IF(RunSize_by_Stock!BR35&gt;0,(RunSize_by_Stock!BR35-Escapements!BR36)/RunSize_by_Stock!BR35,"")</f>
        <v>2.0824152183989045E-2</v>
      </c>
      <c r="BS83">
        <f>IF(RunSize_by_Stock!BS35&gt;0,(RunSize_by_Stock!BS35-Escapements!BS36)/RunSize_by_Stock!BS35,"")</f>
        <v>0.10204081632653061</v>
      </c>
      <c r="BT83">
        <f>IF(RunSize_by_Stock!BT35&gt;0,(RunSize_by_Stock!BT35-Escapements!BT36)/RunSize_by_Stock!BT35,"")</f>
        <v>0.20995962314939434</v>
      </c>
      <c r="BU83">
        <f>IF(RunSize_by_Stock!BU35&gt;0,(RunSize_by_Stock!BU35-Escapements!BU36)/RunSize_by_Stock!BU35,"")</f>
        <v>6.9460618020018211E-2</v>
      </c>
      <c r="BV83">
        <f>IF(RunSize_by_Stock!BV35&gt;0,(RunSize_by_Stock!BV35-Escapements!BV36)/RunSize_by_Stock!BV35,"")</f>
        <v>0.10714285714285714</v>
      </c>
      <c r="BW83">
        <f>IF(RunSize_by_Stock!BW35&gt;0,(RunSize_by_Stock!BW35-Escapements!BW36)/RunSize_by_Stock!BW35,"")</f>
        <v>0.45454545454545453</v>
      </c>
      <c r="BX83">
        <f>IF(RunSize_by_Stock!BX35&gt;0,(RunSize_by_Stock!BX35-Escapements!BX36)/RunSize_by_Stock!BX35,"")</f>
        <v>0.42622950819672129</v>
      </c>
      <c r="BY83">
        <f>IF(RunSize_by_Stock!BY35&gt;0,(RunSize_by_Stock!BY35-Escapements!BY36)/RunSize_by_Stock!BY35,"")</f>
        <v>1.4661072303898718E-2</v>
      </c>
      <c r="BZ83">
        <f>IF(RunSize_by_Stock!BZ35&gt;0,(RunSize_by_Stock!BZ35-Escapements!BZ36)/RunSize_by_Stock!BZ35,"")</f>
        <v>1.6948869331240842E-2</v>
      </c>
      <c r="CA83">
        <f>IF(RunSize_by_Stock!CA35&gt;0,(RunSize_by_Stock!CA35-Escapements!CA36)/RunSize_by_Stock!CA35,"")</f>
        <v>0.5</v>
      </c>
      <c r="CB83">
        <f>IF(RunSize_by_Stock!CB35&gt;0,(RunSize_by_Stock!CB35-Escapements!CB36)/RunSize_by_Stock!CB35,"")</f>
        <v>0.10304858586835222</v>
      </c>
      <c r="CC83">
        <f>IF(RunSize_by_Stock!CC35&gt;0,(RunSize_by_Stock!CC35-Escapements!CC36)/RunSize_by_Stock!CC35,"")</f>
        <v>0</v>
      </c>
      <c r="CD83" t="str">
        <f>IF(RunSize_by_Stock!CD35&gt;0,(RunSize_by_Stock!CD35-Escapements!CD36)/RunSize_by_Stock!CD35,"")</f>
        <v/>
      </c>
      <c r="CE83">
        <f>IF(RunSize_by_Stock!CE35&gt;0,(RunSize_by_Stock!CE35-Escapements!CE36)/RunSize_by_Stock!CE35,"")</f>
        <v>0.30646803154229518</v>
      </c>
      <c r="CF83">
        <f>IF(RunSize_by_Stock!CF35&gt;0,(RunSize_by_Stock!CF35-Escapements!CF36)/RunSize_by_Stock!CF35,"")</f>
        <v>0.33333333333333331</v>
      </c>
      <c r="CG83">
        <f>IF(RunSize_by_Stock!CG35&gt;0,(RunSize_by_Stock!CG35-Escapements!CG36)/RunSize_by_Stock!CG35,"")</f>
        <v>0.2804686506689813</v>
      </c>
      <c r="CH83">
        <f t="shared" si="3"/>
        <v>0.21737802819989097</v>
      </c>
    </row>
    <row r="84" spans="1:86" x14ac:dyDescent="0.55000000000000004">
      <c r="A84">
        <f t="shared" si="2"/>
        <v>2013</v>
      </c>
      <c r="B84">
        <f>IF(RunSize_by_Stock!B36&gt;0,(RunSize_by_Stock!B36-Escapements!B37)/RunSize_by_Stock!B36,"")</f>
        <v>0.1070615034168565</v>
      </c>
      <c r="C84">
        <f>IF(RunSize_by_Stock!C36&gt;0,(RunSize_by_Stock!C36-Escapements!C37)/RunSize_by_Stock!C36,"")</f>
        <v>8.2639333760409994E-2</v>
      </c>
      <c r="D84">
        <f>IF(RunSize_by_Stock!D36&gt;0,(RunSize_by_Stock!D36-Escapements!D37)/RunSize_by_Stock!D36,"")</f>
        <v>0.1111111111111111</v>
      </c>
      <c r="E84">
        <f>IF(RunSize_by_Stock!E36&gt;0,(RunSize_by_Stock!E36-Escapements!E37)/RunSize_by_Stock!E36,"")</f>
        <v>9.5890410958904104E-2</v>
      </c>
      <c r="F84">
        <f>IF(RunSize_by_Stock!F36&gt;0,(RunSize_by_Stock!F36-Escapements!F37)/RunSize_by_Stock!F36,"")</f>
        <v>9.560067681895093E-2</v>
      </c>
      <c r="G84">
        <f>IF(RunSize_by_Stock!G36&gt;0,(RunSize_by_Stock!G36-Escapements!G37)/RunSize_by_Stock!G36,"")</f>
        <v>0.10714285714285714</v>
      </c>
      <c r="H84">
        <f>IF(RunSize_by_Stock!H36&gt;0,(RunSize_by_Stock!H36-Escapements!H37)/RunSize_by_Stock!H36,"")</f>
        <v>9.8765432098765427E-2</v>
      </c>
      <c r="I84">
        <f>IF(RunSize_by_Stock!I36&gt;0,(RunSize_by_Stock!I36-Escapements!I37)/RunSize_by_Stock!I36,"")</f>
        <v>0.10071942446043165</v>
      </c>
      <c r="J84">
        <f>IF(RunSize_by_Stock!J36&gt;0,(RunSize_by_Stock!J36-Escapements!J37)/RunSize_by_Stock!J36,"")</f>
        <v>9.90990990990991E-2</v>
      </c>
      <c r="K84">
        <f>IF(RunSize_by_Stock!K36&gt;0,(RunSize_by_Stock!K36-Escapements!K37)/RunSize_by_Stock!K36,"")</f>
        <v>9.2592592592592587E-2</v>
      </c>
      <c r="L84">
        <f>IF(RunSize_by_Stock!L36&gt;0,(RunSize_by_Stock!L36-Escapements!L37)/RunSize_by_Stock!L36,"")</f>
        <v>9.817549956559514E-2</v>
      </c>
      <c r="M84">
        <f>IF(RunSize_by_Stock!M36&gt;0,(RunSize_by_Stock!M36-Escapements!M37)/RunSize_by_Stock!M36,"")</f>
        <v>8.8526939299203494E-2</v>
      </c>
      <c r="N84">
        <f>IF(RunSize_by_Stock!N36&gt;0,(RunSize_by_Stock!N36-Escapements!N37)/RunSize_by_Stock!N36,"")</f>
        <v>8.141176470588235E-2</v>
      </c>
      <c r="O84">
        <f>IF(RunSize_by_Stock!O36&gt;0,(RunSize_by_Stock!O36-Escapements!O37)/RunSize_by_Stock!O36,"")</f>
        <v>8.1978798586572657E-2</v>
      </c>
      <c r="P84">
        <f>IF(RunSize_by_Stock!P36&gt;0,(RunSize_by_Stock!P36-Escapements!P37)/RunSize_by_Stock!P36,"")</f>
        <v>8.9832202377279596E-2</v>
      </c>
      <c r="Q84">
        <f>IF(RunSize_by_Stock!Q36&gt;0,(RunSize_by_Stock!Q36-Escapements!Q37)/RunSize_by_Stock!Q36,"")</f>
        <v>8.3591331269349839E-2</v>
      </c>
      <c r="R84">
        <f>IF(RunSize_by_Stock!R36&gt;0,(RunSize_by_Stock!R36-Escapements!R37)/RunSize_by_Stock!R36,"")</f>
        <v>9.2753623188405798E-2</v>
      </c>
      <c r="S84">
        <f>IF(RunSize_by_Stock!S36&gt;0,(RunSize_by_Stock!S36-Escapements!S37)/RunSize_by_Stock!S36,"")</f>
        <v>0.16847445072637199</v>
      </c>
      <c r="T84">
        <f>IF(RunSize_by_Stock!T36&gt;0,(RunSize_by_Stock!T36-Escapements!T37)/RunSize_by_Stock!T36,"")</f>
        <v>0.14992389649923896</v>
      </c>
      <c r="U84" t="str">
        <f>IF(RunSize_by_Stock!U36&gt;0,(RunSize_by_Stock!U36-Escapements!U37)/RunSize_by_Stock!U36,"")</f>
        <v/>
      </c>
      <c r="V84">
        <f>IF(RunSize_by_Stock!V36&gt;0,(RunSize_by_Stock!V36-Escapements!V37)/RunSize_by_Stock!V36,"")</f>
        <v>8.6705202312138727E-2</v>
      </c>
      <c r="W84">
        <f>IF(RunSize_by_Stock!W36&gt;0,(RunSize_by_Stock!W36-Escapements!W37)/RunSize_by_Stock!W36,"")</f>
        <v>8.2568807339449546E-2</v>
      </c>
      <c r="X84">
        <f>IF(RunSize_by_Stock!X36&gt;0,(RunSize_by_Stock!X36-Escapements!X37)/RunSize_by_Stock!X36,"")</f>
        <v>0.10842586544741983</v>
      </c>
      <c r="Y84">
        <f>IF(RunSize_by_Stock!Y36&gt;0,(RunSize_by_Stock!Y36-Escapements!Y37)/RunSize_by_Stock!Y36,"")</f>
        <v>0.11583736738491736</v>
      </c>
      <c r="Z84">
        <f>IF(RunSize_by_Stock!Z36&gt;0,(RunSize_by_Stock!Z36-Escapements!Z37)/RunSize_by_Stock!Z36,"")</f>
        <v>7.1634269258459324E-2</v>
      </c>
      <c r="AA84">
        <f>IF(RunSize_by_Stock!AA36&gt;0,(RunSize_by_Stock!AA36-Escapements!AA37)/RunSize_by_Stock!AA36,"")</f>
        <v>0.12965964343598055</v>
      </c>
      <c r="AB84">
        <f>IF(RunSize_by_Stock!AB36&gt;0,(RunSize_by_Stock!AB36-Escapements!AB37)/RunSize_by_Stock!AB36,"")</f>
        <v>0.11551155115511551</v>
      </c>
      <c r="AC84">
        <f>IF(RunSize_by_Stock!AC36&gt;0,(RunSize_by_Stock!AC36-Escapements!AC37)/RunSize_by_Stock!AC36,"")</f>
        <v>0.10543130990415335</v>
      </c>
      <c r="AD84">
        <f>IF(RunSize_by_Stock!AD36&gt;0,(RunSize_by_Stock!AD36-Escapements!AD37)/RunSize_by_Stock!AD36,"")</f>
        <v>8.2304526748971193E-2</v>
      </c>
      <c r="AE84">
        <f>IF(RunSize_by_Stock!AE36&gt;0,(RunSize_by_Stock!AE36-Escapements!AE37)/RunSize_by_Stock!AE36,"")</f>
        <v>9.6956335933868432E-2</v>
      </c>
      <c r="AF84">
        <f>IF(RunSize_by_Stock!AF36&gt;0,(RunSize_by_Stock!AF36-Escapements!AF37)/RunSize_by_Stock!AF36,"")</f>
        <v>0.12019406996925115</v>
      </c>
      <c r="AG84">
        <f>IF(RunSize_by_Stock!AG36&gt;0,(RunSize_by_Stock!AG36-Escapements!AG37)/RunSize_by_Stock!AG36,"")</f>
        <v>0.11479420821570423</v>
      </c>
      <c r="AH84">
        <f>IF(RunSize_by_Stock!AH36&gt;0,(RunSize_by_Stock!AH36-Escapements!AH37)/RunSize_by_Stock!AH36,"")</f>
        <v>0.14634146341463414</v>
      </c>
      <c r="AI84">
        <f>IF(RunSize_by_Stock!AI36&gt;0,(RunSize_by_Stock!AI36-Escapements!AI37)/RunSize_by_Stock!AI36,"")</f>
        <v>0.10526315789473684</v>
      </c>
      <c r="AJ84">
        <f>IF(RunSize_by_Stock!AJ36&gt;0,(RunSize_by_Stock!AJ36-Escapements!AJ37)/RunSize_by_Stock!AJ36,"")</f>
        <v>0</v>
      </c>
      <c r="AK84">
        <f>IF(RunSize_by_Stock!AK36&gt;0,(RunSize_by_Stock!AK36-Escapements!AK37)/RunSize_by_Stock!AK36,"")</f>
        <v>0.11627906976744186</v>
      </c>
      <c r="AL84">
        <f>IF(RunSize_by_Stock!AL36&gt;0,(RunSize_by_Stock!AL36-Escapements!AL37)/RunSize_by_Stock!AL36,"")</f>
        <v>0.1069364161849711</v>
      </c>
      <c r="AM84">
        <f>IF(RunSize_by_Stock!AM36&gt;0,(RunSize_by_Stock!AM36-Escapements!AM37)/RunSize_by_Stock!AM36,"")</f>
        <v>0.15</v>
      </c>
      <c r="AN84">
        <f>IF(RunSize_by_Stock!AN36&gt;0,(RunSize_by_Stock!AN36-Escapements!AN37)/RunSize_by_Stock!AN36,"")</f>
        <v>0.12418300653594772</v>
      </c>
      <c r="AO84">
        <f>IF(RunSize_by_Stock!AO36&gt;0,(RunSize_by_Stock!AO36-Escapements!AO37)/RunSize_by_Stock!AO36,"")</f>
        <v>0.12213740458015267</v>
      </c>
      <c r="AP84">
        <f>IF(RunSize_by_Stock!AP36&gt;0,(RunSize_by_Stock!AP36-Escapements!AP37)/RunSize_by_Stock!AP36,"")</f>
        <v>0.2251655629139073</v>
      </c>
      <c r="AQ84">
        <f>IF(RunSize_by_Stock!AQ36&gt;0,(RunSize_by_Stock!AQ36-Escapements!AQ37)/RunSize_by_Stock!AQ36,"")</f>
        <v>9.4117647058823528E-2</v>
      </c>
      <c r="AR84">
        <f>IF(RunSize_by_Stock!AR36&gt;0,(RunSize_by_Stock!AR36-Escapements!AR37)/RunSize_by_Stock!AR36,"")</f>
        <v>0.10550458715596331</v>
      </c>
      <c r="AS84">
        <f>IF(RunSize_by_Stock!AS36&gt;0,(RunSize_by_Stock!AS36-Escapements!AS37)/RunSize_by_Stock!AS36,"")</f>
        <v>0.15141843971631205</v>
      </c>
      <c r="AT84">
        <f>IF(RunSize_by_Stock!AT36&gt;0,(RunSize_by_Stock!AT36-Escapements!AT37)/RunSize_by_Stock!AT36,"")</f>
        <v>0.13286984543772751</v>
      </c>
      <c r="AU84">
        <f>IF(RunSize_by_Stock!AU36&gt;0,(RunSize_by_Stock!AU36-Escapements!AU37)/RunSize_by_Stock!AU36,"")</f>
        <v>0.16193181818181818</v>
      </c>
      <c r="AV84">
        <f>IF(RunSize_by_Stock!AV36&gt;0,(RunSize_by_Stock!AV36-Escapements!AV37)/RunSize_by_Stock!AV36,"")</f>
        <v>9.7074468085106377E-2</v>
      </c>
      <c r="AW84">
        <f>IF(RunSize_by_Stock!AW36&gt;0,(RunSize_by_Stock!AW36-Escapements!AW37)/RunSize_by_Stock!AW36,"")</f>
        <v>9.7486460213859191E-2</v>
      </c>
      <c r="AX84">
        <f>IF(RunSize_by_Stock!AX36&gt;0,(RunSize_by_Stock!AX36-Escapements!AX37)/RunSize_by_Stock!AX36,"")</f>
        <v>0.10985376944143027</v>
      </c>
      <c r="AY84">
        <f>IF(RunSize_by_Stock!AY36&gt;0,(RunSize_by_Stock!AY36-Escapements!AY37)/RunSize_by_Stock!AY36,"")</f>
        <v>0.13201666031469483</v>
      </c>
      <c r="AZ84">
        <f>IF(RunSize_by_Stock!AZ36&gt;0,(RunSize_by_Stock!AZ36-Escapements!AZ37)/RunSize_by_Stock!AZ36,"")</f>
        <v>7.5719618001819033E-2</v>
      </c>
      <c r="BA84">
        <f>IF(RunSize_by_Stock!BA36&gt;0,(RunSize_by_Stock!BA36-Escapements!BA37)/RunSize_by_Stock!BA36,"")</f>
        <v>0.15719063545150502</v>
      </c>
      <c r="BB84">
        <f>IF(RunSize_by_Stock!BB36&gt;0,(RunSize_by_Stock!BB36-Escapements!BB37)/RunSize_by_Stock!BB36,"")</f>
        <v>0.14903683676917878</v>
      </c>
      <c r="BC84">
        <f>IF(RunSize_by_Stock!BC36&gt;0,(RunSize_by_Stock!BC36-Escapements!BC37)/RunSize_by_Stock!BC36,"")</f>
        <v>0.18965517241379309</v>
      </c>
      <c r="BD84">
        <f>IF(RunSize_by_Stock!BD36&gt;0,(RunSize_by_Stock!BD36-Escapements!BD37)/RunSize_by_Stock!BD36,"")</f>
        <v>0.18823529411764706</v>
      </c>
      <c r="BE84">
        <f>IF(RunSize_by_Stock!BE36&gt;0,(RunSize_by_Stock!BE36-Escapements!BE37)/RunSize_by_Stock!BE36,"")</f>
        <v>0.10638297872340426</v>
      </c>
      <c r="BF84">
        <f>IF(RunSize_by_Stock!BF36&gt;0,(RunSize_by_Stock!BF36-Escapements!BF37)/RunSize_by_Stock!BF36,"")</f>
        <v>8.1081081081081086E-2</v>
      </c>
      <c r="BG84">
        <f>IF(RunSize_by_Stock!BG36&gt;0,(RunSize_by_Stock!BG36-Escapements!BG37)/RunSize_by_Stock!BG36,"")</f>
        <v>4.3119266055045874E-2</v>
      </c>
      <c r="BH84">
        <f>IF(RunSize_by_Stock!BH36&gt;0,(RunSize_by_Stock!BH36-Escapements!BH37)/RunSize_by_Stock!BH36,"")</f>
        <v>0.18840579710144928</v>
      </c>
      <c r="BI84">
        <f>IF(RunSize_by_Stock!BI36&gt;0,(RunSize_by_Stock!BI36-Escapements!BI37)/RunSize_by_Stock!BI36,"")</f>
        <v>9.5692681919361134E-3</v>
      </c>
      <c r="BJ84">
        <f>IF(RunSize_by_Stock!BJ36&gt;0,(RunSize_by_Stock!BJ36-Escapements!BJ37)/RunSize_by_Stock!BJ36,"")</f>
        <v>7.7408037792212309E-2</v>
      </c>
      <c r="BK84">
        <f>IF(RunSize_by_Stock!BK36&gt;0,(RunSize_by_Stock!BK36-Escapements!BK37)/RunSize_by_Stock!BK36,"")</f>
        <v>1.775598048147093E-2</v>
      </c>
      <c r="BL84">
        <f>IF(RunSize_by_Stock!BL36&gt;0,(RunSize_by_Stock!BL36-Escapements!BL37)/RunSize_by_Stock!BL36,"")</f>
        <v>0.16470588235294117</v>
      </c>
      <c r="BM84">
        <f>IF(RunSize_by_Stock!BM36&gt;0,(RunSize_by_Stock!BM36-Escapements!BM37)/RunSize_by_Stock!BM36,"")</f>
        <v>9.375E-2</v>
      </c>
      <c r="BN84">
        <f>IF(RunSize_by_Stock!BN36&gt;0,(RunSize_by_Stock!BN36-Escapements!BN37)/RunSize_by_Stock!BN36,"")</f>
        <v>0.10071012258125202</v>
      </c>
      <c r="BO84" t="str">
        <f>IF(RunSize_by_Stock!BO36&gt;0,(RunSize_by_Stock!BO36-Escapements!BO37)/RunSize_by_Stock!BO36,"")</f>
        <v/>
      </c>
      <c r="BP84">
        <f>IF(RunSize_by_Stock!BP36&gt;0,(RunSize_by_Stock!BP36-Escapements!BP37)/RunSize_by_Stock!BP36,"")</f>
        <v>0.11428571428571428</v>
      </c>
      <c r="BQ84">
        <f>IF(RunSize_by_Stock!BQ36&gt;0,(RunSize_by_Stock!BQ36-Escapements!BQ37)/RunSize_by_Stock!BQ36,"")</f>
        <v>0</v>
      </c>
      <c r="BR84">
        <f>IF(RunSize_by_Stock!BR36&gt;0,(RunSize_by_Stock!BR36-Escapements!BR37)/RunSize_by_Stock!BR36,"")</f>
        <v>0.11922990574903489</v>
      </c>
      <c r="BS84">
        <f>IF(RunSize_by_Stock!BS36&gt;0,(RunSize_by_Stock!BS36-Escapements!BS37)/RunSize_by_Stock!BS36,"")</f>
        <v>3.7037037037037035E-2</v>
      </c>
      <c r="BT84">
        <f>IF(RunSize_by_Stock!BT36&gt;0,(RunSize_by_Stock!BT36-Escapements!BT37)/RunSize_by_Stock!BT36,"")</f>
        <v>0.15043839409321644</v>
      </c>
      <c r="BU84">
        <f>IF(RunSize_by_Stock!BU36&gt;0,(RunSize_by_Stock!BU36-Escapements!BU37)/RunSize_by_Stock!BU36,"")</f>
        <v>9.5243733290071173E-2</v>
      </c>
      <c r="BV84">
        <f>IF(RunSize_by_Stock!BV36&gt;0,(RunSize_by_Stock!BV36-Escapements!BV37)/RunSize_by_Stock!BV36,"")</f>
        <v>8.8235294117647065E-2</v>
      </c>
      <c r="BW84">
        <f>IF(RunSize_by_Stock!BW36&gt;0,(RunSize_by_Stock!BW36-Escapements!BW37)/RunSize_by_Stock!BW36,"")</f>
        <v>0.17647058823529413</v>
      </c>
      <c r="BX84">
        <f>IF(RunSize_by_Stock!BX36&gt;0,(RunSize_by_Stock!BX36-Escapements!BX37)/RunSize_by_Stock!BX36,"")</f>
        <v>0.18367346938775511</v>
      </c>
      <c r="BY84">
        <f>IF(RunSize_by_Stock!BY36&gt;0,(RunSize_by_Stock!BY36-Escapements!BY37)/RunSize_by_Stock!BY36,"")</f>
        <v>0.11337700925772543</v>
      </c>
      <c r="BZ84">
        <f>IF(RunSize_by_Stock!BZ36&gt;0,(RunSize_by_Stock!BZ36-Escapements!BZ37)/RunSize_by_Stock!BZ36,"")</f>
        <v>0.11904422969252107</v>
      </c>
      <c r="CA84">
        <f>IF(RunSize_by_Stock!CA36&gt;0,(RunSize_by_Stock!CA36-Escapements!CA37)/RunSize_by_Stock!CA36,"")</f>
        <v>0.18181818181818182</v>
      </c>
      <c r="CB84">
        <f>IF(RunSize_by_Stock!CB36&gt;0,(RunSize_by_Stock!CB36-Escapements!CB37)/RunSize_by_Stock!CB36,"")</f>
        <v>3.166944779581457E-2</v>
      </c>
      <c r="CC84" t="str">
        <f>IF(RunSize_by_Stock!CC36&gt;0,(RunSize_by_Stock!CC36-Escapements!CC37)/RunSize_by_Stock!CC36,"")</f>
        <v/>
      </c>
      <c r="CD84" t="str">
        <f>IF(RunSize_by_Stock!CD36&gt;0,(RunSize_by_Stock!CD36-Escapements!CD37)/RunSize_by_Stock!CD36,"")</f>
        <v/>
      </c>
      <c r="CE84" t="str">
        <f>IF(RunSize_by_Stock!CE36&gt;0,(RunSize_by_Stock!CE36-Escapements!CE37)/RunSize_by_Stock!CE36,"")</f>
        <v/>
      </c>
      <c r="CF84">
        <f>IF(RunSize_by_Stock!CF36&gt;0,(RunSize_by_Stock!CF36-Escapements!CF37)/RunSize_by_Stock!CF36,"")</f>
        <v>0.14285714285714285</v>
      </c>
      <c r="CG84">
        <f>IF(RunSize_by_Stock!CG36&gt;0,(RunSize_by_Stock!CG36-Escapements!CG37)/RunSize_by_Stock!CG36,"")</f>
        <v>0.20190895741556533</v>
      </c>
      <c r="CH84">
        <f t="shared" si="3"/>
        <v>0.11053049313706695</v>
      </c>
    </row>
    <row r="85" spans="1:86" x14ac:dyDescent="0.55000000000000004">
      <c r="A85">
        <f t="shared" si="2"/>
        <v>2014</v>
      </c>
      <c r="B85">
        <f>IF(RunSize_by_Stock!B37&gt;0,(RunSize_by_Stock!B37-Escapements!B38)/RunSize_by_Stock!B37,"")</f>
        <v>0.13731656184486374</v>
      </c>
      <c r="C85">
        <f>IF(RunSize_by_Stock!C37&gt;0,(RunSize_by_Stock!C37-Escapements!C38)/RunSize_by_Stock!C37,"")</f>
        <v>0.13618290258449303</v>
      </c>
      <c r="D85">
        <f>IF(RunSize_by_Stock!D37&gt;0,(RunSize_by_Stock!D37-Escapements!D38)/RunSize_by_Stock!D37,"")</f>
        <v>0.13725490196078433</v>
      </c>
      <c r="E85">
        <f>IF(RunSize_by_Stock!E37&gt;0,(RunSize_by_Stock!E37-Escapements!E38)/RunSize_by_Stock!E37,"")</f>
        <v>0.1317365269461078</v>
      </c>
      <c r="F85">
        <f>IF(RunSize_by_Stock!F37&gt;0,(RunSize_by_Stock!F37-Escapements!F38)/RunSize_by_Stock!F37,"")</f>
        <v>0.13131749460043196</v>
      </c>
      <c r="G85">
        <f>IF(RunSize_by_Stock!G37&gt;0,(RunSize_by_Stock!G37-Escapements!G38)/RunSize_by_Stock!G37,"")</f>
        <v>0.14814814814814814</v>
      </c>
      <c r="H85">
        <f>IF(RunSize_by_Stock!H37&gt;0,(RunSize_by_Stock!H37-Escapements!H38)/RunSize_by_Stock!H37,"")</f>
        <v>0.13392857142857142</v>
      </c>
      <c r="I85">
        <f>IF(RunSize_by_Stock!I37&gt;0,(RunSize_by_Stock!I37-Escapements!I38)/RunSize_by_Stock!I37,"")</f>
        <v>0.13186813186813187</v>
      </c>
      <c r="J85">
        <f>IF(RunSize_by_Stock!J37&gt;0,(RunSize_by_Stock!J37-Escapements!J38)/RunSize_by_Stock!J37,"")</f>
        <v>0.13382899628252787</v>
      </c>
      <c r="K85">
        <f>IF(RunSize_by_Stock!K37&gt;0,(RunSize_by_Stock!K37-Escapements!K38)/RunSize_by_Stock!K37,"")</f>
        <v>0.13017751479289941</v>
      </c>
      <c r="L85">
        <f>IF(RunSize_by_Stock!L37&gt;0,(RunSize_by_Stock!L37-Escapements!L38)/RunSize_by_Stock!L37,"")</f>
        <v>0.13238593866866119</v>
      </c>
      <c r="M85">
        <f>IF(RunSize_by_Stock!M37&gt;0,(RunSize_by_Stock!M37-Escapements!M38)/RunSize_by_Stock!M37,"")</f>
        <v>0.12883261687661332</v>
      </c>
      <c r="N85">
        <f>IF(RunSize_by_Stock!N37&gt;0,(RunSize_by_Stock!N37-Escapements!N38)/RunSize_by_Stock!N37,"")</f>
        <v>0.13311948676824378</v>
      </c>
      <c r="O85">
        <f>IF(RunSize_by_Stock!O37&gt;0,(RunSize_by_Stock!O37-Escapements!O38)/RunSize_by_Stock!O37,"")</f>
        <v>0.15340364333652939</v>
      </c>
      <c r="P85">
        <f>IF(RunSize_by_Stock!P37&gt;0,(RunSize_by_Stock!P37-Escapements!P38)/RunSize_by_Stock!P37,"")</f>
        <v>0.12916610897368844</v>
      </c>
      <c r="Q85">
        <f>IF(RunSize_by_Stock!Q37&gt;0,(RunSize_by_Stock!Q37-Escapements!Q38)/RunSize_by_Stock!Q37,"")</f>
        <v>0.13599062133645956</v>
      </c>
      <c r="R85">
        <f>IF(RunSize_by_Stock!R37&gt;0,(RunSize_by_Stock!R37-Escapements!R38)/RunSize_by_Stock!R37,"")</f>
        <v>0.14544513457556935</v>
      </c>
      <c r="S85">
        <f>IF(RunSize_by_Stock!S37&gt;0,(RunSize_by_Stock!S37-Escapements!S38)/RunSize_by_Stock!S37,"")</f>
        <v>0.18936925796921353</v>
      </c>
      <c r="T85">
        <f>IF(RunSize_by_Stock!T37&gt;0,(RunSize_by_Stock!T37-Escapements!T38)/RunSize_by_Stock!T37,"")</f>
        <v>0.17769316198635571</v>
      </c>
      <c r="U85">
        <f>IF(RunSize_by_Stock!U37&gt;0,(RunSize_by_Stock!U37-Escapements!U38)/RunSize_by_Stock!U37,"")</f>
        <v>0.16666666666666666</v>
      </c>
      <c r="V85">
        <f>IF(RunSize_by_Stock!V37&gt;0,(RunSize_by_Stock!V37-Escapements!V38)/RunSize_by_Stock!V37,"")</f>
        <v>0.13194444444444445</v>
      </c>
      <c r="W85">
        <f>IF(RunSize_by_Stock!W37&gt;0,(RunSize_by_Stock!W37-Escapements!W38)/RunSize_by_Stock!W37,"")</f>
        <v>6.0150375939849621E-2</v>
      </c>
      <c r="X85">
        <f>IF(RunSize_by_Stock!X37&gt;0,(RunSize_by_Stock!X37-Escapements!X38)/RunSize_by_Stock!X37,"")</f>
        <v>0.12275449101796394</v>
      </c>
      <c r="Y85">
        <f>IF(RunSize_by_Stock!Y37&gt;0,(RunSize_by_Stock!Y37-Escapements!Y38)/RunSize_by_Stock!Y37,"")</f>
        <v>8.6803680038309267E-2</v>
      </c>
      <c r="Z85">
        <f>IF(RunSize_by_Stock!Z37&gt;0,(RunSize_by_Stock!Z37-Escapements!Z38)/RunSize_by_Stock!Z37,"")</f>
        <v>0.24828143954710877</v>
      </c>
      <c r="AA85">
        <f>IF(RunSize_by_Stock!AA37&gt;0,(RunSize_by_Stock!AA37-Escapements!AA38)/RunSize_by_Stock!AA37,"")</f>
        <v>0.19601328903654486</v>
      </c>
      <c r="AB85">
        <f>IF(RunSize_by_Stock!AB37&gt;0,(RunSize_by_Stock!AB37-Escapements!AB38)/RunSize_by_Stock!AB37,"")</f>
        <v>0.15044247787610621</v>
      </c>
      <c r="AC85">
        <f>IF(RunSize_by_Stock!AC37&gt;0,(RunSize_by_Stock!AC37-Escapements!AC38)/RunSize_by_Stock!AC37,"")</f>
        <v>0.14767285960543958</v>
      </c>
      <c r="AD85">
        <f>IF(RunSize_by_Stock!AD37&gt;0,(RunSize_by_Stock!AD37-Escapements!AD38)/RunSize_by_Stock!AD37,"")</f>
        <v>5.9952038369304558E-2</v>
      </c>
      <c r="AE85">
        <f>IF(RunSize_by_Stock!AE37&gt;0,(RunSize_by_Stock!AE37-Escapements!AE38)/RunSize_by_Stock!AE37,"")</f>
        <v>0.14220052749189691</v>
      </c>
      <c r="AF85">
        <f>IF(RunSize_by_Stock!AF37&gt;0,(RunSize_by_Stock!AF37-Escapements!AF38)/RunSize_by_Stock!AF37,"")</f>
        <v>0.15783751487880235</v>
      </c>
      <c r="AG85">
        <f>IF(RunSize_by_Stock!AG37&gt;0,(RunSize_by_Stock!AG37-Escapements!AG38)/RunSize_by_Stock!AG37,"")</f>
        <v>0.15494669116521115</v>
      </c>
      <c r="AH85">
        <f>IF(RunSize_by_Stock!AH37&gt;0,(RunSize_by_Stock!AH37-Escapements!AH38)/RunSize_by_Stock!AH37,"")</f>
        <v>0.3575305291723202</v>
      </c>
      <c r="AI85">
        <f>IF(RunSize_by_Stock!AI37&gt;0,(RunSize_by_Stock!AI37-Escapements!AI38)/RunSize_by_Stock!AI37,"")</f>
        <v>0.1348314606741573</v>
      </c>
      <c r="AJ85">
        <f>IF(RunSize_by_Stock!AJ37&gt;0,(RunSize_by_Stock!AJ37-Escapements!AJ38)/RunSize_by_Stock!AJ37,"")</f>
        <v>0.99962962962962953</v>
      </c>
      <c r="AK85">
        <f>IF(RunSize_by_Stock!AK37&gt;0,(RunSize_by_Stock!AK37-Escapements!AK38)/RunSize_by_Stock!AK37,"")</f>
        <v>0.15068493150684931</v>
      </c>
      <c r="AL85">
        <f>IF(RunSize_by_Stock!AL37&gt;0,(RunSize_by_Stock!AL37-Escapements!AL38)/RunSize_by_Stock!AL37,"")</f>
        <v>0.19058754750073079</v>
      </c>
      <c r="AM85">
        <f>IF(RunSize_by_Stock!AM37&gt;0,(RunSize_by_Stock!AM37-Escapements!AM38)/RunSize_by_Stock!AM37,"")</f>
        <v>0.24390243902439024</v>
      </c>
      <c r="AN85">
        <f>IF(RunSize_by_Stock!AN37&gt;0,(RunSize_by_Stock!AN37-Escapements!AN38)/RunSize_by_Stock!AN37,"")</f>
        <v>0.15767634854771784</v>
      </c>
      <c r="AO85">
        <f>IF(RunSize_by_Stock!AO37&gt;0,(RunSize_by_Stock!AO37-Escapements!AO38)/RunSize_by_Stock!AO37,"")</f>
        <v>0.16981132075471697</v>
      </c>
      <c r="AP85">
        <f>IF(RunSize_by_Stock!AP37&gt;0,(RunSize_by_Stock!AP37-Escapements!AP38)/RunSize_by_Stock!AP37,"")</f>
        <v>0.19498607242339833</v>
      </c>
      <c r="AQ85">
        <f>IF(RunSize_by_Stock!AQ37&gt;0,(RunSize_by_Stock!AQ37-Escapements!AQ38)/RunSize_by_Stock!AQ37,"")</f>
        <v>0.2</v>
      </c>
      <c r="AR85">
        <f>IF(RunSize_by_Stock!AR37&gt;0,(RunSize_by_Stock!AR37-Escapements!AR38)/RunSize_by_Stock!AR37,"")</f>
        <v>0.15789473684210525</v>
      </c>
      <c r="AS85">
        <f>IF(RunSize_by_Stock!AS37&gt;0,(RunSize_by_Stock!AS37-Escapements!AS38)/RunSize_by_Stock!AS37,"")</f>
        <v>0.19532908704883228</v>
      </c>
      <c r="AT85">
        <f>IF(RunSize_by_Stock!AT37&gt;0,(RunSize_by_Stock!AT37-Escapements!AT38)/RunSize_by_Stock!AT37,"")</f>
        <v>0.18815260675683115</v>
      </c>
      <c r="AU85">
        <f>IF(RunSize_by_Stock!AU37&gt;0,(RunSize_by_Stock!AU37-Escapements!AU38)/RunSize_by_Stock!AU37,"")</f>
        <v>0.22905027932960895</v>
      </c>
      <c r="AV85">
        <f>IF(RunSize_by_Stock!AV37&gt;0,(RunSize_by_Stock!AV37-Escapements!AV38)/RunSize_by_Stock!AV37,"")</f>
        <v>0.17988394584139264</v>
      </c>
      <c r="AW85">
        <f>IF(RunSize_by_Stock!AW37&gt;0,(RunSize_by_Stock!AW37-Escapements!AW38)/RunSize_by_Stock!AW37,"")</f>
        <v>0.23512503592986492</v>
      </c>
      <c r="AX85">
        <f>IF(RunSize_by_Stock!AX37&gt;0,(RunSize_by_Stock!AX37-Escapements!AX38)/RunSize_by_Stock!AX37,"")</f>
        <v>0.27594990447887924</v>
      </c>
      <c r="AY85">
        <f>IF(RunSize_by_Stock!AY37&gt;0,(RunSize_by_Stock!AY37-Escapements!AY38)/RunSize_by_Stock!AY37,"")</f>
        <v>0.29528121443962907</v>
      </c>
      <c r="AZ85">
        <f>IF(RunSize_by_Stock!AZ37&gt;0,(RunSize_by_Stock!AZ37-Escapements!AZ38)/RunSize_by_Stock!AZ37,"")</f>
        <v>0.28245386856587895</v>
      </c>
      <c r="BA85">
        <f>IF(RunSize_by_Stock!BA37&gt;0,(RunSize_by_Stock!BA37-Escapements!BA38)/RunSize_by_Stock!BA37,"")</f>
        <v>0.2192952446117003</v>
      </c>
      <c r="BB85">
        <f>IF(RunSize_by_Stock!BB37&gt;0,(RunSize_by_Stock!BB37-Escapements!BB38)/RunSize_by_Stock!BB37,"")</f>
        <v>0.21733481811432814</v>
      </c>
      <c r="BC85">
        <f>IF(RunSize_by_Stock!BC37&gt;0,(RunSize_by_Stock!BC37-Escapements!BC38)/RunSize_by_Stock!BC37,"")</f>
        <v>0.15588030619345861</v>
      </c>
      <c r="BD85">
        <f>IF(RunSize_by_Stock!BD37&gt;0,(RunSize_by_Stock!BD37-Escapements!BD38)/RunSize_by_Stock!BD37,"")</f>
        <v>0.15589080459770116</v>
      </c>
      <c r="BE85">
        <f>IF(RunSize_by_Stock!BE37&gt;0,(RunSize_by_Stock!BE37-Escapements!BE38)/RunSize_by_Stock!BE37,"")</f>
        <v>0.18678483284720665</v>
      </c>
      <c r="BF85">
        <f>IF(RunSize_by_Stock!BF37&gt;0,(RunSize_by_Stock!BF37-Escapements!BF38)/RunSize_by_Stock!BF37,"")</f>
        <v>0</v>
      </c>
      <c r="BG85">
        <f>IF(RunSize_by_Stock!BG37&gt;0,(RunSize_by_Stock!BG37-Escapements!BG38)/RunSize_by_Stock!BG37,"")</f>
        <v>0.14356435643564355</v>
      </c>
      <c r="BH85">
        <f>IF(RunSize_by_Stock!BH37&gt;0,(RunSize_by_Stock!BH37-Escapements!BH38)/RunSize_by_Stock!BH37,"")</f>
        <v>0.19198312236286919</v>
      </c>
      <c r="BI85">
        <f>IF(RunSize_by_Stock!BI37&gt;0,(RunSize_by_Stock!BI37-Escapements!BI38)/RunSize_by_Stock!BI37,"")</f>
        <v>3.0541765594647097E-2</v>
      </c>
      <c r="BJ85">
        <f>IF(RunSize_by_Stock!BJ37&gt;0,(RunSize_by_Stock!BJ37-Escapements!BJ38)/RunSize_by_Stock!BJ37,"")</f>
        <v>0.10056701259863503</v>
      </c>
      <c r="BK85">
        <f>IF(RunSize_by_Stock!BK37&gt;0,(RunSize_by_Stock!BK37-Escapements!BK38)/RunSize_by_Stock!BK37,"")</f>
        <v>1.3157894736842105E-2</v>
      </c>
      <c r="BL85">
        <f>IF(RunSize_by_Stock!BL37&gt;0,(RunSize_by_Stock!BL37-Escapements!BL38)/RunSize_by_Stock!BL37,"")</f>
        <v>0.23809523809523808</v>
      </c>
      <c r="BM85">
        <f>IF(RunSize_by_Stock!BM37&gt;0,(RunSize_by_Stock!BM37-Escapements!BM38)/RunSize_by_Stock!BM37,"")</f>
        <v>0.14285714285714285</v>
      </c>
      <c r="BN85">
        <f>IF(RunSize_by_Stock!BN37&gt;0,(RunSize_by_Stock!BN37-Escapements!BN38)/RunSize_by_Stock!BN37,"")</f>
        <v>0.16451449643588462</v>
      </c>
      <c r="BO85">
        <f>IF(RunSize_by_Stock!BO37&gt;0,(RunSize_by_Stock!BO37-Escapements!BO38)/RunSize_by_Stock!BO37,"")</f>
        <v>0</v>
      </c>
      <c r="BP85">
        <f>IF(RunSize_by_Stock!BP37&gt;0,(RunSize_by_Stock!BP37-Escapements!BP38)/RunSize_by_Stock!BP37,"")</f>
        <v>0.20689655172413793</v>
      </c>
      <c r="BQ85">
        <f>IF(RunSize_by_Stock!BQ37&gt;0,(RunSize_by_Stock!BQ37-Escapements!BQ38)/RunSize_by_Stock!BQ37,"")</f>
        <v>1.2805028973783264E-2</v>
      </c>
      <c r="BR85">
        <f>IF(RunSize_by_Stock!BR37&gt;0,(RunSize_by_Stock!BR37-Escapements!BR38)/RunSize_by_Stock!BR37,"")</f>
        <v>8.6394605760474696E-2</v>
      </c>
      <c r="BS85">
        <f>IF(RunSize_by_Stock!BS37&gt;0,(RunSize_by_Stock!BS37-Escapements!BS38)/RunSize_by_Stock!BS37,"")</f>
        <v>7.3170731707317069E-2</v>
      </c>
      <c r="BT85">
        <f>IF(RunSize_by_Stock!BT37&gt;0,(RunSize_by_Stock!BT37-Escapements!BT38)/RunSize_by_Stock!BT37,"")</f>
        <v>0.18594436310395315</v>
      </c>
      <c r="BU85">
        <f>IF(RunSize_by_Stock!BU37&gt;0,(RunSize_by_Stock!BU37-Escapements!BU38)/RunSize_by_Stock!BU37,"")</f>
        <v>4.7437128107413219E-2</v>
      </c>
      <c r="BV85">
        <f>IF(RunSize_by_Stock!BV37&gt;0,(RunSize_by_Stock!BV37-Escapements!BV38)/RunSize_by_Stock!BV37,"")</f>
        <v>0.125</v>
      </c>
      <c r="BW85" t="str">
        <f>IF(RunSize_by_Stock!BW37&gt;0,(RunSize_by_Stock!BW37-Escapements!BW38)/RunSize_by_Stock!BW37,"")</f>
        <v/>
      </c>
      <c r="BX85">
        <f>IF(RunSize_by_Stock!BX37&gt;0,(RunSize_by_Stock!BX37-Escapements!BX38)/RunSize_by_Stock!BX37,"")</f>
        <v>0.19354838709677419</v>
      </c>
      <c r="BY85">
        <f>IF(RunSize_by_Stock!BY37&gt;0,(RunSize_by_Stock!BY37-Escapements!BY38)/RunSize_by_Stock!BY37,"")</f>
        <v>8.7565059169019105E-2</v>
      </c>
      <c r="BZ85">
        <f>IF(RunSize_by_Stock!BZ37&gt;0,(RunSize_by_Stock!BZ37-Escapements!BZ38)/RunSize_by_Stock!BZ37,"")</f>
        <v>8.620200766033552E-2</v>
      </c>
      <c r="CA85">
        <f>IF(RunSize_by_Stock!CA37&gt;0,(RunSize_by_Stock!CA37-Escapements!CA38)/RunSize_by_Stock!CA37,"")</f>
        <v>0.2</v>
      </c>
      <c r="CB85">
        <f>IF(RunSize_by_Stock!CB37&gt;0,(RunSize_by_Stock!CB37-Escapements!CB38)/RunSize_by_Stock!CB37,"")</f>
        <v>7.8481201119349975E-2</v>
      </c>
      <c r="CC85">
        <f>IF(RunSize_by_Stock!CC37&gt;0,(RunSize_by_Stock!CC37-Escapements!CC38)/RunSize_by_Stock!CC37,"")</f>
        <v>0.11764705882352941</v>
      </c>
      <c r="CD85" t="str">
        <f>IF(RunSize_by_Stock!CD37&gt;0,(RunSize_by_Stock!CD37-Escapements!CD38)/RunSize_by_Stock!CD37,"")</f>
        <v/>
      </c>
      <c r="CE85">
        <f>IF(RunSize_by_Stock!CE37&gt;0,(RunSize_by_Stock!CE37-Escapements!CE38)/RunSize_by_Stock!CE37,"")</f>
        <v>0.1</v>
      </c>
      <c r="CF85">
        <f>IF(RunSize_by_Stock!CF37&gt;0,(RunSize_by_Stock!CF37-Escapements!CF38)/RunSize_by_Stock!CF37,"")</f>
        <v>0.16</v>
      </c>
      <c r="CG85">
        <f>IF(RunSize_by_Stock!CG37&gt;0,(RunSize_by_Stock!CG37-Escapements!CG38)/RunSize_by_Stock!CG37,"")</f>
        <v>0.23582474226804123</v>
      </c>
      <c r="CH85">
        <f t="shared" si="3"/>
        <v>0.16218264727424758</v>
      </c>
    </row>
    <row r="86" spans="1:86" x14ac:dyDescent="0.55000000000000004">
      <c r="A86">
        <f t="shared" si="2"/>
        <v>2015</v>
      </c>
      <c r="B86">
        <f>IF(RunSize_by_Stock!B38&gt;0,(RunSize_by_Stock!B38-Escapements!B39)/RunSize_by_Stock!B38,"")</f>
        <v>0.13861386138613863</v>
      </c>
      <c r="C86">
        <f>IF(RunSize_by_Stock!C38&gt;0,(RunSize_by_Stock!C38-Escapements!C39)/RunSize_by_Stock!C38,"")</f>
        <v>8.5551330798479083E-2</v>
      </c>
      <c r="D86">
        <f>IF(RunSize_by_Stock!D38&gt;0,(RunSize_by_Stock!D38-Escapements!D39)/RunSize_by_Stock!D38,"")</f>
        <v>0.13333333333333333</v>
      </c>
      <c r="E86">
        <f>IF(RunSize_by_Stock!E38&gt;0,(RunSize_by_Stock!E38-Escapements!E39)/RunSize_by_Stock!E38,"")</f>
        <v>0.13414634146341464</v>
      </c>
      <c r="F86">
        <f>IF(RunSize_by_Stock!F38&gt;0,(RunSize_by_Stock!F38-Escapements!F39)/RunSize_by_Stock!F38,"")</f>
        <v>0.13131313131313133</v>
      </c>
      <c r="G86">
        <f>IF(RunSize_by_Stock!G38&gt;0,(RunSize_by_Stock!G38-Escapements!G39)/RunSize_by_Stock!G38,"")</f>
        <v>0.125</v>
      </c>
      <c r="H86">
        <f>IF(RunSize_by_Stock!H38&gt;0,(RunSize_by_Stock!H38-Escapements!H39)/RunSize_by_Stock!H38,"")</f>
        <v>0.125</v>
      </c>
      <c r="I86">
        <f>IF(RunSize_by_Stock!I38&gt;0,(RunSize_by_Stock!I38-Escapements!I39)/RunSize_by_Stock!I38,"")</f>
        <v>0.13533834586466165</v>
      </c>
      <c r="J86">
        <f>IF(RunSize_by_Stock!J38&gt;0,(RunSize_by_Stock!J38-Escapements!J39)/RunSize_by_Stock!J38,"")</f>
        <v>0.13479623824451412</v>
      </c>
      <c r="K86">
        <f>IF(RunSize_by_Stock!K38&gt;0,(RunSize_by_Stock!K38-Escapements!K39)/RunSize_by_Stock!K38,"")</f>
        <v>0.13207547169811321</v>
      </c>
      <c r="L86">
        <f>IF(RunSize_by_Stock!L38&gt;0,(RunSize_by_Stock!L38-Escapements!L39)/RunSize_by_Stock!L38,"")</f>
        <v>0.132952691680261</v>
      </c>
      <c r="M86">
        <f>IF(RunSize_by_Stock!M38&gt;0,(RunSize_by_Stock!M38-Escapements!M39)/RunSize_by_Stock!M38,"")</f>
        <v>0.12057163255408167</v>
      </c>
      <c r="N86">
        <f>IF(RunSize_by_Stock!N38&gt;0,(RunSize_by_Stock!N38-Escapements!N39)/RunSize_by_Stock!N38,"")</f>
        <v>9.2959671907040325E-2</v>
      </c>
      <c r="O86">
        <f>IF(RunSize_by_Stock!O38&gt;0,(RunSize_by_Stock!O38-Escapements!O39)/RunSize_by_Stock!O38,"")</f>
        <v>0.11261609907120766</v>
      </c>
      <c r="P86">
        <f>IF(RunSize_by_Stock!P38&gt;0,(RunSize_by_Stock!P38-Escapements!P39)/RunSize_by_Stock!P38,"")</f>
        <v>0.12374227836379759</v>
      </c>
      <c r="Q86">
        <f>IF(RunSize_by_Stock!Q38&gt;0,(RunSize_by_Stock!Q38-Escapements!Q39)/RunSize_by_Stock!Q38,"")</f>
        <v>8.5353003161222338E-2</v>
      </c>
      <c r="R86">
        <f>IF(RunSize_by_Stock!R38&gt;0,(RunSize_by_Stock!R38-Escapements!R39)/RunSize_by_Stock!R38,"")</f>
        <v>7.1428571428571425E-2</v>
      </c>
      <c r="S86">
        <f>IF(RunSize_by_Stock!S38&gt;0,(RunSize_by_Stock!S38-Escapements!S39)/RunSize_by_Stock!S38,"")</f>
        <v>9.4806398108110368E-2</v>
      </c>
      <c r="T86">
        <f>IF(RunSize_by_Stock!T38&gt;0,(RunSize_by_Stock!T38-Escapements!T39)/RunSize_by_Stock!T38,"")</f>
        <v>7.1764442454097632E-2</v>
      </c>
      <c r="U86">
        <f>IF(RunSize_by_Stock!U38&gt;0,(RunSize_by_Stock!U38-Escapements!U39)/RunSize_by_Stock!U38,"")</f>
        <v>0</v>
      </c>
      <c r="V86">
        <f>IF(RunSize_by_Stock!V38&gt;0,(RunSize_by_Stock!V38-Escapements!V39)/RunSize_by_Stock!V38,"")</f>
        <v>0.1</v>
      </c>
      <c r="W86">
        <f>IF(RunSize_by_Stock!W38&gt;0,(RunSize_by_Stock!W38-Escapements!W39)/RunSize_by_Stock!W38,"")</f>
        <v>0.23345588235294118</v>
      </c>
      <c r="X86">
        <f>IF(RunSize_by_Stock!X38&gt;0,(RunSize_by_Stock!X38-Escapements!X39)/RunSize_by_Stock!X38,"")</f>
        <v>0.12392947103274547</v>
      </c>
      <c r="Y86">
        <f>IF(RunSize_by_Stock!Y38&gt;0,(RunSize_by_Stock!Y38-Escapements!Y39)/RunSize_by_Stock!Y38,"")</f>
        <v>0.16928194111169578</v>
      </c>
      <c r="Z86">
        <f>IF(RunSize_by_Stock!Z38&gt;0,(RunSize_by_Stock!Z38-Escapements!Z39)/RunSize_by_Stock!Z38,"")</f>
        <v>0.11632142044161166</v>
      </c>
      <c r="AA86">
        <f>IF(RunSize_by_Stock!AA38&gt;0,(RunSize_by_Stock!AA38-Escapements!AA39)/RunSize_by_Stock!AA38,"")</f>
        <v>9.4405594405594401E-2</v>
      </c>
      <c r="AB86">
        <f>IF(RunSize_by_Stock!AB38&gt;0,(RunSize_by_Stock!AB38-Escapements!AB39)/RunSize_by_Stock!AB38,"")</f>
        <v>5.3824362606232294E-2</v>
      </c>
      <c r="AC86">
        <f>IF(RunSize_by_Stock!AC38&gt;0,(RunSize_by_Stock!AC38-Escapements!AC39)/RunSize_by_Stock!AC38,"")</f>
        <v>6.6218973138388301E-2</v>
      </c>
      <c r="AD86">
        <f>IF(RunSize_by_Stock!AD38&gt;0,(RunSize_by_Stock!AD38-Escapements!AD39)/RunSize_by_Stock!AD38,"")</f>
        <v>0.23214285714285715</v>
      </c>
      <c r="AE86">
        <f>IF(RunSize_by_Stock!AE38&gt;0,(RunSize_by_Stock!AE38-Escapements!AE39)/RunSize_by_Stock!AE38,"")</f>
        <v>6.8259737958640168E-2</v>
      </c>
      <c r="AF86">
        <f>IF(RunSize_by_Stock!AF38&gt;0,(RunSize_by_Stock!AF38-Escapements!AF39)/RunSize_by_Stock!AF38,"")</f>
        <v>6.2388591800356503E-2</v>
      </c>
      <c r="AG86">
        <f>IF(RunSize_by_Stock!AG38&gt;0,(RunSize_by_Stock!AG38-Escapements!AG39)/RunSize_by_Stock!AG38,"")</f>
        <v>4.710144927536232E-2</v>
      </c>
      <c r="AH86">
        <f>IF(RunSize_by_Stock!AH38&gt;0,(RunSize_by_Stock!AH38-Escapements!AH39)/RunSize_by_Stock!AH38,"")</f>
        <v>0.14412811387900357</v>
      </c>
      <c r="AI86">
        <f>IF(RunSize_by_Stock!AI38&gt;0,(RunSize_by_Stock!AI38-Escapements!AI39)/RunSize_by_Stock!AI38,"")</f>
        <v>0.10752688172043011</v>
      </c>
      <c r="AJ86">
        <f>IF(RunSize_by_Stock!AJ38&gt;0,(RunSize_by_Stock!AJ38-Escapements!AJ39)/RunSize_by_Stock!AJ38,"")</f>
        <v>0.10128077907832622</v>
      </c>
      <c r="AK86">
        <f>IF(RunSize_by_Stock!AK38&gt;0,(RunSize_by_Stock!AK38-Escapements!AK39)/RunSize_by_Stock!AK38,"")</f>
        <v>9.4827586206896547E-2</v>
      </c>
      <c r="AL86">
        <f>IF(RunSize_by_Stock!AL38&gt;0,(RunSize_by_Stock!AL38-Escapements!AL39)/RunSize_by_Stock!AL38,"")</f>
        <v>0.1293999329534026</v>
      </c>
      <c r="AM86">
        <f>IF(RunSize_by_Stock!AM38&gt;0,(RunSize_by_Stock!AM38-Escapements!AM39)/RunSize_by_Stock!AM38,"")</f>
        <v>9.375E-2</v>
      </c>
      <c r="AN86">
        <f>IF(RunSize_by_Stock!AN38&gt;0,(RunSize_by_Stock!AN38-Escapements!AN39)/RunSize_by_Stock!AN38,"")</f>
        <v>7.586206896551724E-2</v>
      </c>
      <c r="AO86">
        <f>IF(RunSize_by_Stock!AO38&gt;0,(RunSize_by_Stock!AO38-Escapements!AO39)/RunSize_by_Stock!AO38,"")</f>
        <v>9.1463414634146339E-2</v>
      </c>
      <c r="AP86">
        <f>IF(RunSize_by_Stock!AP38&gt;0,(RunSize_by_Stock!AP38-Escapements!AP39)/RunSize_by_Stock!AP38,"")</f>
        <v>0.25233644859813081</v>
      </c>
      <c r="AQ86">
        <f>IF(RunSize_by_Stock!AQ38&gt;0,(RunSize_by_Stock!AQ38-Escapements!AQ39)/RunSize_by_Stock!AQ38,"")</f>
        <v>8.5574092247301281E-2</v>
      </c>
      <c r="AR86">
        <f>IF(RunSize_by_Stock!AR38&gt;0,(RunSize_by_Stock!AR38-Escapements!AR39)/RunSize_by_Stock!AR38,"")</f>
        <v>8.2802547770700632E-2</v>
      </c>
      <c r="AS86">
        <f>IF(RunSize_by_Stock!AS38&gt;0,(RunSize_by_Stock!AS38-Escapements!AS39)/RunSize_by_Stock!AS38,"")</f>
        <v>6.666178601906303E-2</v>
      </c>
      <c r="AT86">
        <f>IF(RunSize_by_Stock!AT38&gt;0,(RunSize_by_Stock!AT38-Escapements!AT39)/RunSize_by_Stock!AT38,"")</f>
        <v>0.10900729108244532</v>
      </c>
      <c r="AU86">
        <f>IF(RunSize_by_Stock!AU38&gt;0,(RunSize_by_Stock!AU38-Escapements!AU39)/RunSize_by_Stock!AU38,"")</f>
        <v>8.7326943556975511E-2</v>
      </c>
      <c r="AV86">
        <f>IF(RunSize_by_Stock!AV38&gt;0,(RunSize_by_Stock!AV38-Escapements!AV39)/RunSize_by_Stock!AV38,"")</f>
        <v>0.10837438423645321</v>
      </c>
      <c r="AW86">
        <f>IF(RunSize_by_Stock!AW38&gt;0,(RunSize_by_Stock!AW38-Escapements!AW39)/RunSize_by_Stock!AW38,"")</f>
        <v>0.11388271261812118</v>
      </c>
      <c r="AX86">
        <f>IF(RunSize_by_Stock!AX38&gt;0,(RunSize_by_Stock!AX38-Escapements!AX39)/RunSize_by_Stock!AX38,"")</f>
        <v>0.14618422384986668</v>
      </c>
      <c r="AY86">
        <f>IF(RunSize_by_Stock!AY38&gt;0,(RunSize_by_Stock!AY38-Escapements!AY39)/RunSize_by_Stock!AY38,"")</f>
        <v>0.1654377320517714</v>
      </c>
      <c r="AZ86">
        <f>IF(RunSize_by_Stock!AZ38&gt;0,(RunSize_by_Stock!AZ38-Escapements!AZ39)/RunSize_by_Stock!AZ38,"")</f>
        <v>0.1582933136313262</v>
      </c>
      <c r="BA86">
        <f>IF(RunSize_by_Stock!BA38&gt;0,(RunSize_by_Stock!BA38-Escapements!BA39)/RunSize_by_Stock!BA38,"")</f>
        <v>0.18525519848771266</v>
      </c>
      <c r="BB86">
        <f>IF(RunSize_by_Stock!BB38&gt;0,(RunSize_by_Stock!BB38-Escapements!BB39)/RunSize_by_Stock!BB38,"")</f>
        <v>0.18696168696168697</v>
      </c>
      <c r="BC86">
        <f>IF(RunSize_by_Stock!BC38&gt;0,(RunSize_by_Stock!BC38-Escapements!BC39)/RunSize_by_Stock!BC38,"")</f>
        <v>0.32768361581920902</v>
      </c>
      <c r="BD86">
        <f>IF(RunSize_by_Stock!BD38&gt;0,(RunSize_by_Stock!BD38-Escapements!BD39)/RunSize_by_Stock!BD38,"")</f>
        <v>0.3273542600896861</v>
      </c>
      <c r="BE86">
        <f>IF(RunSize_by_Stock!BE38&gt;0,(RunSize_by_Stock!BE38-Escapements!BE39)/RunSize_by_Stock!BE38,"")</f>
        <v>0.14725085910652921</v>
      </c>
      <c r="BF86">
        <f>IF(RunSize_by_Stock!BF38&gt;0,(RunSize_by_Stock!BF38-Escapements!BF39)/RunSize_by_Stock!BF38,"")</f>
        <v>0</v>
      </c>
      <c r="BG86">
        <f>IF(RunSize_by_Stock!BG38&gt;0,(RunSize_by_Stock!BG38-Escapements!BG39)/RunSize_by_Stock!BG38,"")</f>
        <v>4.8424289008455038E-2</v>
      </c>
      <c r="BH86">
        <f>IF(RunSize_by_Stock!BH38&gt;0,(RunSize_by_Stock!BH38-Escapements!BH39)/RunSize_by_Stock!BH38,"")</f>
        <v>0.26906474820143883</v>
      </c>
      <c r="BI86">
        <f>IF(RunSize_by_Stock!BI38&gt;0,(RunSize_by_Stock!BI38-Escapements!BI39)/RunSize_by_Stock!BI38,"")</f>
        <v>1.8914077697952579E-2</v>
      </c>
      <c r="BJ86">
        <f>IF(RunSize_by_Stock!BJ38&gt;0,(RunSize_by_Stock!BJ38-Escapements!BJ39)/RunSize_by_Stock!BJ38,"")</f>
        <v>0.11470137440639212</v>
      </c>
      <c r="BK86">
        <f>IF(RunSize_by_Stock!BK38&gt;0,(RunSize_by_Stock!BK38-Escapements!BK39)/RunSize_by_Stock!BK38,"")</f>
        <v>2.0617242455907996E-2</v>
      </c>
      <c r="BL86">
        <f>IF(RunSize_by_Stock!BL38&gt;0,(RunSize_by_Stock!BL38-Escapements!BL39)/RunSize_by_Stock!BL38,"")</f>
        <v>9.493503261842158E-2</v>
      </c>
      <c r="BM86">
        <f>IF(RunSize_by_Stock!BM38&gt;0,(RunSize_by_Stock!BM38-Escapements!BM39)/RunSize_by_Stock!BM38,"")</f>
        <v>0</v>
      </c>
      <c r="BN86">
        <f>IF(RunSize_by_Stock!BN38&gt;0,(RunSize_by_Stock!BN38-Escapements!BN39)/RunSize_by_Stock!BN38,"")</f>
        <v>8.7027101407334828E-2</v>
      </c>
      <c r="BO86" t="str">
        <f>IF(RunSize_by_Stock!BO38&gt;0,(RunSize_by_Stock!BO38-Escapements!BO39)/RunSize_by_Stock!BO38,"")</f>
        <v/>
      </c>
      <c r="BP86">
        <f>IF(RunSize_by_Stock!BP38&gt;0,(RunSize_by_Stock!BP38-Escapements!BP39)/RunSize_by_Stock!BP38,"")</f>
        <v>8.9285714285714288E-2</v>
      </c>
      <c r="BQ86">
        <f>IF(RunSize_by_Stock!BQ38&gt;0,(RunSize_by_Stock!BQ38-Escapements!BQ39)/RunSize_by_Stock!BQ38,"")</f>
        <v>1.9607843137254902E-2</v>
      </c>
      <c r="BR86">
        <f>IF(RunSize_by_Stock!BR38&gt;0,(RunSize_by_Stock!BR38-Escapements!BR39)/RunSize_by_Stock!BR38,"")</f>
        <v>0.16954811650156512</v>
      </c>
      <c r="BS86">
        <f>IF(RunSize_by_Stock!BS38&gt;0,(RunSize_by_Stock!BS38-Escapements!BS39)/RunSize_by_Stock!BS38,"")</f>
        <v>4.0816326530612242E-2</v>
      </c>
      <c r="BT86">
        <f>IF(RunSize_by_Stock!BT38&gt;0,(RunSize_by_Stock!BT38-Escapements!BT39)/RunSize_by_Stock!BT38,"")</f>
        <v>0.15513126491646778</v>
      </c>
      <c r="BU86">
        <f>IF(RunSize_by_Stock!BU38&gt;0,(RunSize_by_Stock!BU38-Escapements!BU39)/RunSize_by_Stock!BU38,"")</f>
        <v>2.1409692192569496E-2</v>
      </c>
      <c r="BV86">
        <f>IF(RunSize_by_Stock!BV38&gt;0,(RunSize_by_Stock!BV38-Escapements!BV39)/RunSize_by_Stock!BV38,"")</f>
        <v>0.16666666666666666</v>
      </c>
      <c r="BW86" t="str">
        <f>IF(RunSize_by_Stock!BW38&gt;0,(RunSize_by_Stock!BW38-Escapements!BW39)/RunSize_by_Stock!BW38,"")</f>
        <v/>
      </c>
      <c r="BX86">
        <f>IF(RunSize_by_Stock!BX38&gt;0,(RunSize_by_Stock!BX38-Escapements!BX39)/RunSize_by_Stock!BX38,"")</f>
        <v>9.3023255813953487E-2</v>
      </c>
      <c r="BY86">
        <f>IF(RunSize_by_Stock!BY38&gt;0,(RunSize_by_Stock!BY38-Escapements!BY39)/RunSize_by_Stock!BY38,"")</f>
        <v>0.17100425073268874</v>
      </c>
      <c r="BZ86">
        <f>IF(RunSize_by_Stock!BZ38&gt;0,(RunSize_by_Stock!BZ38-Escapements!BZ39)/RunSize_by_Stock!BZ38,"")</f>
        <v>0.16932820386531872</v>
      </c>
      <c r="CA86">
        <f>IF(RunSize_by_Stock!CA38&gt;0,(RunSize_by_Stock!CA38-Escapements!CA39)/RunSize_by_Stock!CA38,"")</f>
        <v>0</v>
      </c>
      <c r="CB86">
        <f>IF(RunSize_by_Stock!CB38&gt;0,(RunSize_by_Stock!CB38-Escapements!CB39)/RunSize_by_Stock!CB38,"")</f>
        <v>3.5770556248443656E-2</v>
      </c>
      <c r="CC86">
        <f>IF(RunSize_by_Stock!CC38&gt;0,(RunSize_by_Stock!CC38-Escapements!CC39)/RunSize_by_Stock!CC38,"")</f>
        <v>9.0909090909090912E-2</v>
      </c>
      <c r="CD86" t="str">
        <f>IF(RunSize_by_Stock!CD38&gt;0,(RunSize_by_Stock!CD38-Escapements!CD39)/RunSize_by_Stock!CD38,"")</f>
        <v/>
      </c>
      <c r="CE86">
        <f>IF(RunSize_by_Stock!CE38&gt;0,(RunSize_by_Stock!CE38-Escapements!CE39)/RunSize_by_Stock!CE38,"")</f>
        <v>0</v>
      </c>
      <c r="CF86" t="str">
        <f>IF(RunSize_by_Stock!CF38&gt;0,(RunSize_by_Stock!CF38-Escapements!CF39)/RunSize_by_Stock!CF38,"")</f>
        <v/>
      </c>
      <c r="CG86">
        <f>IF(RunSize_by_Stock!CG38&gt;0,(RunSize_by_Stock!CG38-Escapements!CG39)/RunSize_by_Stock!CG38,"")</f>
        <v>0.20512820512820512</v>
      </c>
      <c r="CH86">
        <f t="shared" si="3"/>
        <v>0.112732900629822</v>
      </c>
    </row>
    <row r="87" spans="1:86" x14ac:dyDescent="0.55000000000000004">
      <c r="A87">
        <f t="shared" si="2"/>
        <v>2016</v>
      </c>
      <c r="B87">
        <f>IF(RunSize_by_Stock!B39&gt;0,(RunSize_by_Stock!B39-Escapements!B40)/RunSize_by_Stock!B39,"")</f>
        <v>0.15309446254071662</v>
      </c>
      <c r="C87">
        <f>IF(RunSize_by_Stock!C39&gt;0,(RunSize_by_Stock!C39-Escapements!C40)/RunSize_by_Stock!C39,"")</f>
        <v>0.11143781240811526</v>
      </c>
      <c r="D87">
        <f>IF(RunSize_by_Stock!D39&gt;0,(RunSize_by_Stock!D39-Escapements!D40)/RunSize_by_Stock!D39,"")</f>
        <v>0.15</v>
      </c>
      <c r="E87">
        <f>IF(RunSize_by_Stock!E39&gt;0,(RunSize_by_Stock!E39-Escapements!E40)/RunSize_by_Stock!E39,"")</f>
        <v>0.15</v>
      </c>
      <c r="F87">
        <f>IF(RunSize_by_Stock!F39&gt;0,(RunSize_by_Stock!F39-Escapements!F40)/RunSize_by_Stock!F39,"")</f>
        <v>0.14545454545454545</v>
      </c>
      <c r="G87">
        <f>IF(RunSize_by_Stock!G39&gt;0,(RunSize_by_Stock!G39-Escapements!G40)/RunSize_by_Stock!G39,"")</f>
        <v>0.1111111111111111</v>
      </c>
      <c r="H87">
        <f>IF(RunSize_by_Stock!H39&gt;0,(RunSize_by_Stock!H39-Escapements!H40)/RunSize_by_Stock!H39,"")</f>
        <v>0.14285714285714285</v>
      </c>
      <c r="I87">
        <f>IF(RunSize_by_Stock!I39&gt;0,(RunSize_by_Stock!I39-Escapements!I40)/RunSize_by_Stock!I39,"")</f>
        <v>0.14473684210526316</v>
      </c>
      <c r="J87">
        <f>IF(RunSize_by_Stock!J39&gt;0,(RunSize_by_Stock!J39-Escapements!J40)/RunSize_by_Stock!J39,"")</f>
        <v>0.14785789467048946</v>
      </c>
      <c r="K87">
        <f>IF(RunSize_by_Stock!K39&gt;0,(RunSize_by_Stock!K39-Escapements!K40)/RunSize_by_Stock!K39,"")</f>
        <v>0.14093959731543623</v>
      </c>
      <c r="L87">
        <f>IF(RunSize_by_Stock!L39&gt;0,(RunSize_by_Stock!L39-Escapements!L40)/RunSize_by_Stock!L39,"")</f>
        <v>0.1467780429594272</v>
      </c>
      <c r="M87">
        <f>IF(RunSize_by_Stock!M39&gt;0,(RunSize_by_Stock!M39-Escapements!M40)/RunSize_by_Stock!M39,"")</f>
        <v>0.13874576320838453</v>
      </c>
      <c r="N87">
        <f>IF(RunSize_by_Stock!N39&gt;0,(RunSize_by_Stock!N39-Escapements!N40)/RunSize_by_Stock!N39,"")</f>
        <v>0.11594202898550725</v>
      </c>
      <c r="O87">
        <f>IF(RunSize_by_Stock!O39&gt;0,(RunSize_by_Stock!O39-Escapements!O40)/RunSize_by_Stock!O39,"")</f>
        <v>0.11382316313823186</v>
      </c>
      <c r="P87">
        <f>IF(RunSize_by_Stock!P39&gt;0,(RunSize_by_Stock!P39-Escapements!P40)/RunSize_by_Stock!P39,"")</f>
        <v>0.1393393108951631</v>
      </c>
      <c r="Q87">
        <f>IF(RunSize_by_Stock!Q39&gt;0,(RunSize_by_Stock!Q39-Escapements!Q40)/RunSize_by_Stock!Q39,"")</f>
        <v>0.11235955056179775</v>
      </c>
      <c r="R87">
        <f>IF(RunSize_by_Stock!R39&gt;0,(RunSize_by_Stock!R39-Escapements!R40)/RunSize_by_Stock!R39,"")</f>
        <v>0.10399887428999686</v>
      </c>
      <c r="S87">
        <f>IF(RunSize_by_Stock!S39&gt;0,(RunSize_by_Stock!S39-Escapements!S40)/RunSize_by_Stock!S39,"")</f>
        <v>0.15017669437030076</v>
      </c>
      <c r="T87">
        <f>IF(RunSize_by_Stock!T39&gt;0,(RunSize_by_Stock!T39-Escapements!T40)/RunSize_by_Stock!T39,"")</f>
        <v>0.12188985183114341</v>
      </c>
      <c r="U87">
        <f>IF(RunSize_by_Stock!U39&gt;0,(RunSize_by_Stock!U39-Escapements!U40)/RunSize_by_Stock!U39,"")</f>
        <v>0</v>
      </c>
      <c r="V87">
        <f>IF(RunSize_by_Stock!V39&gt;0,(RunSize_by_Stock!V39-Escapements!V40)/RunSize_by_Stock!V39,"")</f>
        <v>0.125</v>
      </c>
      <c r="W87">
        <f>IF(RunSize_by_Stock!W39&gt;0,(RunSize_by_Stock!W39-Escapements!W40)/RunSize_by_Stock!W39,"")</f>
        <v>0.17391304347826086</v>
      </c>
      <c r="X87">
        <f>IF(RunSize_by_Stock!X39&gt;0,(RunSize_by_Stock!X39-Escapements!X40)/RunSize_by_Stock!X39,"")</f>
        <v>0.14711359404096824</v>
      </c>
      <c r="Y87">
        <f>IF(RunSize_by_Stock!Y39&gt;0,(RunSize_by_Stock!Y39-Escapements!Y40)/RunSize_by_Stock!Y39,"")</f>
        <v>0.17873303167420815</v>
      </c>
      <c r="Z87">
        <f>IF(RunSize_by_Stock!Z39&gt;0,(RunSize_by_Stock!Z39-Escapements!Z40)/RunSize_by_Stock!Z39,"")</f>
        <v>4.8462255358807084E-2</v>
      </c>
      <c r="AA87">
        <f>IF(RunSize_by_Stock!AA39&gt;0,(RunSize_by_Stock!AA39-Escapements!AA40)/RunSize_by_Stock!AA39,"")</f>
        <v>0.12121212121212122</v>
      </c>
      <c r="AB87">
        <f>IF(RunSize_by_Stock!AB39&gt;0,(RunSize_by_Stock!AB39-Escapements!AB40)/RunSize_by_Stock!AB39,"")</f>
        <v>0.10358565737051793</v>
      </c>
      <c r="AC87">
        <f>IF(RunSize_by_Stock!AC39&gt;0,(RunSize_by_Stock!AC39-Escapements!AC40)/RunSize_by_Stock!AC39,"")</f>
        <v>0.11342395921835174</v>
      </c>
      <c r="AD87">
        <f>IF(RunSize_by_Stock!AD39&gt;0,(RunSize_by_Stock!AD39-Escapements!AD40)/RunSize_by_Stock!AD39,"")</f>
        <v>0.17857142857142858</v>
      </c>
      <c r="AE87">
        <f>IF(RunSize_by_Stock!AE39&gt;0,(RunSize_by_Stock!AE39-Escapements!AE40)/RunSize_by_Stock!AE39,"")</f>
        <v>0.11430848085408934</v>
      </c>
      <c r="AF87">
        <f>IF(RunSize_by_Stock!AF39&gt;0,(RunSize_by_Stock!AF39-Escapements!AF40)/RunSize_by_Stock!AF39,"")</f>
        <v>0.12017167381974249</v>
      </c>
      <c r="AG87">
        <f>IF(RunSize_by_Stock!AG39&gt;0,(RunSize_by_Stock!AG39-Escapements!AG40)/RunSize_by_Stock!AG39,"")</f>
        <v>0.10443864229765012</v>
      </c>
      <c r="AH87">
        <f>IF(RunSize_by_Stock!AH39&gt;0,(RunSize_by_Stock!AH39-Escapements!AH40)/RunSize_by_Stock!AH39,"")</f>
        <v>0.11835077177492842</v>
      </c>
      <c r="AI87">
        <f>IF(RunSize_by_Stock!AI39&gt;0,(RunSize_by_Stock!AI39-Escapements!AI40)/RunSize_by_Stock!AI39,"")</f>
        <v>0.33333333333333331</v>
      </c>
      <c r="AJ87">
        <f>IF(RunSize_by_Stock!AJ39&gt;0,(RunSize_by_Stock!AJ39-Escapements!AJ40)/RunSize_by_Stock!AJ39,"")</f>
        <v>0.34023912598934214</v>
      </c>
      <c r="AK87">
        <f>IF(RunSize_by_Stock!AK39&gt;0,(RunSize_by_Stock!AK39-Escapements!AK40)/RunSize_by_Stock!AK39,"")</f>
        <v>0</v>
      </c>
      <c r="AL87">
        <f>IF(RunSize_by_Stock!AL39&gt;0,(RunSize_by_Stock!AL39-Escapements!AL40)/RunSize_by_Stock!AL39,"")</f>
        <v>0.13092269326683292</v>
      </c>
      <c r="AM87">
        <f>IF(RunSize_by_Stock!AM39&gt;0,(RunSize_by_Stock!AM39-Escapements!AM40)/RunSize_by_Stock!AM39,"")</f>
        <v>0.16666666666666666</v>
      </c>
      <c r="AN87">
        <f>IF(RunSize_by_Stock!AN39&gt;0,(RunSize_by_Stock!AN39-Escapements!AN40)/RunSize_by_Stock!AN39,"")</f>
        <v>0.125</v>
      </c>
      <c r="AO87">
        <f>IF(RunSize_by_Stock!AO39&gt;0,(RunSize_by_Stock!AO39-Escapements!AO40)/RunSize_by_Stock!AO39,"")</f>
        <v>0.15068493150684931</v>
      </c>
      <c r="AP87">
        <f>IF(RunSize_by_Stock!AP39&gt;0,(RunSize_by_Stock!AP39-Escapements!AP40)/RunSize_by_Stock!AP39,"")</f>
        <v>0.20918367346938777</v>
      </c>
      <c r="AQ87">
        <f>IF(RunSize_by_Stock!AQ39&gt;0,(RunSize_by_Stock!AQ39-Escapements!AQ40)/RunSize_by_Stock!AQ39,"")</f>
        <v>0.1099476439790576</v>
      </c>
      <c r="AR87">
        <f>IF(RunSize_by_Stock!AR39&gt;0,(RunSize_by_Stock!AR39-Escapements!AR40)/RunSize_by_Stock!AR39,"")</f>
        <v>0.14285714285714285</v>
      </c>
      <c r="AS87">
        <f>IF(RunSize_by_Stock!AS39&gt;0,(RunSize_by_Stock!AS39-Escapements!AS40)/RunSize_by_Stock!AS39,"")</f>
        <v>0.14094208529372318</v>
      </c>
      <c r="AT87">
        <f>IF(RunSize_by_Stock!AT39&gt;0,(RunSize_by_Stock!AT39-Escapements!AT40)/RunSize_by_Stock!AT39,"")</f>
        <v>0.13320463320463322</v>
      </c>
      <c r="AU87">
        <f>IF(RunSize_by_Stock!AU39&gt;0,(RunSize_by_Stock!AU39-Escapements!AU40)/RunSize_by_Stock!AU39,"")</f>
        <v>0.13826366559485531</v>
      </c>
      <c r="AV87">
        <f>IF(RunSize_by_Stock!AV39&gt;0,(RunSize_by_Stock!AV39-Escapements!AV40)/RunSize_by_Stock!AV39,"")</f>
        <v>0.12621359223300971</v>
      </c>
      <c r="AW87">
        <f>IF(RunSize_by_Stock!AW39&gt;0,(RunSize_by_Stock!AW39-Escapements!AW40)/RunSize_by_Stock!AW39,"")</f>
        <v>4.8372911169744945E-2</v>
      </c>
      <c r="AX87">
        <f>IF(RunSize_by_Stock!AX39&gt;0,(RunSize_by_Stock!AX39-Escapements!AX40)/RunSize_by_Stock!AX39,"")</f>
        <v>4.9950239325150469E-2</v>
      </c>
      <c r="AY87">
        <f>IF(RunSize_by_Stock!AY39&gt;0,(RunSize_by_Stock!AY39-Escapements!AY40)/RunSize_by_Stock!AY39,"")</f>
        <v>7.3911059426199341E-2</v>
      </c>
      <c r="AZ87">
        <f>IF(RunSize_by_Stock!AZ39&gt;0,(RunSize_by_Stock!AZ39-Escapements!AZ40)/RunSize_by_Stock!AZ39,"")</f>
        <v>4.8437244313532975E-2</v>
      </c>
      <c r="BA87">
        <f>IF(RunSize_by_Stock!BA39&gt;0,(RunSize_by_Stock!BA39-Escapements!BA40)/RunSize_by_Stock!BA39,"")</f>
        <v>0.17120384170067388</v>
      </c>
      <c r="BB87">
        <f>IF(RunSize_by_Stock!BB39&gt;0,(RunSize_by_Stock!BB39-Escapements!BB40)/RunSize_by_Stock!BB39,"")</f>
        <v>0.18544382371198015</v>
      </c>
      <c r="BC87">
        <f>IF(RunSize_by_Stock!BC39&gt;0,(RunSize_by_Stock!BC39-Escapements!BC40)/RunSize_by_Stock!BC39,"")</f>
        <v>0.23121387283236994</v>
      </c>
      <c r="BD87">
        <f>IF(RunSize_by_Stock!BD39&gt;0,(RunSize_by_Stock!BD39-Escapements!BD40)/RunSize_by_Stock!BD39,"")</f>
        <v>0.23146067415730337</v>
      </c>
      <c r="BE87">
        <f>IF(RunSize_by_Stock!BE39&gt;0,(RunSize_by_Stock!BE39-Escapements!BE40)/RunSize_by_Stock!BE39,"")</f>
        <v>0.14946355900850905</v>
      </c>
      <c r="BF87">
        <f>IF(RunSize_by_Stock!BF39&gt;0,(RunSize_by_Stock!BF39-Escapements!BF40)/RunSize_by_Stock!BF39,"")</f>
        <v>5.5555555555555552E-2</v>
      </c>
      <c r="BG87">
        <f>IF(RunSize_by_Stock!BG39&gt;0,(RunSize_by_Stock!BG39-Escapements!BG40)/RunSize_by_Stock!BG39,"")</f>
        <v>2.7777777777777776E-2</v>
      </c>
      <c r="BH87">
        <f>IF(RunSize_by_Stock!BH39&gt;0,(RunSize_by_Stock!BH39-Escapements!BH40)/RunSize_by_Stock!BH39,"")</f>
        <v>0.21967213114754097</v>
      </c>
      <c r="BI87">
        <f>IF(RunSize_by_Stock!BI39&gt;0,(RunSize_by_Stock!BI39-Escapements!BI40)/RunSize_by_Stock!BI39,"")</f>
        <v>1.5837050673841724E-2</v>
      </c>
      <c r="BJ87">
        <f>IF(RunSize_by_Stock!BJ39&gt;0,(RunSize_by_Stock!BJ39-Escapements!BJ40)/RunSize_by_Stock!BJ39,"")</f>
        <v>0.12849850378454497</v>
      </c>
      <c r="BK87">
        <f>IF(RunSize_by_Stock!BK39&gt;0,(RunSize_by_Stock!BK39-Escapements!BK40)/RunSize_by_Stock!BK39,"")</f>
        <v>0.02</v>
      </c>
      <c r="BL87">
        <f>IF(RunSize_by_Stock!BL39&gt;0,(RunSize_by_Stock!BL39-Escapements!BL40)/RunSize_by_Stock!BL39,"")</f>
        <v>0.16250000000000001</v>
      </c>
      <c r="BM87">
        <f>IF(RunSize_by_Stock!BM39&gt;0,(RunSize_by_Stock!BM39-Escapements!BM40)/RunSize_by_Stock!BM39,"")</f>
        <v>0.1111111111111111</v>
      </c>
      <c r="BN87">
        <f>IF(RunSize_by_Stock!BN39&gt;0,(RunSize_by_Stock!BN39-Escapements!BN40)/RunSize_by_Stock!BN39,"")</f>
        <v>9.3571264244314931E-2</v>
      </c>
      <c r="BO87" t="str">
        <f>IF(RunSize_by_Stock!BO39&gt;0,(RunSize_by_Stock!BO39-Escapements!BO40)/RunSize_by_Stock!BO39,"")</f>
        <v/>
      </c>
      <c r="BP87">
        <f>IF(RunSize_by_Stock!BP39&gt;0,(RunSize_by_Stock!BP39-Escapements!BP40)/RunSize_by_Stock!BP39,"")</f>
        <v>0.1</v>
      </c>
      <c r="BQ87">
        <f>IF(RunSize_by_Stock!BQ39&gt;0,(RunSize_by_Stock!BQ39-Escapements!BQ40)/RunSize_by_Stock!BQ39,"")</f>
        <v>5.3018010678974508E-3</v>
      </c>
      <c r="BR87">
        <f>IF(RunSize_by_Stock!BR39&gt;0,(RunSize_by_Stock!BR39-Escapements!BR40)/RunSize_by_Stock!BR39,"")</f>
        <v>0.175388168489677</v>
      </c>
      <c r="BS87">
        <f>IF(RunSize_by_Stock!BS39&gt;0,(RunSize_by_Stock!BS39-Escapements!BS40)/RunSize_by_Stock!BS39,"")</f>
        <v>0.04</v>
      </c>
      <c r="BT87">
        <f>IF(RunSize_by_Stock!BT39&gt;0,(RunSize_by_Stock!BT39-Escapements!BT40)/RunSize_by_Stock!BT39,"")</f>
        <v>0.15955056179775282</v>
      </c>
      <c r="BU87" t="str">
        <f>IF(RunSize_by_Stock!BU39&gt;0,(RunSize_by_Stock!BU39-Escapements!BU40)/RunSize_by_Stock!BU39,"")</f>
        <v/>
      </c>
      <c r="BV87">
        <f>IF(RunSize_by_Stock!BV39&gt;0,(RunSize_by_Stock!BV39-Escapements!BV40)/RunSize_by_Stock!BV39,"")</f>
        <v>0.15384615384615385</v>
      </c>
      <c r="BW87" t="str">
        <f>IF(RunSize_by_Stock!BW39&gt;0,(RunSize_by_Stock!BW39-Escapements!BW40)/RunSize_by_Stock!BW39,"")</f>
        <v/>
      </c>
      <c r="BX87">
        <f>IF(RunSize_by_Stock!BX39&gt;0,(RunSize_by_Stock!BX39-Escapements!BX40)/RunSize_by_Stock!BX39,"")</f>
        <v>0.13953488372093023</v>
      </c>
      <c r="BY87">
        <f>IF(RunSize_by_Stock!BY39&gt;0,(RunSize_by_Stock!BY39-Escapements!BY40)/RunSize_by_Stock!BY39,"")</f>
        <v>0.17799028478529755</v>
      </c>
      <c r="BZ87">
        <f>IF(RunSize_by_Stock!BZ39&gt;0,(RunSize_by_Stock!BZ39-Escapements!BZ40)/RunSize_by_Stock!BZ39,"")</f>
        <v>0.17845332121838609</v>
      </c>
      <c r="CA87">
        <f>IF(RunSize_by_Stock!CA39&gt;0,(RunSize_by_Stock!CA39-Escapements!CA40)/RunSize_by_Stock!CA39,"")</f>
        <v>0.25</v>
      </c>
      <c r="CB87">
        <f>IF(RunSize_by_Stock!CB39&gt;0,(RunSize_by_Stock!CB39-Escapements!CB40)/RunSize_by_Stock!CB39,"")</f>
        <v>5.8823529411764705E-2</v>
      </c>
      <c r="CC87">
        <f>IF(RunSize_by_Stock!CC39&gt;0,(RunSize_by_Stock!CC39-Escapements!CC40)/RunSize_by_Stock!CC39,"")</f>
        <v>0.46666666666666667</v>
      </c>
      <c r="CD87" t="str">
        <f>IF(RunSize_by_Stock!CD39&gt;0,(RunSize_by_Stock!CD39-Escapements!CD40)/RunSize_by_Stock!CD39,"")</f>
        <v/>
      </c>
      <c r="CE87">
        <f>IF(RunSize_by_Stock!CE39&gt;0,(RunSize_by_Stock!CE39-Escapements!CE40)/RunSize_by_Stock!CE39,"")</f>
        <v>0.10117596845179239</v>
      </c>
      <c r="CF87">
        <f>IF(RunSize_by_Stock!CF39&gt;0,(RunSize_by_Stock!CF39-Escapements!CF40)/RunSize_by_Stock!CF39,"")</f>
        <v>8.3333333333333329E-2</v>
      </c>
      <c r="CG87">
        <f>IF(RunSize_by_Stock!CG39&gt;0,(RunSize_by_Stock!CG39-Escapements!CG40)/RunSize_by_Stock!CG39,"")</f>
        <v>0.21088435374149661</v>
      </c>
      <c r="CH87">
        <f t="shared" si="3"/>
        <v>0.13450270227799971</v>
      </c>
    </row>
    <row r="88" spans="1:86" x14ac:dyDescent="0.55000000000000004">
      <c r="A88">
        <f t="shared" si="2"/>
        <v>2017</v>
      </c>
      <c r="B88">
        <f>IF(RunSize_by_Stock!B40&gt;0,(RunSize_by_Stock!B40-Escapements!B41)/RunSize_by_Stock!B40,"")</f>
        <v>0.12121212121212122</v>
      </c>
      <c r="C88">
        <f>IF(RunSize_by_Stock!C40&gt;0,(RunSize_by_Stock!C40-Escapements!C41)/RunSize_by_Stock!C40,"")</f>
        <v>0.10951239008792965</v>
      </c>
      <c r="D88">
        <f>IF(RunSize_by_Stock!D40&gt;0,(RunSize_by_Stock!D40-Escapements!D41)/RunSize_by_Stock!D40,"")</f>
        <v>0.12</v>
      </c>
      <c r="E88">
        <f>IF(RunSize_by_Stock!E40&gt;0,(RunSize_by_Stock!E40-Escapements!E41)/RunSize_by_Stock!E40,"")</f>
        <v>0.12820512820512819</v>
      </c>
      <c r="F88">
        <f>IF(RunSize_by_Stock!F40&gt;0,(RunSize_by_Stock!F40-Escapements!F41)/RunSize_by_Stock!F40,"")</f>
        <v>0.12830957230142567</v>
      </c>
      <c r="G88">
        <f>IF(RunSize_by_Stock!G40&gt;0,(RunSize_by_Stock!G40-Escapements!G41)/RunSize_by_Stock!G40,"")</f>
        <v>0.14285714285714285</v>
      </c>
      <c r="H88">
        <f>IF(RunSize_by_Stock!H40&gt;0,(RunSize_by_Stock!H40-Escapements!H41)/RunSize_by_Stock!H40,"")</f>
        <v>0.125</v>
      </c>
      <c r="I88">
        <f>IF(RunSize_by_Stock!I40&gt;0,(RunSize_by_Stock!I40-Escapements!I41)/RunSize_by_Stock!I40,"")</f>
        <v>0.125</v>
      </c>
      <c r="J88">
        <f>IF(RunSize_by_Stock!J40&gt;0,(RunSize_by_Stock!J40-Escapements!J41)/RunSize_by_Stock!J40,"")</f>
        <v>0.12702021440002895</v>
      </c>
      <c r="K88">
        <f>IF(RunSize_by_Stock!K40&gt;0,(RunSize_by_Stock!K40-Escapements!K41)/RunSize_by_Stock!K40,"")</f>
        <v>0.12631578947368421</v>
      </c>
      <c r="L88">
        <f>IF(RunSize_by_Stock!L40&gt;0,(RunSize_by_Stock!L40-Escapements!L41)/RunSize_by_Stock!L40,"")</f>
        <v>0.1263001485884101</v>
      </c>
      <c r="M88">
        <f>IF(RunSize_by_Stock!M40&gt;0,(RunSize_by_Stock!M40-Escapements!M41)/RunSize_by_Stock!M40,"")</f>
        <v>0.12643889456120005</v>
      </c>
      <c r="N88">
        <f>IF(RunSize_by_Stock!N40&gt;0,(RunSize_by_Stock!N40-Escapements!N41)/RunSize_by_Stock!N40,"")</f>
        <v>0.11358024691358025</v>
      </c>
      <c r="O88">
        <f>IF(RunSize_by_Stock!O40&gt;0,(RunSize_by_Stock!O40-Escapements!O41)/RunSize_by_Stock!O40,"")</f>
        <v>0.11142061281337068</v>
      </c>
      <c r="P88">
        <f>IF(RunSize_by_Stock!P40&gt;0,(RunSize_by_Stock!P40-Escapements!P41)/RunSize_by_Stock!P40,"")</f>
        <v>0.12533077133477974</v>
      </c>
      <c r="Q88">
        <f>IF(RunSize_by_Stock!Q40&gt;0,(RunSize_by_Stock!Q40-Escapements!Q41)/RunSize_by_Stock!Q40,"")</f>
        <v>0.10946745562130178</v>
      </c>
      <c r="R88">
        <f>IF(RunSize_by_Stock!R40&gt;0,(RunSize_by_Stock!R40-Escapements!R41)/RunSize_by_Stock!R40,"")</f>
        <v>0.10036643351133256</v>
      </c>
      <c r="S88">
        <f>IF(RunSize_by_Stock!S40&gt;0,(RunSize_by_Stock!S40-Escapements!S41)/RunSize_by_Stock!S40,"")</f>
        <v>9.8956463737712774E-2</v>
      </c>
      <c r="T88">
        <f>IF(RunSize_by_Stock!T40&gt;0,(RunSize_by_Stock!T40-Escapements!T41)/RunSize_by_Stock!T40,"")</f>
        <v>8.6799276672694395E-2</v>
      </c>
      <c r="U88">
        <f>IF(RunSize_by_Stock!U40&gt;0,(RunSize_by_Stock!U40-Escapements!U41)/RunSize_by_Stock!U40,"")</f>
        <v>0</v>
      </c>
      <c r="V88">
        <f>IF(RunSize_by_Stock!V40&gt;0,(RunSize_by_Stock!V40-Escapements!V41)/RunSize_by_Stock!V40,"")</f>
        <v>0.11428571428571428</v>
      </c>
      <c r="W88">
        <f>IF(RunSize_by_Stock!W40&gt;0,(RunSize_by_Stock!W40-Escapements!W41)/RunSize_by_Stock!W40,"")</f>
        <v>0.25</v>
      </c>
      <c r="X88">
        <f>IF(RunSize_by_Stock!X40&gt;0,(RunSize_by_Stock!X40-Escapements!X41)/RunSize_by_Stock!X40,"")</f>
        <v>0.11746664680451112</v>
      </c>
      <c r="Y88">
        <f>IF(RunSize_by_Stock!Y40&gt;0,(RunSize_by_Stock!Y40-Escapements!Y41)/RunSize_by_Stock!Y40,"")</f>
        <v>0.14673913043478262</v>
      </c>
      <c r="Z88">
        <f>IF(RunSize_by_Stock!Z40&gt;0,(RunSize_by_Stock!Z40-Escapements!Z41)/RunSize_by_Stock!Z40,"")</f>
        <v>0.16996699669966997</v>
      </c>
      <c r="AA88">
        <f>IF(RunSize_by_Stock!AA40&gt;0,(RunSize_by_Stock!AA40-Escapements!AA41)/RunSize_by_Stock!AA40,"")</f>
        <v>0.11538461538461539</v>
      </c>
      <c r="AB88">
        <f>IF(RunSize_by_Stock!AB40&gt;0,(RunSize_by_Stock!AB40-Escapements!AB41)/RunSize_by_Stock!AB40,"")</f>
        <v>7.792207792207792E-2</v>
      </c>
      <c r="AC88">
        <f>IF(RunSize_by_Stock!AC40&gt;0,(RunSize_by_Stock!AC40-Escapements!AC41)/RunSize_by_Stock!AC40,"")</f>
        <v>9.5378564405113081E-2</v>
      </c>
      <c r="AD88">
        <f>IF(RunSize_by_Stock!AD40&gt;0,(RunSize_by_Stock!AD40-Escapements!AD41)/RunSize_by_Stock!AD40,"")</f>
        <v>0.20918716397911455</v>
      </c>
      <c r="AE88">
        <f>IF(RunSize_by_Stock!AE40&gt;0,(RunSize_by_Stock!AE40-Escapements!AE41)/RunSize_by_Stock!AE40,"")</f>
        <v>0.10252380611923308</v>
      </c>
      <c r="AF88">
        <f>IF(RunSize_by_Stock!AF40&gt;0,(RunSize_by_Stock!AF40-Escapements!AF41)/RunSize_by_Stock!AF40,"")</f>
        <v>9.4339622641509441E-2</v>
      </c>
      <c r="AG88">
        <f>IF(RunSize_by_Stock!AG40&gt;0,(RunSize_by_Stock!AG40-Escapements!AG41)/RunSize_by_Stock!AG40,"")</f>
        <v>7.8767123287671229E-2</v>
      </c>
      <c r="AH88">
        <f>IF(RunSize_by_Stock!AH40&gt;0,(RunSize_by_Stock!AH40-Escapements!AH41)/RunSize_by_Stock!AH40,"")</f>
        <v>0.10199556541019955</v>
      </c>
      <c r="AI88">
        <f>IF(RunSize_by_Stock!AI40&gt;0,(RunSize_by_Stock!AI40-Escapements!AI41)/RunSize_by_Stock!AI40,"")</f>
        <v>0.13043478260869565</v>
      </c>
      <c r="AJ88">
        <f>IF(RunSize_by_Stock!AJ40&gt;0,(RunSize_by_Stock!AJ40-Escapements!AJ41)/RunSize_by_Stock!AJ40,"")</f>
        <v>0.1111111111111111</v>
      </c>
      <c r="AK88">
        <f>IF(RunSize_by_Stock!AK40&gt;0,(RunSize_by_Stock!AK40-Escapements!AK41)/RunSize_by_Stock!AK40,"")</f>
        <v>0</v>
      </c>
      <c r="AL88">
        <f>IF(RunSize_by_Stock!AL40&gt;0,(RunSize_by_Stock!AL40-Escapements!AL41)/RunSize_by_Stock!AL40,"")</f>
        <v>0.11959924859110833</v>
      </c>
      <c r="AM88">
        <f>IF(RunSize_by_Stock!AM40&gt;0,(RunSize_by_Stock!AM40-Escapements!AM41)/RunSize_by_Stock!AM40,"")</f>
        <v>0.13043478260869565</v>
      </c>
      <c r="AN88">
        <f>IF(RunSize_by_Stock!AN40&gt;0,(RunSize_by_Stock!AN40-Escapements!AN41)/RunSize_by_Stock!AN40,"")</f>
        <v>9.375E-2</v>
      </c>
      <c r="AO88">
        <f>IF(RunSize_by_Stock!AO40&gt;0,(RunSize_by_Stock!AO40-Escapements!AO41)/RunSize_by_Stock!AO40,"")</f>
        <v>8.3333333333333329E-2</v>
      </c>
      <c r="AP88">
        <f>IF(RunSize_by_Stock!AP40&gt;0,(RunSize_by_Stock!AP40-Escapements!AP41)/RunSize_by_Stock!AP40,"")</f>
        <v>0.21875</v>
      </c>
      <c r="AQ88">
        <f>IF(RunSize_by_Stock!AQ40&gt;0,(RunSize_by_Stock!AQ40-Escapements!AQ41)/RunSize_by_Stock!AQ40,"")</f>
        <v>0.10514018691588785</v>
      </c>
      <c r="AR88">
        <f>IF(RunSize_by_Stock!AR40&gt;0,(RunSize_by_Stock!AR40-Escapements!AR41)/RunSize_by_Stock!AR40,"")</f>
        <v>0.10526315789473684</v>
      </c>
      <c r="AS88">
        <f>IF(RunSize_by_Stock!AS40&gt;0,(RunSize_by_Stock!AS40-Escapements!AS41)/RunSize_by_Stock!AS40,"")</f>
        <v>0.10578842315369262</v>
      </c>
      <c r="AT88">
        <f>IF(RunSize_by_Stock!AT40&gt;0,(RunSize_by_Stock!AT40-Escapements!AT41)/RunSize_by_Stock!AT40,"")</f>
        <v>0.16167043165028391</v>
      </c>
      <c r="AU88">
        <f>IF(RunSize_by_Stock!AU40&gt;0,(RunSize_by_Stock!AU40-Escapements!AU41)/RunSize_by_Stock!AU40,"")</f>
        <v>0.12258687258687259</v>
      </c>
      <c r="AV88">
        <f>IF(RunSize_by_Stock!AV40&gt;0,(RunSize_by_Stock!AV40-Escapements!AV41)/RunSize_by_Stock!AV40,"")</f>
        <v>0.128</v>
      </c>
      <c r="AW88">
        <f>IF(RunSize_by_Stock!AW40&gt;0,(RunSize_by_Stock!AW40-Escapements!AW41)/RunSize_by_Stock!AW40,"")</f>
        <v>0.14795817715525744</v>
      </c>
      <c r="AX88">
        <f>IF(RunSize_by_Stock!AX40&gt;0,(RunSize_by_Stock!AX40-Escapements!AX41)/RunSize_by_Stock!AX40,"")</f>
        <v>0.1325071866987802</v>
      </c>
      <c r="AY88">
        <f>IF(RunSize_by_Stock!AY40&gt;0,(RunSize_by_Stock!AY40-Escapements!AY41)/RunSize_by_Stock!AY40,"")</f>
        <v>0.16551010236552544</v>
      </c>
      <c r="AZ88">
        <f>IF(RunSize_by_Stock!AZ40&gt;0,(RunSize_by_Stock!AZ40-Escapements!AZ41)/RunSize_by_Stock!AZ40,"")</f>
        <v>8.6694064406525426E-2</v>
      </c>
      <c r="BA88">
        <f>IF(RunSize_by_Stock!BA40&gt;0,(RunSize_by_Stock!BA40-Escapements!BA41)/RunSize_by_Stock!BA40,"")</f>
        <v>0.16091484542081827</v>
      </c>
      <c r="BB88">
        <f>IF(RunSize_by_Stock!BB40&gt;0,(RunSize_by_Stock!BB40-Escapements!BB41)/RunSize_by_Stock!BB40,"")</f>
        <v>0.17971178298954507</v>
      </c>
      <c r="BC88">
        <f>IF(RunSize_by_Stock!BC40&gt;0,(RunSize_by_Stock!BC40-Escapements!BC41)/RunSize_by_Stock!BC40,"")</f>
        <v>0.2978723404255319</v>
      </c>
      <c r="BD88">
        <f>IF(RunSize_by_Stock!BD40&gt;0,(RunSize_by_Stock!BD40-Escapements!BD41)/RunSize_by_Stock!BD40,"")</f>
        <v>0.29714285714285715</v>
      </c>
      <c r="BE88">
        <f>IF(RunSize_by_Stock!BE40&gt;0,(RunSize_by_Stock!BE40-Escapements!BE41)/RunSize_by_Stock!BE40,"")</f>
        <v>0.16267510167193855</v>
      </c>
      <c r="BF88">
        <f>IF(RunSize_by_Stock!BF40&gt;0,(RunSize_by_Stock!BF40-Escapements!BF41)/RunSize_by_Stock!BF40,"")</f>
        <v>0.1111111111111111</v>
      </c>
      <c r="BG88">
        <f>IF(RunSize_by_Stock!BG40&gt;0,(RunSize_by_Stock!BG40-Escapements!BG41)/RunSize_by_Stock!BG40,"")</f>
        <v>6.5789473684210523E-2</v>
      </c>
      <c r="BH88">
        <f>IF(RunSize_by_Stock!BH40&gt;0,(RunSize_by_Stock!BH40-Escapements!BH41)/RunSize_by_Stock!BH40,"")</f>
        <v>0.20792079207920791</v>
      </c>
      <c r="BI88">
        <f>IF(RunSize_by_Stock!BI40&gt;0,(RunSize_by_Stock!BI40-Escapements!BI41)/RunSize_by_Stock!BI40,"")</f>
        <v>1.6190103146624887E-2</v>
      </c>
      <c r="BJ88">
        <f>IF(RunSize_by_Stock!BJ40&gt;0,(RunSize_by_Stock!BJ40-Escapements!BJ41)/RunSize_by_Stock!BJ40,"")</f>
        <v>0.20608501400119561</v>
      </c>
      <c r="BK88">
        <f>IF(RunSize_by_Stock!BK40&gt;0,(RunSize_by_Stock!BK40-Escapements!BK41)/RunSize_by_Stock!BK40,"")</f>
        <v>1.3333333333333334E-2</v>
      </c>
      <c r="BL88">
        <f>IF(RunSize_by_Stock!BL40&gt;0,(RunSize_by_Stock!BL40-Escapements!BL41)/RunSize_by_Stock!BL40,"")</f>
        <v>0.13253012048192772</v>
      </c>
      <c r="BM88">
        <f>IF(RunSize_by_Stock!BM40&gt;0,(RunSize_by_Stock!BM40-Escapements!BM41)/RunSize_by_Stock!BM40,"")</f>
        <v>0</v>
      </c>
      <c r="BN88">
        <f>IF(RunSize_by_Stock!BN40&gt;0,(RunSize_by_Stock!BN40-Escapements!BN41)/RunSize_by_Stock!BN40,"")</f>
        <v>0.11778490137286281</v>
      </c>
      <c r="BO88" t="str">
        <f>IF(RunSize_by_Stock!BO40&gt;0,(RunSize_by_Stock!BO40-Escapements!BO41)/RunSize_by_Stock!BO40,"")</f>
        <v/>
      </c>
      <c r="BP88">
        <f>IF(RunSize_by_Stock!BP40&gt;0,(RunSize_by_Stock!BP40-Escapements!BP41)/RunSize_by_Stock!BP40,"")</f>
        <v>0.10344827586206896</v>
      </c>
      <c r="BQ88">
        <f>IF(RunSize_by_Stock!BQ40&gt;0,(RunSize_by_Stock!BQ40-Escapements!BQ41)/RunSize_by_Stock!BQ40,"")</f>
        <v>9.1268456243252284E-3</v>
      </c>
      <c r="BR88">
        <f>IF(RunSize_by_Stock!BR40&gt;0,(RunSize_by_Stock!BR40-Escapements!BR41)/RunSize_by_Stock!BR40,"")</f>
        <v>0.15097541527343561</v>
      </c>
      <c r="BS88">
        <f>IF(RunSize_by_Stock!BS40&gt;0,(RunSize_by_Stock!BS40-Escapements!BS41)/RunSize_by_Stock!BS40,"")</f>
        <v>5.4054054054054057E-2</v>
      </c>
      <c r="BT88">
        <f>IF(RunSize_by_Stock!BT40&gt;0,(RunSize_by_Stock!BT40-Escapements!BT41)/RunSize_by_Stock!BT40,"")</f>
        <v>0.16443594646271512</v>
      </c>
      <c r="BU88">
        <f>IF(RunSize_by_Stock!BU40&gt;0,(RunSize_by_Stock!BU40-Escapements!BU41)/RunSize_by_Stock!BU40,"")</f>
        <v>6.4516129032258063E-2</v>
      </c>
      <c r="BV88">
        <f>IF(RunSize_by_Stock!BV40&gt;0,(RunSize_by_Stock!BV40-Escapements!BV41)/RunSize_by_Stock!BV40,"")</f>
        <v>0</v>
      </c>
      <c r="BW88" t="str">
        <f>IF(RunSize_by_Stock!BW40&gt;0,(RunSize_by_Stock!BW40-Escapements!BW41)/RunSize_by_Stock!BW40,"")</f>
        <v/>
      </c>
      <c r="BX88">
        <f>IF(RunSize_by_Stock!BX40&gt;0,(RunSize_by_Stock!BX40-Escapements!BX41)/RunSize_by_Stock!BX40,"")</f>
        <v>7.8947368421052627E-2</v>
      </c>
      <c r="BY88">
        <f>IF(RunSize_by_Stock!BY40&gt;0,(RunSize_by_Stock!BY40-Escapements!BY41)/RunSize_by_Stock!BY40,"")</f>
        <v>0.1529624020454613</v>
      </c>
      <c r="BZ88">
        <f>IF(RunSize_by_Stock!BZ40&gt;0,(RunSize_by_Stock!BZ40-Escapements!BZ41)/RunSize_by_Stock!BZ40,"")</f>
        <v>0.14802696224383424</v>
      </c>
      <c r="CA88">
        <f>IF(RunSize_by_Stock!CA40&gt;0,(RunSize_by_Stock!CA40-Escapements!CA41)/RunSize_by_Stock!CA40,"")</f>
        <v>0.1</v>
      </c>
      <c r="CB88">
        <f>IF(RunSize_by_Stock!CB40&gt;0,(RunSize_by_Stock!CB40-Escapements!CB41)/RunSize_by_Stock!CB40,"")</f>
        <v>4.9180327868852458E-2</v>
      </c>
      <c r="CC88" t="str">
        <f>IF(RunSize_by_Stock!CC40&gt;0,(RunSize_by_Stock!CC40-Escapements!CC41)/RunSize_by_Stock!CC40,"")</f>
        <v/>
      </c>
      <c r="CD88" t="str">
        <f>IF(RunSize_by_Stock!CD40&gt;0,(RunSize_by_Stock!CD40-Escapements!CD41)/RunSize_by_Stock!CD40,"")</f>
        <v/>
      </c>
      <c r="CE88">
        <f>IF(RunSize_by_Stock!CE40&gt;0,(RunSize_by_Stock!CE40-Escapements!CE41)/RunSize_by_Stock!CE40,"")</f>
        <v>0</v>
      </c>
      <c r="CF88" t="str">
        <f>IF(RunSize_by_Stock!CF40&gt;0,(RunSize_by_Stock!CF40-Escapements!CF41)/RunSize_by_Stock!CF40,"")</f>
        <v/>
      </c>
      <c r="CG88">
        <f>IF(RunSize_by_Stock!CG40&gt;0,(RunSize_by_Stock!CG40-Escapements!CG41)/RunSize_by_Stock!CG40,"")</f>
        <v>0.21549636803874092</v>
      </c>
      <c r="CH88">
        <f t="shared" si="3"/>
        <v>0.11816219522195602</v>
      </c>
    </row>
    <row r="89" spans="1:86" x14ac:dyDescent="0.55000000000000004">
      <c r="A89">
        <f t="shared" si="2"/>
        <v>2018</v>
      </c>
      <c r="B89">
        <f>IF(RunSize_by_Stock!B41&gt;0,(RunSize_by_Stock!B41-Escapements!B42)/RunSize_by_Stock!B41,"")</f>
        <v>0.30208333333333331</v>
      </c>
      <c r="C89">
        <f>IF(RunSize_by_Stock!C41&gt;0,(RunSize_by_Stock!C41-Escapements!C42)/RunSize_by_Stock!C41,"")</f>
        <v>0.20112079701120797</v>
      </c>
      <c r="D89">
        <f>IF(RunSize_by_Stock!D41&gt;0,(RunSize_by_Stock!D41-Escapements!D42)/RunSize_by_Stock!D41,"")</f>
        <v>0.30303030303030304</v>
      </c>
      <c r="E89">
        <f>IF(RunSize_by_Stock!E41&gt;0,(RunSize_by_Stock!E41-Escapements!E42)/RunSize_by_Stock!E41,"")</f>
        <v>0.28125</v>
      </c>
      <c r="F89">
        <f>IF(RunSize_by_Stock!F41&gt;0,(RunSize_by_Stock!F41-Escapements!F42)/RunSize_by_Stock!F41,"")</f>
        <v>0.28265765765765766</v>
      </c>
      <c r="G89" t="str">
        <f>IF(RunSize_by_Stock!G41&gt;0,(RunSize_by_Stock!G41-Escapements!G42)/RunSize_by_Stock!G41,"")</f>
        <v/>
      </c>
      <c r="H89">
        <f>IF(RunSize_by_Stock!H41&gt;0,(RunSize_by_Stock!H41-Escapements!H42)/RunSize_by_Stock!H41,"")</f>
        <v>0.28767123287671231</v>
      </c>
      <c r="I89">
        <f>IF(RunSize_by_Stock!I41&gt;0,(RunSize_by_Stock!I41-Escapements!I42)/RunSize_by_Stock!I41,"")</f>
        <v>0.2857142857142857</v>
      </c>
      <c r="J89">
        <f>IF(RunSize_by_Stock!J41&gt;0,(RunSize_by_Stock!J41-Escapements!J42)/RunSize_by_Stock!J41,"")</f>
        <v>0.29149958978920298</v>
      </c>
      <c r="K89">
        <f>IF(RunSize_by_Stock!K41&gt;0,(RunSize_by_Stock!K41-Escapements!K42)/RunSize_by_Stock!K41,"")</f>
        <v>0.27741935483870966</v>
      </c>
      <c r="L89">
        <f>IF(RunSize_by_Stock!L41&gt;0,(RunSize_by_Stock!L41-Escapements!L42)/RunSize_by_Stock!L41,"")</f>
        <v>0.28634850166481685</v>
      </c>
      <c r="M89">
        <f>IF(RunSize_by_Stock!M41&gt;0,(RunSize_by_Stock!M41-Escapements!M42)/RunSize_by_Stock!M41,"")</f>
        <v>0.26287772049754027</v>
      </c>
      <c r="N89">
        <f>IF(RunSize_by_Stock!N41&gt;0,(RunSize_by_Stock!N41-Escapements!N42)/RunSize_by_Stock!N41,"")</f>
        <v>0.21452513966480447</v>
      </c>
      <c r="O89">
        <f>IF(RunSize_by_Stock!O41&gt;0,(RunSize_by_Stock!O41-Escapements!O42)/RunSize_by_Stock!O41,"")</f>
        <v>0.20806873365707898</v>
      </c>
      <c r="P89">
        <f>IF(RunSize_by_Stock!P41&gt;0,(RunSize_by_Stock!P41-Escapements!P42)/RunSize_by_Stock!P41,"")</f>
        <v>0.26747900457482837</v>
      </c>
      <c r="Q89">
        <f>IF(RunSize_by_Stock!Q41&gt;0,(RunSize_by_Stock!Q41-Escapements!Q42)/RunSize_by_Stock!Q41,"")</f>
        <v>0.20066889632107024</v>
      </c>
      <c r="R89">
        <f>IF(RunSize_by_Stock!R41&gt;0,(RunSize_by_Stock!R41-Escapements!R42)/RunSize_by_Stock!R41,"")</f>
        <v>0.17034137161866447</v>
      </c>
      <c r="S89">
        <f>IF(RunSize_by_Stock!S41&gt;0,(RunSize_by_Stock!S41-Escapements!S42)/RunSize_by_Stock!S41,"")</f>
        <v>0.11842677502782771</v>
      </c>
      <c r="T89">
        <f>IF(RunSize_by_Stock!T41&gt;0,(RunSize_by_Stock!T41-Escapements!T42)/RunSize_by_Stock!T41,"")</f>
        <v>0.12178477690288714</v>
      </c>
      <c r="U89">
        <f>IF(RunSize_by_Stock!U41&gt;0,(RunSize_by_Stock!U41-Escapements!U42)/RunSize_by_Stock!U41,"")</f>
        <v>0</v>
      </c>
      <c r="V89">
        <f>IF(RunSize_by_Stock!V41&gt;0,(RunSize_by_Stock!V41-Escapements!V42)/RunSize_by_Stock!V41,"")</f>
        <v>0.23170731707317074</v>
      </c>
      <c r="W89">
        <f>IF(RunSize_by_Stock!W41&gt;0,(RunSize_by_Stock!W41-Escapements!W42)/RunSize_by_Stock!W41,"")</f>
        <v>0.25925925925925924</v>
      </c>
      <c r="X89">
        <f>IF(RunSize_by_Stock!X41&gt;0,(RunSize_by_Stock!X41-Escapements!X42)/RunSize_by_Stock!X41,"")</f>
        <v>0.26565295169946324</v>
      </c>
      <c r="Y89">
        <f>IF(RunSize_by_Stock!Y41&gt;0,(RunSize_by_Stock!Y41-Escapements!Y42)/RunSize_by_Stock!Y41,"")</f>
        <v>0.27422477776267595</v>
      </c>
      <c r="Z89">
        <f>IF(RunSize_by_Stock!Z41&gt;0,(RunSize_by_Stock!Z41-Escapements!Z42)/RunSize_by_Stock!Z41,"")</f>
        <v>0.27375886524822696</v>
      </c>
      <c r="AA89">
        <f>IF(RunSize_by_Stock!AA41&gt;0,(RunSize_by_Stock!AA41-Escapements!AA42)/RunSize_by_Stock!AA41,"")</f>
        <v>0.14399999999999999</v>
      </c>
      <c r="AB89">
        <f>IF(RunSize_by_Stock!AB41&gt;0,(RunSize_by_Stock!AB41-Escapements!AB42)/RunSize_by_Stock!AB41,"")</f>
        <v>0.13793103448275862</v>
      </c>
      <c r="AC89">
        <f>IF(RunSize_by_Stock!AC41&gt;0,(RunSize_by_Stock!AC41-Escapements!AC42)/RunSize_by_Stock!AC41,"")</f>
        <v>0.15654118524040253</v>
      </c>
      <c r="AD89">
        <f>IF(RunSize_by_Stock!AD41&gt;0,(RunSize_by_Stock!AD41-Escapements!AD42)/RunSize_by_Stock!AD41,"")</f>
        <v>0.25882352941176473</v>
      </c>
      <c r="AE89">
        <f>IF(RunSize_by_Stock!AE41&gt;0,(RunSize_by_Stock!AE41-Escapements!AE42)/RunSize_by_Stock!AE41,"")</f>
        <v>0.17028493894165536</v>
      </c>
      <c r="AF89">
        <f>IF(RunSize_by_Stock!AF41&gt;0,(RunSize_by_Stock!AF41-Escapements!AF42)/RunSize_by_Stock!AF41,"")</f>
        <v>0.14545454545454545</v>
      </c>
      <c r="AG89">
        <f>IF(RunSize_by_Stock!AG41&gt;0,(RunSize_by_Stock!AG41-Escapements!AG42)/RunSize_by_Stock!AG41,"")</f>
        <v>0.12887828162291171</v>
      </c>
      <c r="AH89">
        <f>IF(RunSize_by_Stock!AH41&gt;0,(RunSize_by_Stock!AH41-Escapements!AH42)/RunSize_by_Stock!AH41,"")</f>
        <v>0.18461538461538463</v>
      </c>
      <c r="AI89">
        <f>IF(RunSize_by_Stock!AI41&gt;0,(RunSize_by_Stock!AI41-Escapements!AI42)/RunSize_by_Stock!AI41,"")</f>
        <v>0.2391304347826087</v>
      </c>
      <c r="AJ89" t="str">
        <f>IF(RunSize_by_Stock!AJ41&gt;0,(RunSize_by_Stock!AJ41-Escapements!AJ42)/RunSize_by_Stock!AJ41,"")</f>
        <v/>
      </c>
      <c r="AK89" t="str">
        <f>IF(RunSize_by_Stock!AK41&gt;0,(RunSize_by_Stock!AK41-Escapements!AK42)/RunSize_by_Stock!AK41,"")</f>
        <v/>
      </c>
      <c r="AL89">
        <f>IF(RunSize_by_Stock!AL41&gt;0,(RunSize_by_Stock!AL41-Escapements!AL42)/RunSize_by_Stock!AL41,"")</f>
        <v>0.12286689419795221</v>
      </c>
      <c r="AM89">
        <f>IF(RunSize_by_Stock!AM41&gt;0,(RunSize_by_Stock!AM41-Escapements!AM42)/RunSize_by_Stock!AM41,"")</f>
        <v>0.18181818181818182</v>
      </c>
      <c r="AN89">
        <f>IF(RunSize_by_Stock!AN41&gt;0,(RunSize_by_Stock!AN41-Escapements!AN42)/RunSize_by_Stock!AN41,"")</f>
        <v>0.11214953271028037</v>
      </c>
      <c r="AO89">
        <f>IF(RunSize_by_Stock!AO41&gt;0,(RunSize_by_Stock!AO41-Escapements!AO42)/RunSize_by_Stock!AO41,"")</f>
        <v>0.16666666666666666</v>
      </c>
      <c r="AP89">
        <f>IF(RunSize_by_Stock!AP41&gt;0,(RunSize_by_Stock!AP41-Escapements!AP42)/RunSize_by_Stock!AP41,"")</f>
        <v>0.45121951219512196</v>
      </c>
      <c r="AQ89">
        <f>IF(RunSize_by_Stock!AQ41&gt;0,(RunSize_by_Stock!AQ41-Escapements!AQ42)/RunSize_by_Stock!AQ41,"")</f>
        <v>0.14136125654450263</v>
      </c>
      <c r="AR89">
        <f>IF(RunSize_by_Stock!AR41&gt;0,(RunSize_by_Stock!AR41-Escapements!AR42)/RunSize_by_Stock!AR41,"")</f>
        <v>0.15384615384615385</v>
      </c>
      <c r="AS89">
        <f>IF(RunSize_by_Stock!AS41&gt;0,(RunSize_by_Stock!AS41-Escapements!AS42)/RunSize_by_Stock!AS41,"")</f>
        <v>0.11797528895974492</v>
      </c>
      <c r="AT89">
        <f>IF(RunSize_by_Stock!AT41&gt;0,(RunSize_by_Stock!AT41-Escapements!AT42)/RunSize_by_Stock!AT41,"")</f>
        <v>0.22154135170192782</v>
      </c>
      <c r="AU89">
        <f>IF(RunSize_by_Stock!AU41&gt;0,(RunSize_by_Stock!AU41-Escapements!AU42)/RunSize_by_Stock!AU41,"")</f>
        <v>0.17899761336515513</v>
      </c>
      <c r="AV89">
        <f>IF(RunSize_by_Stock!AV41&gt;0,(RunSize_by_Stock!AV41-Escapements!AV42)/RunSize_by_Stock!AV41,"")</f>
        <v>0.26033057851239672</v>
      </c>
      <c r="AW89">
        <f>IF(RunSize_by_Stock!AW41&gt;0,(RunSize_by_Stock!AW41-Escapements!AW42)/RunSize_by_Stock!AW41,"")</f>
        <v>0.25535636204634893</v>
      </c>
      <c r="AX89">
        <f>IF(RunSize_by_Stock!AX41&gt;0,(RunSize_by_Stock!AX41-Escapements!AX42)/RunSize_by_Stock!AX41,"")</f>
        <v>0.2631787554498613</v>
      </c>
      <c r="AY89">
        <f>IF(RunSize_by_Stock!AY41&gt;0,(RunSize_by_Stock!AY41-Escapements!AY42)/RunSize_by_Stock!AY41,"")</f>
        <v>0.29347407350335158</v>
      </c>
      <c r="AZ89">
        <f>IF(RunSize_by_Stock!AZ41&gt;0,(RunSize_by_Stock!AZ41-Escapements!AZ42)/RunSize_by_Stock!AZ41,"")</f>
        <v>0.19864260883959609</v>
      </c>
      <c r="BA89">
        <f>IF(RunSize_by_Stock!BA41&gt;0,(RunSize_by_Stock!BA41-Escapements!BA42)/RunSize_by_Stock!BA41,"")</f>
        <v>0.36775818639798491</v>
      </c>
      <c r="BB89">
        <f>IF(RunSize_by_Stock!BB41&gt;0,(RunSize_by_Stock!BB41-Escapements!BB42)/RunSize_by_Stock!BB41,"")</f>
        <v>0.375</v>
      </c>
      <c r="BC89">
        <f>IF(RunSize_by_Stock!BC41&gt;0,(RunSize_by_Stock!BC41-Escapements!BC42)/RunSize_by_Stock!BC41,"")</f>
        <v>0.44043321299638988</v>
      </c>
      <c r="BD89">
        <f>IF(RunSize_by_Stock!BD41&gt;0,(RunSize_by_Stock!BD41-Escapements!BD42)/RunSize_by_Stock!BD41,"")</f>
        <v>0.43877551020408162</v>
      </c>
      <c r="BE89">
        <f>IF(RunSize_by_Stock!BE41&gt;0,(RunSize_by_Stock!BE41-Escapements!BE42)/RunSize_by_Stock!BE41,"")</f>
        <v>0.33094609875612513</v>
      </c>
      <c r="BF89">
        <f>IF(RunSize_by_Stock!BF41&gt;0,(RunSize_by_Stock!BF41-Escapements!BF42)/RunSize_by_Stock!BF41,"")</f>
        <v>0.15384615384615385</v>
      </c>
      <c r="BG89" t="str">
        <f>IF(RunSize_by_Stock!BG41&gt;0,(RunSize_by_Stock!BG41-Escapements!BG42)/RunSize_by_Stock!BG41,"")</f>
        <v/>
      </c>
      <c r="BH89">
        <f>IF(RunSize_by_Stock!BH41&gt;0,(RunSize_by_Stock!BH41-Escapements!BH42)/RunSize_by_Stock!BH41,"")</f>
        <v>0.22580645161290322</v>
      </c>
      <c r="BI89">
        <f>IF(RunSize_by_Stock!BI41&gt;0,(RunSize_by_Stock!BI41-Escapements!BI42)/RunSize_by_Stock!BI41,"")</f>
        <v>2.0449428833486199E-2</v>
      </c>
      <c r="BJ89">
        <f>IF(RunSize_by_Stock!BJ41&gt;0,(RunSize_by_Stock!BJ41-Escapements!BJ42)/RunSize_by_Stock!BJ41,"")</f>
        <v>0.14375827919005865</v>
      </c>
      <c r="BK89">
        <f>IF(RunSize_by_Stock!BK41&gt;0,(RunSize_by_Stock!BK41-Escapements!BK42)/RunSize_by_Stock!BK41,"")</f>
        <v>1.6853932584269662E-2</v>
      </c>
      <c r="BL89">
        <f>IF(RunSize_by_Stock!BL41&gt;0,(RunSize_by_Stock!BL41-Escapements!BL42)/RunSize_by_Stock!BL41,"")</f>
        <v>0.17460317460317459</v>
      </c>
      <c r="BM89">
        <f>IF(RunSize_by_Stock!BM41&gt;0,(RunSize_by_Stock!BM41-Escapements!BM42)/RunSize_by_Stock!BM41,"")</f>
        <v>0.16666666666666666</v>
      </c>
      <c r="BN89">
        <f>IF(RunSize_by_Stock!BN41&gt;0,(RunSize_by_Stock!BN41-Escapements!BN42)/RunSize_by_Stock!BN41,"")</f>
        <v>0.15126050420168066</v>
      </c>
      <c r="BO89" t="str">
        <f>IF(RunSize_by_Stock!BO41&gt;0,(RunSize_by_Stock!BO41-Escapements!BO42)/RunSize_by_Stock!BO41,"")</f>
        <v/>
      </c>
      <c r="BP89">
        <f>IF(RunSize_by_Stock!BP41&gt;0,(RunSize_by_Stock!BP41-Escapements!BP42)/RunSize_by_Stock!BP41,"")</f>
        <v>0.22500000000000001</v>
      </c>
      <c r="BQ89">
        <f>IF(RunSize_by_Stock!BQ41&gt;0,(RunSize_by_Stock!BQ41-Escapements!BQ42)/RunSize_by_Stock!BQ41,"")</f>
        <v>1.262104359607386E-3</v>
      </c>
      <c r="BR89">
        <f>IF(RunSize_by_Stock!BR41&gt;0,(RunSize_by_Stock!BR41-Escapements!BR42)/RunSize_by_Stock!BR41,"")</f>
        <v>0.27048540513827607</v>
      </c>
      <c r="BS89">
        <f>IF(RunSize_by_Stock!BS41&gt;0,(RunSize_by_Stock!BS41-Escapements!BS42)/RunSize_by_Stock!BS41,"")</f>
        <v>4.7619047619047616E-2</v>
      </c>
      <c r="BT89">
        <f>IF(RunSize_by_Stock!BT41&gt;0,(RunSize_by_Stock!BT41-Escapements!BT42)/RunSize_by_Stock!BT41,"")</f>
        <v>0.17195004803073968</v>
      </c>
      <c r="BU89" t="str">
        <f>IF(RunSize_by_Stock!BU41&gt;0,(RunSize_by_Stock!BU41-Escapements!BU42)/RunSize_by_Stock!BU41,"")</f>
        <v/>
      </c>
      <c r="BV89">
        <f>IF(RunSize_by_Stock!BV41&gt;0,(RunSize_by_Stock!BV41-Escapements!BV42)/RunSize_by_Stock!BV41,"")</f>
        <v>0.2857142857142857</v>
      </c>
      <c r="BW89">
        <f>IF(RunSize_by_Stock!BW41&gt;0,(RunSize_by_Stock!BW41-Escapements!BW42)/RunSize_by_Stock!BW41,"")</f>
        <v>0.16666666666666666</v>
      </c>
      <c r="BX89">
        <f>IF(RunSize_by_Stock!BX41&gt;0,(RunSize_by_Stock!BX41-Escapements!BX42)/RunSize_by_Stock!BX41,"")</f>
        <v>0.125</v>
      </c>
      <c r="BY89">
        <f>IF(RunSize_by_Stock!BY41&gt;0,(RunSize_by_Stock!BY41-Escapements!BY42)/RunSize_by_Stock!BY41,"")</f>
        <v>0.2711467272493045</v>
      </c>
      <c r="BZ89">
        <f>IF(RunSize_by_Stock!BZ41&gt;0,(RunSize_by_Stock!BZ41-Escapements!BZ42)/RunSize_by_Stock!BZ41,"")</f>
        <v>0.2722930895624921</v>
      </c>
      <c r="CA89">
        <f>IF(RunSize_by_Stock!CA41&gt;0,(RunSize_by_Stock!CA41-Escapements!CA42)/RunSize_by_Stock!CA41,"")</f>
        <v>0</v>
      </c>
      <c r="CB89">
        <f>IF(RunSize_by_Stock!CB41&gt;0,(RunSize_by_Stock!CB41-Escapements!CB42)/RunSize_by_Stock!CB41,"")</f>
        <v>0.1</v>
      </c>
      <c r="CC89">
        <f>IF(RunSize_by_Stock!CC41&gt;0,(RunSize_by_Stock!CC41-Escapements!CC42)/RunSize_by_Stock!CC41,"")</f>
        <v>0</v>
      </c>
      <c r="CD89" t="str">
        <f>IF(RunSize_by_Stock!CD41&gt;0,(RunSize_by_Stock!CD41-Escapements!CD42)/RunSize_by_Stock!CD41,"")</f>
        <v/>
      </c>
      <c r="CE89">
        <f>IF(RunSize_by_Stock!CE41&gt;0,(RunSize_by_Stock!CE41-Escapements!CE42)/RunSize_by_Stock!CE41,"")</f>
        <v>7.6923076923076927E-2</v>
      </c>
      <c r="CF89" t="str">
        <f>IF(RunSize_by_Stock!CF41&gt;0,(RunSize_by_Stock!CF41-Escapements!CF42)/RunSize_by_Stock!CF41,"")</f>
        <v/>
      </c>
      <c r="CG89">
        <f>IF(RunSize_by_Stock!CG41&gt;0,(RunSize_by_Stock!CG41-Escapements!CG42)/RunSize_by_Stock!CG41,"")</f>
        <v>0.22255192878338279</v>
      </c>
      <c r="CH89">
        <f t="shared" si="3"/>
        <v>0.20520295776411643</v>
      </c>
    </row>
    <row r="90" spans="1:86" x14ac:dyDescent="0.55000000000000004">
      <c r="A90">
        <f t="shared" si="2"/>
        <v>2019</v>
      </c>
      <c r="B90">
        <f>IF(RunSize_by_Stock!B42&gt;0,(RunSize_by_Stock!B42-Escapements!B43)/RunSize_by_Stock!B42,"")</f>
        <v>0</v>
      </c>
      <c r="C90">
        <f>IF(RunSize_by_Stock!C42&gt;0,(RunSize_by_Stock!C42-Escapements!C43)/RunSize_by_Stock!C42,"")</f>
        <v>4.3020193151887619E-2</v>
      </c>
      <c r="D90" t="str">
        <f>IF(RunSize_by_Stock!D42&gt;0,(RunSize_by_Stock!D42-Escapements!D43)/RunSize_by_Stock!D42,"")</f>
        <v/>
      </c>
      <c r="E90" t="str">
        <f>IF(RunSize_by_Stock!E42&gt;0,(RunSize_by_Stock!E42-Escapements!E43)/RunSize_by_Stock!E42,"")</f>
        <v/>
      </c>
      <c r="F90">
        <f>IF(RunSize_by_Stock!F42&gt;0,(RunSize_by_Stock!F42-Escapements!F43)/RunSize_by_Stock!F42,"")</f>
        <v>9.0909090909090912E-2</v>
      </c>
      <c r="G90">
        <f>IF(RunSize_by_Stock!G42&gt;0,(RunSize_by_Stock!G42-Escapements!G43)/RunSize_by_Stock!G42,"")</f>
        <v>0.1025555541500448</v>
      </c>
      <c r="H90">
        <f>IF(RunSize_by_Stock!H42&gt;0,(RunSize_by_Stock!H42-Escapements!H43)/RunSize_by_Stock!H42,"")</f>
        <v>9.2750036146061005E-2</v>
      </c>
      <c r="I90">
        <f>IF(RunSize_by_Stock!I42&gt;0,(RunSize_by_Stock!I42-Escapements!I43)/RunSize_by_Stock!I42,"")</f>
        <v>9.0909090909090912E-2</v>
      </c>
      <c r="J90">
        <f>IF(RunSize_by_Stock!J42&gt;0,(RunSize_by_Stock!J42-Escapements!J43)/RunSize_by_Stock!J42,"")</f>
        <v>9.649959872667202E-2</v>
      </c>
      <c r="K90" t="str">
        <f>IF(RunSize_by_Stock!K42&gt;0,(RunSize_by_Stock!K42-Escapements!K43)/RunSize_by_Stock!K42,"")</f>
        <v/>
      </c>
      <c r="L90">
        <f>IF(RunSize_by_Stock!L42&gt;0,(RunSize_by_Stock!L42-Escapements!L43)/RunSize_by_Stock!L42,"")</f>
        <v>9.0909090909090912E-2</v>
      </c>
      <c r="M90">
        <f>IF(RunSize_by_Stock!M42&gt;0,(RunSize_by_Stock!M42-Escapements!M43)/RunSize_by_Stock!M42,"")</f>
        <v>7.8897745728055232E-2</v>
      </c>
      <c r="N90">
        <f>IF(RunSize_by_Stock!N42&gt;0,(RunSize_by_Stock!N42-Escapements!N43)/RunSize_by_Stock!N42,"")</f>
        <v>4.945904173106646E-2</v>
      </c>
      <c r="O90">
        <f>IF(RunSize_by_Stock!O42&gt;0,(RunSize_by_Stock!O42-Escapements!O43)/RunSize_by_Stock!O42,"")</f>
        <v>4.6250684181718911E-2</v>
      </c>
      <c r="P90">
        <f>IF(RunSize_by_Stock!P42&gt;0,(RunSize_by_Stock!P42-Escapements!P43)/RunSize_by_Stock!P42,"")</f>
        <v>9.5871599324211756E-2</v>
      </c>
      <c r="Q90">
        <f>IF(RunSize_by_Stock!Q42&gt;0,(RunSize_by_Stock!Q42-Escapements!Q43)/RunSize_by_Stock!Q42,"")</f>
        <v>4.3340380549682873E-2</v>
      </c>
      <c r="R90">
        <f>IF(RunSize_by_Stock!R42&gt;0,(RunSize_by_Stock!R42-Escapements!R43)/RunSize_by_Stock!R42,"")</f>
        <v>3.4429295716014649E-2</v>
      </c>
      <c r="S90">
        <f>IF(RunSize_by_Stock!S42&gt;0,(RunSize_by_Stock!S42-Escapements!S43)/RunSize_by_Stock!S42,"")</f>
        <v>0.11666383201120342</v>
      </c>
      <c r="T90">
        <f>IF(RunSize_by_Stock!T42&gt;0,(RunSize_by_Stock!T42-Escapements!T43)/RunSize_by_Stock!T42,"")</f>
        <v>7.3186321508469154E-2</v>
      </c>
      <c r="U90" t="str">
        <f>IF(RunSize_by_Stock!U42&gt;0,(RunSize_by_Stock!U42-Escapements!U43)/RunSize_by_Stock!U42,"")</f>
        <v/>
      </c>
      <c r="V90">
        <f>IF(RunSize_by_Stock!V42&gt;0,(RunSize_by_Stock!V42-Escapements!V43)/RunSize_by_Stock!V42,"")</f>
        <v>5.3398058252427182E-2</v>
      </c>
      <c r="W90">
        <f>IF(RunSize_by_Stock!W42&gt;0,(RunSize_by_Stock!W42-Escapements!W43)/RunSize_by_Stock!W42,"")</f>
        <v>2.1739130434782608E-2</v>
      </c>
      <c r="X90">
        <f>IF(RunSize_by_Stock!X42&gt;0,(RunSize_by_Stock!X42-Escapements!X43)/RunSize_by_Stock!X42,"")</f>
        <v>7.0021881838074271E-2</v>
      </c>
      <c r="Y90">
        <f>IF(RunSize_by_Stock!Y42&gt;0,(RunSize_by_Stock!Y42-Escapements!Y43)/RunSize_by_Stock!Y42,"")</f>
        <v>3.0837004405286344E-2</v>
      </c>
      <c r="Z90">
        <f>IF(RunSize_by_Stock!Z42&gt;0,(RunSize_by_Stock!Z42-Escapements!Z43)/RunSize_by_Stock!Z42,"")</f>
        <v>0.35349716446124763</v>
      </c>
      <c r="AA90">
        <f>IF(RunSize_by_Stock!AA42&gt;0,(RunSize_by_Stock!AA42-Escapements!AA43)/RunSize_by_Stock!AA42,"")</f>
        <v>0.18309859154929578</v>
      </c>
      <c r="AB90">
        <f>IF(RunSize_by_Stock!AB42&gt;0,(RunSize_by_Stock!AB42-Escapements!AB43)/RunSize_by_Stock!AB42,"")</f>
        <v>4.49438202247191E-2</v>
      </c>
      <c r="AC90">
        <f>IF(RunSize_by_Stock!AC42&gt;0,(RunSize_by_Stock!AC42-Escapements!AC43)/RunSize_by_Stock!AC42,"")</f>
        <v>4.5148612116257543E-2</v>
      </c>
      <c r="AD90">
        <f>IF(RunSize_by_Stock!AD42&gt;0,(RunSize_by_Stock!AD42-Escapements!AD43)/RunSize_by_Stock!AD42,"")</f>
        <v>2.5974025974025976E-2</v>
      </c>
      <c r="AE90">
        <f>IF(RunSize_by_Stock!AE42&gt;0,(RunSize_by_Stock!AE42-Escapements!AE43)/RunSize_by_Stock!AE42,"")</f>
        <v>3.7377832894599831E-2</v>
      </c>
      <c r="AF90">
        <f>IF(RunSize_by_Stock!AF42&gt;0,(RunSize_by_Stock!AF42-Escapements!AF43)/RunSize_by_Stock!AF42,"")</f>
        <v>5.2287581699346407E-2</v>
      </c>
      <c r="AG90">
        <f>IF(RunSize_by_Stock!AG42&gt;0,(RunSize_by_Stock!AG42-Escapements!AG43)/RunSize_by_Stock!AG42,"")</f>
        <v>3.3333333333333333E-2</v>
      </c>
      <c r="AH90">
        <f>IF(RunSize_by_Stock!AH42&gt;0,(RunSize_by_Stock!AH42-Escapements!AH43)/RunSize_by_Stock!AH42,"")</f>
        <v>4.3103448275862072E-2</v>
      </c>
      <c r="AI90">
        <f>IF(RunSize_by_Stock!AI42&gt;0,(RunSize_by_Stock!AI42-Escapements!AI43)/RunSize_by_Stock!AI42,"")</f>
        <v>2.553191489361702E-2</v>
      </c>
      <c r="AJ90">
        <f>IF(RunSize_by_Stock!AJ42&gt;0,(RunSize_by_Stock!AJ42-Escapements!AJ43)/RunSize_by_Stock!AJ42,"")</f>
        <v>5.2631578947368418E-2</v>
      </c>
      <c r="AK90">
        <f>IF(RunSize_by_Stock!AK42&gt;0,(RunSize_by_Stock!AK42-Escapements!AK43)/RunSize_by_Stock!AK42,"")</f>
        <v>0.10344827586206896</v>
      </c>
      <c r="AL90">
        <f>IF(RunSize_by_Stock!AL42&gt;0,(RunSize_by_Stock!AL42-Escapements!AL43)/RunSize_by_Stock!AL42,"")</f>
        <v>0.10206422018348624</v>
      </c>
      <c r="AM90">
        <f>IF(RunSize_by_Stock!AM42&gt;0,(RunSize_by_Stock!AM42-Escapements!AM43)/RunSize_by_Stock!AM42,"")</f>
        <v>8.0246913580246909E-2</v>
      </c>
      <c r="AN90">
        <f>IF(RunSize_by_Stock!AN42&gt;0,(RunSize_by_Stock!AN42-Escapements!AN43)/RunSize_by_Stock!AN42,"")</f>
        <v>5.3571428571428568E-2</v>
      </c>
      <c r="AO90">
        <f>IF(RunSize_by_Stock!AO42&gt;0,(RunSize_by_Stock!AO42-Escapements!AO43)/RunSize_by_Stock!AO42,"")</f>
        <v>5.3191489361702128E-2</v>
      </c>
      <c r="AP90">
        <f>IF(RunSize_by_Stock!AP42&gt;0,(RunSize_by_Stock!AP42-Escapements!AP43)/RunSize_by_Stock!AP42,"")</f>
        <v>2.197802197802198E-2</v>
      </c>
      <c r="AQ90">
        <f>IF(RunSize_by_Stock!AQ42&gt;0,(RunSize_by_Stock!AQ42-Escapements!AQ43)/RunSize_by_Stock!AQ42,"")</f>
        <v>9.0517241379310345E-2</v>
      </c>
      <c r="AR90">
        <f>IF(RunSize_by_Stock!AR42&gt;0,(RunSize_by_Stock!AR42-Escapements!AR43)/RunSize_by_Stock!AR42,"")</f>
        <v>0</v>
      </c>
      <c r="AS90">
        <f>IF(RunSize_by_Stock!AS42&gt;0,(RunSize_by_Stock!AS42-Escapements!AS43)/RunSize_by_Stock!AS42,"")</f>
        <v>4.3248014121800529E-2</v>
      </c>
      <c r="AT90">
        <f>IF(RunSize_by_Stock!AT42&gt;0,(RunSize_by_Stock!AT42-Escapements!AT43)/RunSize_by_Stock!AT42,"")</f>
        <v>0.15197120426267607</v>
      </c>
      <c r="AU90">
        <f>IF(RunSize_by_Stock!AU42&gt;0,(RunSize_by_Stock!AU42-Escapements!AU43)/RunSize_by_Stock!AU42,"")</f>
        <v>6.1968408262454436E-2</v>
      </c>
      <c r="AV90">
        <f>IF(RunSize_by_Stock!AV42&gt;0,(RunSize_by_Stock!AV42-Escapements!AV43)/RunSize_by_Stock!AV42,"")</f>
        <v>1.8604651162790697E-2</v>
      </c>
      <c r="AW90">
        <f>IF(RunSize_by_Stock!AW42&gt;0,(RunSize_by_Stock!AW42-Escapements!AW43)/RunSize_by_Stock!AW42,"")</f>
        <v>0.17948717948717949</v>
      </c>
      <c r="AX90">
        <f>IF(RunSize_by_Stock!AX42&gt;0,(RunSize_by_Stock!AX42-Escapements!AX43)/RunSize_by_Stock!AX42,"")</f>
        <v>0.14733901940246397</v>
      </c>
      <c r="AY90">
        <f>IF(RunSize_by_Stock!AY42&gt;0,(RunSize_by_Stock!AY42-Escapements!AY43)/RunSize_by_Stock!AY42,"")</f>
        <v>0.17138401969286834</v>
      </c>
      <c r="AZ90">
        <f>IF(RunSize_by_Stock!AZ42&gt;0,(RunSize_by_Stock!AZ42-Escapements!AZ43)/RunSize_by_Stock!AZ42,"")</f>
        <v>6.7877870300277574E-2</v>
      </c>
      <c r="BA90">
        <f>IF(RunSize_by_Stock!BA42&gt;0,(RunSize_by_Stock!BA42-Escapements!BA43)/RunSize_by_Stock!BA42,"")</f>
        <v>3.0303030303030304E-2</v>
      </c>
      <c r="BB90">
        <f>IF(RunSize_by_Stock!BB42&gt;0,(RunSize_by_Stock!BB42-Escapements!BB43)/RunSize_by_Stock!BB42,"")</f>
        <v>2.9322548028311426E-2</v>
      </c>
      <c r="BC90">
        <f>IF(RunSize_by_Stock!BC42&gt;0,(RunSize_by_Stock!BC42-Escapements!BC43)/RunSize_by_Stock!BC42,"")</f>
        <v>2.3880597014925373E-2</v>
      </c>
      <c r="BD90">
        <f>IF(RunSize_by_Stock!BD42&gt;0,(RunSize_by_Stock!BD42-Escapements!BD43)/RunSize_by_Stock!BD42,"")</f>
        <v>2.3333333333333334E-2</v>
      </c>
      <c r="BE90">
        <f>IF(RunSize_by_Stock!BE42&gt;0,(RunSize_by_Stock!BE42-Escapements!BE43)/RunSize_by_Stock!BE42,"")</f>
        <v>2.3503755754785558E-2</v>
      </c>
      <c r="BF90">
        <f>IF(RunSize_by_Stock!BF42&gt;0,(RunSize_by_Stock!BF42-Escapements!BF43)/RunSize_by_Stock!BF42,"")</f>
        <v>2.3255813953488372E-2</v>
      </c>
      <c r="BG90">
        <f>IF(RunSize_by_Stock!BG42&gt;0,(RunSize_by_Stock!BG42-Escapements!BG43)/RunSize_by_Stock!BG42,"")</f>
        <v>0.10824742268041238</v>
      </c>
      <c r="BH90">
        <f>IF(RunSize_by_Stock!BH42&gt;0,(RunSize_by_Stock!BH42-Escapements!BH43)/RunSize_by_Stock!BH42,"")</f>
        <v>2.7322404371584699E-2</v>
      </c>
      <c r="BI90">
        <f>IF(RunSize_by_Stock!BI42&gt;0,(RunSize_by_Stock!BI42-Escapements!BI43)/RunSize_by_Stock!BI42,"")</f>
        <v>7.6365603028664139E-3</v>
      </c>
      <c r="BJ90">
        <f>IF(RunSize_by_Stock!BJ42&gt;0,(RunSize_by_Stock!BJ42-Escapements!BJ43)/RunSize_by_Stock!BJ42,"")</f>
        <v>0.10141343612868815</v>
      </c>
      <c r="BK90">
        <f>IF(RunSize_by_Stock!BK42&gt;0,(RunSize_by_Stock!BK42-Escapements!BK43)/RunSize_by_Stock!BK42,"")</f>
        <v>0</v>
      </c>
      <c r="BL90">
        <f>IF(RunSize_by_Stock!BL42&gt;0,(RunSize_by_Stock!BL42-Escapements!BL43)/RunSize_by_Stock!BL42,"")</f>
        <v>7.7181208053691275E-2</v>
      </c>
      <c r="BM90">
        <f>IF(RunSize_by_Stock!BM42&gt;0,(RunSize_by_Stock!BM42-Escapements!BM43)/RunSize_by_Stock!BM42,"")</f>
        <v>0</v>
      </c>
      <c r="BN90">
        <f>IF(RunSize_by_Stock!BN42&gt;0,(RunSize_by_Stock!BN42-Escapements!BN43)/RunSize_by_Stock!BN42,"")</f>
        <v>0.11764705882352941</v>
      </c>
      <c r="BO90">
        <f>IF(RunSize_by_Stock!BO42&gt;0,(RunSize_by_Stock!BO42-Escapements!BO43)/RunSize_by_Stock!BO42,"")</f>
        <v>0</v>
      </c>
      <c r="BP90">
        <f>IF(RunSize_by_Stock!BP42&gt;0,(RunSize_by_Stock!BP42-Escapements!BP43)/RunSize_by_Stock!BP42,"")</f>
        <v>2.7777777777777776E-2</v>
      </c>
      <c r="BQ90" t="str">
        <f>IF(RunSize_by_Stock!BQ42&gt;0,(RunSize_by_Stock!BQ42-Escapements!BQ43)/RunSize_by_Stock!BQ42,"")</f>
        <v/>
      </c>
      <c r="BR90">
        <f>IF(RunSize_by_Stock!BR42&gt;0,(RunSize_by_Stock!BR42-Escapements!BR43)/RunSize_by_Stock!BR42,"")</f>
        <v>3.7037037037037035E-2</v>
      </c>
      <c r="BS90">
        <f>IF(RunSize_by_Stock!BS42&gt;0,(RunSize_by_Stock!BS42-Escapements!BS43)/RunSize_by_Stock!BS42,"")</f>
        <v>6.0606060606060608E-2</v>
      </c>
      <c r="BT90">
        <f>IF(RunSize_by_Stock!BT42&gt;0,(RunSize_by_Stock!BT42-Escapements!BT43)/RunSize_by_Stock!BT42,"")</f>
        <v>0.17871371656232213</v>
      </c>
      <c r="BU90" t="str">
        <f>IF(RunSize_by_Stock!BU42&gt;0,(RunSize_by_Stock!BU42-Escapements!BU43)/RunSize_by_Stock!BU42,"")</f>
        <v/>
      </c>
      <c r="BV90">
        <f>IF(RunSize_by_Stock!BV42&gt;0,(RunSize_by_Stock!BV42-Escapements!BV43)/RunSize_by_Stock!BV42,"")</f>
        <v>9.7989391481439508E-2</v>
      </c>
      <c r="BW90" t="str">
        <f>IF(RunSize_by_Stock!BW42&gt;0,(RunSize_by_Stock!BW42-Escapements!BW43)/RunSize_by_Stock!BW42,"")</f>
        <v/>
      </c>
      <c r="BX90">
        <f>IF(RunSize_by_Stock!BX42&gt;0,(RunSize_by_Stock!BX42-Escapements!BX43)/RunSize_by_Stock!BX42,"")</f>
        <v>8.3333333333333329E-2</v>
      </c>
      <c r="BY90">
        <f>IF(RunSize_by_Stock!BY42&gt;0,(RunSize_by_Stock!BY42-Escapements!BY43)/RunSize_by_Stock!BY42,"")</f>
        <v>3.2258064516129031E-2</v>
      </c>
      <c r="BZ90">
        <f>IF(RunSize_by_Stock!BZ42&gt;0,(RunSize_by_Stock!BZ42-Escapements!BZ43)/RunSize_by_Stock!BZ42,"")</f>
        <v>2.5974025974025976E-2</v>
      </c>
      <c r="CA90">
        <f>IF(RunSize_by_Stock!CA42&gt;0,(RunSize_by_Stock!CA42-Escapements!CA43)/RunSize_by_Stock!CA42,"")</f>
        <v>0</v>
      </c>
      <c r="CB90">
        <f>IF(RunSize_by_Stock!CB42&gt;0,(RunSize_by_Stock!CB42-Escapements!CB43)/RunSize_by_Stock!CB42,"")</f>
        <v>7.6923076923076927E-2</v>
      </c>
      <c r="CC90">
        <f>IF(RunSize_by_Stock!CC42&gt;0,(RunSize_by_Stock!CC42-Escapements!CC43)/RunSize_by_Stock!CC42,"")</f>
        <v>9.7781503963004657E-3</v>
      </c>
      <c r="CD90" t="str">
        <f>IF(RunSize_by_Stock!CD42&gt;0,(RunSize_by_Stock!CD42-Escapements!CD43)/RunSize_by_Stock!CD42,"")</f>
        <v/>
      </c>
      <c r="CE90" t="str">
        <f>IF(RunSize_by_Stock!CE42&gt;0,(RunSize_by_Stock!CE42-Escapements!CE43)/RunSize_by_Stock!CE42,"")</f>
        <v/>
      </c>
      <c r="CF90" t="str">
        <f>IF(RunSize_by_Stock!CF42&gt;0,(RunSize_by_Stock!CF42-Escapements!CF43)/RunSize_by_Stock!CF42,"")</f>
        <v/>
      </c>
      <c r="CG90">
        <f>IF(RunSize_by_Stock!CG42&gt;0,(RunSize_by_Stock!CG42-Escapements!CG43)/RunSize_by_Stock!CG42,"")</f>
        <v>0.2280431432973806</v>
      </c>
      <c r="CH90">
        <f t="shared" si="3"/>
        <v>6.779668161101228E-2</v>
      </c>
    </row>
    <row r="91" spans="1:86" x14ac:dyDescent="0.55000000000000004">
      <c r="A91">
        <f t="shared" si="2"/>
        <v>2020</v>
      </c>
      <c r="B91">
        <f>IF(RunSize_by_Stock!B43&gt;0,(RunSize_by_Stock!B43-Escapements!B44)/RunSize_by_Stock!B43,"")</f>
        <v>1.107011070110701E-2</v>
      </c>
      <c r="C91">
        <f>IF(RunSize_by_Stock!C43&gt;0,(RunSize_by_Stock!C43-Escapements!C44)/RunSize_by_Stock!C43,"")</f>
        <v>1.6777034309063927E-2</v>
      </c>
      <c r="D91">
        <f>IF(RunSize_by_Stock!D43&gt;0,(RunSize_by_Stock!D43-Escapements!D44)/RunSize_by_Stock!D43,"")</f>
        <v>2.8490028490028387E-3</v>
      </c>
      <c r="E91">
        <f>IF(RunSize_by_Stock!E43&gt;0,(RunSize_by_Stock!E43-Escapements!E44)/RunSize_by_Stock!E43,"")</f>
        <v>-1.2145748987854208E-2</v>
      </c>
      <c r="F91">
        <f>IF(RunSize_by_Stock!F43&gt;0,(RunSize_by_Stock!F43-Escapements!F44)/RunSize_by_Stock!F43,"")</f>
        <v>8.9960071198345662E-3</v>
      </c>
      <c r="G91">
        <f>IF(RunSize_by_Stock!G43&gt;0,(RunSize_by_Stock!G43-Escapements!G44)/RunSize_by_Stock!G43,"")</f>
        <v>2.1592442645074334E-2</v>
      </c>
      <c r="H91">
        <f>IF(RunSize_by_Stock!H43&gt;0,(RunSize_by_Stock!H43-Escapements!H44)/RunSize_by_Stock!H43,"")</f>
        <v>4.2993151095257606E-3</v>
      </c>
      <c r="I91">
        <f>IF(RunSize_by_Stock!I43&gt;0,(RunSize_by_Stock!I43-Escapements!I44)/RunSize_by_Stock!I43,"")</f>
        <v>6.4102564102563875E-3</v>
      </c>
      <c r="J91">
        <f>IF(RunSize_by_Stock!J43&gt;0,(RunSize_by_Stock!J43-Escapements!J44)/RunSize_by_Stock!J43,"")</f>
        <v>9.8040440235982705E-3</v>
      </c>
      <c r="K91">
        <f>IF(RunSize_by_Stock!K43&gt;0,(RunSize_by_Stock!K43-Escapements!K44)/RunSize_by_Stock!K43,"")</f>
        <v>1.3806706114398465E-2</v>
      </c>
      <c r="L91">
        <f>IF(RunSize_by_Stock!L43&gt;0,(RunSize_by_Stock!L43-Escapements!L44)/RunSize_by_Stock!L43,"")</f>
        <v>9.4200143623537555E-3</v>
      </c>
      <c r="M91">
        <f>IF(RunSize_by_Stock!M43&gt;0,(RunSize_by_Stock!M43-Escapements!M44)/RunSize_by_Stock!M43,"")</f>
        <v>9.6476600743128655E-3</v>
      </c>
      <c r="N91">
        <f>IF(RunSize_by_Stock!N43&gt;0,(RunSize_by_Stock!N43-Escapements!N44)/RunSize_by_Stock!N43,"")</f>
        <v>1.4348272997366877E-2</v>
      </c>
      <c r="O91">
        <f>IF(RunSize_by_Stock!O43&gt;0,(RunSize_by_Stock!O43-Escapements!O44)/RunSize_by_Stock!O43,"")</f>
        <v>1.5602932653624169E-2</v>
      </c>
      <c r="P91">
        <f>IF(RunSize_by_Stock!P43&gt;0,(RunSize_by_Stock!P43-Escapements!P44)/RunSize_by_Stock!P43,"")</f>
        <v>1.0273644230646077E-2</v>
      </c>
      <c r="Q91">
        <f>IF(RunSize_by_Stock!Q43&gt;0,(RunSize_by_Stock!Q43-Escapements!Q44)/RunSize_by_Stock!Q43,"")</f>
        <v>1.661741810440702E-2</v>
      </c>
      <c r="R91">
        <f>IF(RunSize_by_Stock!R43&gt;0,(RunSize_by_Stock!R43-Escapements!R44)/RunSize_by_Stock!R43,"")</f>
        <v>2.5295957386427034E-2</v>
      </c>
      <c r="S91">
        <f>IF(RunSize_by_Stock!S43&gt;0,(RunSize_by_Stock!S43-Escapements!S44)/RunSize_by_Stock!S43,"")</f>
        <v>0.13570655297280865</v>
      </c>
      <c r="T91">
        <f>IF(RunSize_by_Stock!T43&gt;0,(RunSize_by_Stock!T43-Escapements!T44)/RunSize_by_Stock!T43,"")</f>
        <v>8.6294416243654817E-2</v>
      </c>
      <c r="U91" t="str">
        <f>IF(RunSize_by_Stock!U43&gt;0,(RunSize_by_Stock!U43-Escapements!U44)/RunSize_by_Stock!U43,"")</f>
        <v/>
      </c>
      <c r="V91">
        <f>IF(RunSize_by_Stock!V43&gt;0,(RunSize_by_Stock!V43-Escapements!V44)/RunSize_by_Stock!V43,"")</f>
        <v>9.1548163247448487E-3</v>
      </c>
      <c r="W91">
        <f>IF(RunSize_by_Stock!W43&gt;0,(RunSize_by_Stock!W43-Escapements!W44)/RunSize_by_Stock!W43,"")</f>
        <v>3.8461538461538547E-2</v>
      </c>
      <c r="X91">
        <f>IF(RunSize_by_Stock!X43&gt;0,(RunSize_by_Stock!X43-Escapements!X44)/RunSize_by_Stock!X43,"")</f>
        <v>1.6075680003371028E-2</v>
      </c>
      <c r="Y91">
        <f>IF(RunSize_by_Stock!Y43&gt;0,(RunSize_by_Stock!Y43-Escapements!Y44)/RunSize_by_Stock!Y43,"")</f>
        <v>8.9107110383706226E-3</v>
      </c>
      <c r="Z91">
        <f>IF(RunSize_by_Stock!Z43&gt;0,(RunSize_by_Stock!Z43-Escapements!Z44)/RunSize_by_Stock!Z43,"")</f>
        <v>0.31353919239904987</v>
      </c>
      <c r="AA91">
        <f>IF(RunSize_by_Stock!AA43&gt;0,(RunSize_by_Stock!AA43-Escapements!AA44)/RunSize_by_Stock!AA43,"")</f>
        <v>0.17229729729729729</v>
      </c>
      <c r="AB91">
        <f>IF(RunSize_by_Stock!AB43&gt;0,(RunSize_by_Stock!AB43-Escapements!AB44)/RunSize_by_Stock!AB43,"")</f>
        <v>5.1169095221958651E-2</v>
      </c>
      <c r="AC91">
        <f>IF(RunSize_by_Stock!AC43&gt;0,(RunSize_by_Stock!AC43-Escapements!AC44)/RunSize_by_Stock!AC43,"")</f>
        <v>4.0376442015786281E-2</v>
      </c>
      <c r="AD91">
        <f>IF(RunSize_by_Stock!AD43&gt;0,(RunSize_by_Stock!AD43-Escapements!AD44)/RunSize_by_Stock!AD43,"")</f>
        <v>8.2244799225931683E-3</v>
      </c>
      <c r="AE91">
        <f>IF(RunSize_by_Stock!AE43&gt;0,(RunSize_by_Stock!AE43-Escapements!AE44)/RunSize_by_Stock!AE43,"")</f>
        <v>2.7797525949097131E-2</v>
      </c>
      <c r="AF91">
        <f>IF(RunSize_by_Stock!AF43&gt;0,(RunSize_by_Stock!AF43-Escapements!AF44)/RunSize_by_Stock!AF43,"")</f>
        <v>5.2734375E-2</v>
      </c>
      <c r="AG91">
        <f>IF(RunSize_by_Stock!AG43&gt;0,(RunSize_by_Stock!AG43-Escapements!AG44)/RunSize_by_Stock!AG43,"")</f>
        <v>3.7762237762237763E-2</v>
      </c>
      <c r="AH91">
        <f>IF(RunSize_by_Stock!AH43&gt;0,(RunSize_by_Stock!AH43-Escapements!AH44)/RunSize_by_Stock!AH43,"")</f>
        <v>5.3571428571428568E-2</v>
      </c>
      <c r="AI91">
        <f>IF(RunSize_by_Stock!AI43&gt;0,(RunSize_by_Stock!AI43-Escapements!AI44)/RunSize_by_Stock!AI43,"")</f>
        <v>0</v>
      </c>
      <c r="AJ91">
        <f>IF(RunSize_by_Stock!AJ43&gt;0,(RunSize_by_Stock!AJ43-Escapements!AJ44)/RunSize_by_Stock!AJ43,"")</f>
        <v>1.7967686514302982E-2</v>
      </c>
      <c r="AK91">
        <f>IF(RunSize_by_Stock!AK43&gt;0,(RunSize_by_Stock!AK43-Escapements!AK44)/RunSize_by_Stock!AK43,"")</f>
        <v>0.10526315789473684</v>
      </c>
      <c r="AL91">
        <f>IF(RunSize_by_Stock!AL43&gt;0,(RunSize_by_Stock!AL43-Escapements!AL44)/RunSize_by_Stock!AL43,"")</f>
        <v>0.11722069482629342</v>
      </c>
      <c r="AM91">
        <f>IF(RunSize_by_Stock!AM43&gt;0,(RunSize_by_Stock!AM43-Escapements!AM44)/RunSize_by_Stock!AM43,"")</f>
        <v>0.10483870967741936</v>
      </c>
      <c r="AN91">
        <f>IF(RunSize_by_Stock!AN43&gt;0,(RunSize_by_Stock!AN43-Escapements!AN44)/RunSize_by_Stock!AN43,"")</f>
        <v>6.8702290076335881E-2</v>
      </c>
      <c r="AO91">
        <f>IF(RunSize_by_Stock!AO43&gt;0,(RunSize_by_Stock!AO43-Escapements!AO44)/RunSize_by_Stock!AO43,"")</f>
        <v>7.3239436619718309E-2</v>
      </c>
      <c r="AP91">
        <f>IF(RunSize_by_Stock!AP43&gt;0,(RunSize_by_Stock!AP43-Escapements!AP44)/RunSize_by_Stock!AP43,"")</f>
        <v>9.3457943925233638E-3</v>
      </c>
      <c r="AQ91">
        <f>IF(RunSize_by_Stock!AQ43&gt;0,(RunSize_by_Stock!AQ43-Escapements!AQ44)/RunSize_by_Stock!AQ43,"")</f>
        <v>0.10110041265474554</v>
      </c>
      <c r="AR91">
        <f>IF(RunSize_by_Stock!AR43&gt;0,(RunSize_by_Stock!AR43-Escapements!AR44)/RunSize_by_Stock!AR43,"")</f>
        <v>6.3459330964336882E-2</v>
      </c>
      <c r="AS91">
        <f>IF(RunSize_by_Stock!AS43&gt;0,(RunSize_by_Stock!AS43-Escapements!AS44)/RunSize_by_Stock!AS43,"")</f>
        <v>7.1550255536626917E-2</v>
      </c>
      <c r="AT91">
        <f>IF(RunSize_by_Stock!AT43&gt;0,(RunSize_by_Stock!AT43-Escapements!AT44)/RunSize_by_Stock!AT43,"")</f>
        <v>0.18443876746459772</v>
      </c>
      <c r="AU91">
        <f>IF(RunSize_by_Stock!AU43&gt;0,(RunSize_by_Stock!AU43-Escapements!AU44)/RunSize_by_Stock!AU43,"")</f>
        <v>8.8461538461538466E-2</v>
      </c>
      <c r="AV91">
        <f>IF(RunSize_by_Stock!AV43&gt;0,(RunSize_by_Stock!AV43-Escapements!AV44)/RunSize_by_Stock!AV43,"")</f>
        <v>1.7500000000000002E-2</v>
      </c>
      <c r="AW91">
        <f>IF(RunSize_by_Stock!AW43&gt;0,(RunSize_by_Stock!AW43-Escapements!AW44)/RunSize_by_Stock!AW43,"")</f>
        <v>0.18862969256913331</v>
      </c>
      <c r="AX91">
        <f>IF(RunSize_by_Stock!AX43&gt;0,(RunSize_by_Stock!AX43-Escapements!AX44)/RunSize_by_Stock!AX43,"")</f>
        <v>0.17508140408630624</v>
      </c>
      <c r="AY91">
        <f>IF(RunSize_by_Stock!AY43&gt;0,(RunSize_by_Stock!AY43-Escapements!AY44)/RunSize_by_Stock!AY43,"")</f>
        <v>0.19155809765914628</v>
      </c>
      <c r="AZ91">
        <f>IF(RunSize_by_Stock!AZ43&gt;0,(RunSize_by_Stock!AZ43-Escapements!AZ44)/RunSize_by_Stock!AZ43,"")</f>
        <v>9.8272292368698125E-2</v>
      </c>
      <c r="BA91">
        <f>IF(RunSize_by_Stock!BA43&gt;0,(RunSize_by_Stock!BA43-Escapements!BA44)/RunSize_by_Stock!BA43,"")</f>
        <v>3.1460674157303373E-2</v>
      </c>
      <c r="BB91">
        <f>IF(RunSize_by_Stock!BB43&gt;0,(RunSize_by_Stock!BB43-Escapements!BB44)/RunSize_by_Stock!BB43,"")</f>
        <v>4.2754025541365905E-2</v>
      </c>
      <c r="BC91">
        <f>IF(RunSize_by_Stock!BC43&gt;0,(RunSize_by_Stock!BC43-Escapements!BC44)/RunSize_by_Stock!BC43,"")</f>
        <v>1.5748031496062992E-2</v>
      </c>
      <c r="BD91">
        <f>IF(RunSize_by_Stock!BD43&gt;0,(RunSize_by_Stock!BD43-Escapements!BD44)/RunSize_by_Stock!BD43,"")</f>
        <v>1.4598540145985401E-2</v>
      </c>
      <c r="BE91">
        <f>IF(RunSize_by_Stock!BE43&gt;0,(RunSize_by_Stock!BE43-Escapements!BE44)/RunSize_by_Stock!BE43,"")</f>
        <v>3.8157282456956723E-2</v>
      </c>
      <c r="BF91">
        <f>IF(RunSize_by_Stock!BF43&gt;0,(RunSize_by_Stock!BF43-Escapements!BF44)/RunSize_by_Stock!BF43,"")</f>
        <v>2.7397260273972601E-2</v>
      </c>
      <c r="BG91">
        <f>IF(RunSize_by_Stock!BG43&gt;0,(RunSize_by_Stock!BG43-Escapements!BG44)/RunSize_by_Stock!BG43,"")</f>
        <v>7.8431372549019607E-2</v>
      </c>
      <c r="BH91">
        <f>IF(RunSize_by_Stock!BH43&gt;0,(RunSize_by_Stock!BH43-Escapements!BH44)/RunSize_by_Stock!BH43,"")</f>
        <v>0.13574660633484162</v>
      </c>
      <c r="BI91">
        <f>IF(RunSize_by_Stock!BI43&gt;0,(RunSize_by_Stock!BI43-Escapements!BI44)/RunSize_by_Stock!BI43,"")</f>
        <v>5.6065356186640429E-3</v>
      </c>
      <c r="BJ91">
        <f>IF(RunSize_by_Stock!BJ43&gt;0,(RunSize_by_Stock!BJ43-Escapements!BJ44)/RunSize_by_Stock!BJ43,"")</f>
        <v>0.1264723431526375</v>
      </c>
      <c r="BK91">
        <f>IF(RunSize_by_Stock!BK43&gt;0,(RunSize_by_Stock!BK43-Escapements!BK44)/RunSize_by_Stock!BK43,"")</f>
        <v>2.1276595744680851E-2</v>
      </c>
      <c r="BL91">
        <f>IF(RunSize_by_Stock!BL43&gt;0,(RunSize_by_Stock!BL43-Escapements!BL44)/RunSize_by_Stock!BL43,"")</f>
        <v>0.10617283950617284</v>
      </c>
      <c r="BM91">
        <f>IF(RunSize_by_Stock!BM43&gt;0,(RunSize_by_Stock!BM43-Escapements!BM44)/RunSize_by_Stock!BM43,"")</f>
        <v>0</v>
      </c>
      <c r="BN91" t="str">
        <f>IF(RunSize_by_Stock!BN43&gt;0,(RunSize_by_Stock!BN43-Escapements!BN44)/RunSize_by_Stock!BN43,"")</f>
        <v/>
      </c>
      <c r="BO91">
        <f>IF(RunSize_by_Stock!BO43&gt;0,(RunSize_by_Stock!BO43-Escapements!BO44)/RunSize_by_Stock!BO43,"")</f>
        <v>2.5481778300107321E-2</v>
      </c>
      <c r="BP91">
        <f>IF(RunSize_by_Stock!BP43&gt;0,(RunSize_by_Stock!BP43-Escapements!BP44)/RunSize_by_Stock!BP43,"")</f>
        <v>0</v>
      </c>
      <c r="BQ91" t="str">
        <f>IF(RunSize_by_Stock!BQ43&gt;0,(RunSize_by_Stock!BQ43-Escapements!BQ44)/RunSize_by_Stock!BQ43,"")</f>
        <v/>
      </c>
      <c r="BR91">
        <f>IF(RunSize_by_Stock!BR43&gt;0,(RunSize_by_Stock!BR43-Escapements!BR44)/RunSize_by_Stock!BR43,"")</f>
        <v>8.6956521739130436E-3</v>
      </c>
      <c r="BS91">
        <f>IF(RunSize_by_Stock!BS43&gt;0,(RunSize_by_Stock!BS43-Escapements!BS44)/RunSize_by_Stock!BS43,"")</f>
        <v>4.3478260869565216E-2</v>
      </c>
      <c r="BT91">
        <f>IF(RunSize_by_Stock!BT43&gt;0,(RunSize_by_Stock!BT43-Escapements!BT44)/RunSize_by_Stock!BT43,"")</f>
        <v>0.17378048780487804</v>
      </c>
      <c r="BU91">
        <f>IF(RunSize_by_Stock!BU43&gt;0,(RunSize_by_Stock!BU43-Escapements!BU44)/RunSize_by_Stock!BU43,"")</f>
        <v>5.5555555555555552E-2</v>
      </c>
      <c r="BV91">
        <f>IF(RunSize_by_Stock!BV43&gt;0,(RunSize_by_Stock!BV43-Escapements!BV44)/RunSize_by_Stock!BV43,"")</f>
        <v>1.6209164245184551E-2</v>
      </c>
      <c r="BW91" t="str">
        <f>IF(RunSize_by_Stock!BW43&gt;0,(RunSize_by_Stock!BW43-Escapements!BW44)/RunSize_by_Stock!BW43,"")</f>
        <v/>
      </c>
      <c r="BX91">
        <f>IF(RunSize_by_Stock!BX43&gt;0,(RunSize_by_Stock!BX43-Escapements!BX44)/RunSize_by_Stock!BX43,"")</f>
        <v>0.10714285714285714</v>
      </c>
      <c r="BY91">
        <f>IF(RunSize_by_Stock!BY43&gt;0,(RunSize_by_Stock!BY43-Escapements!BY44)/RunSize_by_Stock!BY43,"")</f>
        <v>1.1752136752136858E-2</v>
      </c>
      <c r="BZ91">
        <f>IF(RunSize_by_Stock!BZ43&gt;0,(RunSize_by_Stock!BZ43-Escapements!BZ44)/RunSize_by_Stock!BZ43,"")</f>
        <v>9.3240093240093778E-3</v>
      </c>
      <c r="CA91">
        <f>IF(RunSize_by_Stock!CA43&gt;0,(RunSize_by_Stock!CA43-Escapements!CA44)/RunSize_by_Stock!CA43,"")</f>
        <v>0.1</v>
      </c>
      <c r="CB91">
        <f>IF(RunSize_by_Stock!CB43&gt;0,(RunSize_by_Stock!CB43-Escapements!CB44)/RunSize_by_Stock!CB43,"")</f>
        <v>4.3478260869565216E-2</v>
      </c>
      <c r="CC91">
        <f>IF(RunSize_by_Stock!CC43&gt;0,(RunSize_by_Stock!CC43-Escapements!CC44)/RunSize_by_Stock!CC43,"")</f>
        <v>-3.845869237082411E-3</v>
      </c>
      <c r="CD91" t="str">
        <f>IF(RunSize_by_Stock!CD43&gt;0,(RunSize_by_Stock!CD43-Escapements!CD44)/RunSize_by_Stock!CD43,"")</f>
        <v/>
      </c>
      <c r="CE91">
        <f>IF(RunSize_by_Stock!CE43&gt;0,(RunSize_by_Stock!CE43-Escapements!CE44)/RunSize_by_Stock!CE43,"")</f>
        <v>4.8008380302875353E-2</v>
      </c>
      <c r="CF91">
        <f>IF(RunSize_by_Stock!CF43&gt;0,(RunSize_by_Stock!CF43-Escapements!CF44)/RunSize_by_Stock!CF43,"")</f>
        <v>5.0279514119003409E-2</v>
      </c>
      <c r="CG91">
        <f>IF(RunSize_by_Stock!CG43&gt;0,(RunSize_by_Stock!CG43-Escapements!CG44)/RunSize_by_Stock!CG43,"")</f>
        <v>0.2905457340507302</v>
      </c>
      <c r="CH91">
        <f t="shared" si="3"/>
        <v>5.7431372788664621E-2</v>
      </c>
    </row>
    <row r="92" spans="1:86" x14ac:dyDescent="0.55000000000000004">
      <c r="A92">
        <f t="shared" si="2"/>
        <v>2021</v>
      </c>
      <c r="B92">
        <f>IF(RunSize_by_Stock!B44&gt;0,(RunSize_by_Stock!B44-Escapements!B45)/RunSize_by_Stock!B44,"")</f>
        <v>1.6129032258064516E-2</v>
      </c>
      <c r="C92">
        <f>IF(RunSize_by_Stock!C44&gt;0,(RunSize_by_Stock!C44-Escapements!C45)/RunSize_by_Stock!C44,"")</f>
        <v>2.5474525474525476E-2</v>
      </c>
      <c r="D92">
        <f>IF(RunSize_by_Stock!D44&gt;0,(RunSize_by_Stock!D44-Escapements!D45)/RunSize_by_Stock!D44,"")</f>
        <v>0</v>
      </c>
      <c r="E92">
        <f>IF(RunSize_by_Stock!E44&gt;0,(RunSize_by_Stock!E44-Escapements!E45)/RunSize_by_Stock!E44,"")</f>
        <v>1.3333333333333334E-2</v>
      </c>
      <c r="F92">
        <f>IF(RunSize_by_Stock!F44&gt;0,(RunSize_by_Stock!F44-Escapements!F45)/RunSize_by_Stock!F44,"")</f>
        <v>2.0833333333333332E-2</v>
      </c>
      <c r="G92">
        <f>IF(RunSize_by_Stock!G44&gt;0,(RunSize_by_Stock!G44-Escapements!G45)/RunSize_by_Stock!G44,"")</f>
        <v>0</v>
      </c>
      <c r="H92">
        <f>IF(RunSize_by_Stock!H44&gt;0,(RunSize_by_Stock!H44-Escapements!H45)/RunSize_by_Stock!H44,"")</f>
        <v>0.02</v>
      </c>
      <c r="I92">
        <f>IF(RunSize_by_Stock!I44&gt;0,(RunSize_by_Stock!I44-Escapements!I45)/RunSize_by_Stock!I44,"")</f>
        <v>1.9867549668874173E-2</v>
      </c>
      <c r="J92">
        <f>IF(RunSize_by_Stock!J44&gt;0,(RunSize_by_Stock!J44-Escapements!J45)/RunSize_by_Stock!J44,"")</f>
        <v>1.7567941073861285E-2</v>
      </c>
      <c r="K92">
        <f>IF(RunSize_by_Stock!K44&gt;0,(RunSize_by_Stock!K44-Escapements!K45)/RunSize_by_Stock!K44,"")</f>
        <v>1.6129032258064516E-2</v>
      </c>
      <c r="L92">
        <f>IF(RunSize_by_Stock!L44&gt;0,(RunSize_by_Stock!L44-Escapements!L45)/RunSize_by_Stock!L44,"")</f>
        <v>1.8358531317494601E-2</v>
      </c>
      <c r="M92">
        <f>IF(RunSize_by_Stock!M44&gt;0,(RunSize_by_Stock!M44-Escapements!M45)/RunSize_by_Stock!M44,"")</f>
        <v>2.0883585246433942E-2</v>
      </c>
      <c r="N92">
        <f>IF(RunSize_by_Stock!N44&gt;0,(RunSize_by_Stock!N44-Escapements!N45)/RunSize_by_Stock!N44,"")</f>
        <v>2.4914089347079039E-2</v>
      </c>
      <c r="O92">
        <f>IF(RunSize_by_Stock!O44&gt;0,(RunSize_by_Stock!O44-Escapements!O45)/RunSize_by_Stock!O44,"")</f>
        <v>2.5117739403453892E-2</v>
      </c>
      <c r="P92">
        <f>IF(RunSize_by_Stock!P44&gt;0,(RunSize_by_Stock!P44-Escapements!P45)/RunSize_by_Stock!P44,"")</f>
        <v>2.1159037167334766E-2</v>
      </c>
      <c r="Q92">
        <f>IF(RunSize_by_Stock!Q44&gt;0,(RunSize_by_Stock!Q44-Escapements!Q45)/RunSize_by_Stock!Q44,"")</f>
        <v>2.5380710659898477E-2</v>
      </c>
      <c r="R92">
        <f>IF(RunSize_by_Stock!R44&gt;0,(RunSize_by_Stock!R44-Escapements!R45)/RunSize_by_Stock!R44,"")</f>
        <v>2.649810657922155E-2</v>
      </c>
      <c r="S92">
        <f>IF(RunSize_by_Stock!S44&gt;0,(RunSize_by_Stock!S44-Escapements!S45)/RunSize_by_Stock!S44,"")</f>
        <v>5.8529640616822753E-2</v>
      </c>
      <c r="T92">
        <f>IF(RunSize_by_Stock!T44&gt;0,(RunSize_by_Stock!T44-Escapements!T45)/RunSize_by_Stock!T44,"")</f>
        <v>4.0194040194040194E-2</v>
      </c>
      <c r="U92">
        <f>IF(RunSize_by_Stock!U44&gt;0,(RunSize_by_Stock!U44-Escapements!U45)/RunSize_by_Stock!U44,"")</f>
        <v>0</v>
      </c>
      <c r="V92">
        <f>IF(RunSize_by_Stock!V44&gt;0,(RunSize_by_Stock!V44-Escapements!V45)/RunSize_by_Stock!V44,"")</f>
        <v>2.6315789473684209E-2</v>
      </c>
      <c r="W92">
        <f>IF(RunSize_by_Stock!W44&gt;0,(RunSize_by_Stock!W44-Escapements!W45)/RunSize_by_Stock!W44,"")</f>
        <v>0</v>
      </c>
      <c r="X92">
        <f>IF(RunSize_by_Stock!X44&gt;0,(RunSize_by_Stock!X44-Escapements!X45)/RunSize_by_Stock!X44,"")</f>
        <v>1.7959183673469201E-2</v>
      </c>
      <c r="Y92">
        <f>IF(RunSize_by_Stock!Y44&gt;0,(RunSize_by_Stock!Y44-Escapements!Y45)/RunSize_by_Stock!Y44,"")</f>
        <v>1.0075566750629723E-2</v>
      </c>
      <c r="Z92">
        <f>IF(RunSize_by_Stock!Z44&gt;0,(RunSize_by_Stock!Z44-Escapements!Z45)/RunSize_by_Stock!Z44,"")</f>
        <v>0.16219119226638024</v>
      </c>
      <c r="AA92">
        <f>IF(RunSize_by_Stock!AA44&gt;0,(RunSize_by_Stock!AA44-Escapements!AA45)/RunSize_by_Stock!AA44,"")</f>
        <v>8.5714285714285715E-2</v>
      </c>
      <c r="AB92">
        <f>IF(RunSize_by_Stock!AB44&gt;0,(RunSize_by_Stock!AB44-Escapements!AB45)/RunSize_by_Stock!AB44,"")</f>
        <v>2.9850746268656716E-2</v>
      </c>
      <c r="AC92">
        <f>IF(RunSize_by_Stock!AC44&gt;0,(RunSize_by_Stock!AC44-Escapements!AC45)/RunSize_by_Stock!AC44,"")</f>
        <v>4.3850454227812717E-2</v>
      </c>
      <c r="AD92">
        <f>IF(RunSize_by_Stock!AD44&gt;0,(RunSize_by_Stock!AD44-Escapements!AD45)/RunSize_by_Stock!AD44,"")</f>
        <v>1.020408163265306E-2</v>
      </c>
      <c r="AE92">
        <f>IF(RunSize_by_Stock!AE44&gt;0,(RunSize_by_Stock!AE44-Escapements!AE45)/RunSize_by_Stock!AE44,"")</f>
        <v>4.8028114017961733E-2</v>
      </c>
      <c r="AF92">
        <f>IF(RunSize_by_Stock!AF44&gt;0,(RunSize_by_Stock!AF44-Escapements!AF45)/RunSize_by_Stock!AF44,"")</f>
        <v>4.8387096774193547E-2</v>
      </c>
      <c r="AG92">
        <f>IF(RunSize_by_Stock!AG44&gt;0,(RunSize_by_Stock!AG44-Escapements!AG45)/RunSize_by_Stock!AG44,"")</f>
        <v>3.7595103639351632E-2</v>
      </c>
      <c r="AH92">
        <f>IF(RunSize_by_Stock!AH44&gt;0,(RunSize_by_Stock!AH44-Escapements!AH45)/RunSize_by_Stock!AH44,"")</f>
        <v>2.8169014084507043E-2</v>
      </c>
      <c r="AI92">
        <f>IF(RunSize_by_Stock!AI44&gt;0,(RunSize_by_Stock!AI44-Escapements!AI45)/RunSize_by_Stock!AI44,"")</f>
        <v>0</v>
      </c>
      <c r="AJ92">
        <f>IF(RunSize_by_Stock!AJ44&gt;0,(RunSize_by_Stock!AJ44-Escapements!AJ45)/RunSize_by_Stock!AJ44,"")</f>
        <v>3.3890115132639072E-2</v>
      </c>
      <c r="AK92">
        <f>IF(RunSize_by_Stock!AK44&gt;0,(RunSize_by_Stock!AK44-Escapements!AK45)/RunSize_by_Stock!AK44,"")</f>
        <v>7.8947368421052627E-2</v>
      </c>
      <c r="AL92">
        <f>IF(RunSize_by_Stock!AL44&gt;0,(RunSize_by_Stock!AL44-Escapements!AL45)/RunSize_by_Stock!AL44,"")</f>
        <v>8.6073500967117994E-2</v>
      </c>
      <c r="AM92">
        <f>IF(RunSize_by_Stock!AM44&gt;0,(RunSize_by_Stock!AM44-Escapements!AM45)/RunSize_by_Stock!AM44,"")</f>
        <v>5.8823529411764705E-2</v>
      </c>
      <c r="AN92">
        <f>IF(RunSize_by_Stock!AN44&gt;0,(RunSize_by_Stock!AN44-Escapements!AN45)/RunSize_by_Stock!AN44,"")</f>
        <v>4.5045045045045043E-2</v>
      </c>
      <c r="AO92">
        <f>IF(RunSize_by_Stock!AO44&gt;0,(RunSize_by_Stock!AO44-Escapements!AO45)/RunSize_by_Stock!AO44,"")</f>
        <v>3.3333333333333333E-2</v>
      </c>
      <c r="AP92">
        <f>IF(RunSize_by_Stock!AP44&gt;0,(RunSize_by_Stock!AP44-Escapements!AP45)/RunSize_by_Stock!AP44,"")</f>
        <v>1.4388489208633094E-2</v>
      </c>
      <c r="AQ92">
        <f>IF(RunSize_by_Stock!AQ44&gt;0,(RunSize_by_Stock!AQ44-Escapements!AQ45)/RunSize_by_Stock!AQ44,"")</f>
        <v>7.6317110858768564E-2</v>
      </c>
      <c r="AR92" t="str">
        <f>IF(RunSize_by_Stock!AR44&gt;0,(RunSize_by_Stock!AR44-Escapements!AR45)/RunSize_by_Stock!AR44,"")</f>
        <v/>
      </c>
      <c r="AS92">
        <f>IF(RunSize_by_Stock!AS44&gt;0,(RunSize_by_Stock!AS44-Escapements!AS45)/RunSize_by_Stock!AS44,"")</f>
        <v>7.6923076923076927E-2</v>
      </c>
      <c r="AT92">
        <f>IF(RunSize_by_Stock!AT44&gt;0,(RunSize_by_Stock!AT44-Escapements!AT45)/RunSize_by_Stock!AT44,"")</f>
        <v>0.1844636251541307</v>
      </c>
      <c r="AU92">
        <f>IF(RunSize_by_Stock!AU44&gt;0,(RunSize_by_Stock!AU44-Escapements!AU45)/RunSize_by_Stock!AU44,"")</f>
        <v>0.11955385151620773</v>
      </c>
      <c r="AV92">
        <f>IF(RunSize_by_Stock!AV44&gt;0,(RunSize_by_Stock!AV44-Escapements!AV45)/RunSize_by_Stock!AV44,"")</f>
        <v>3.5864978902953586E-2</v>
      </c>
      <c r="AW92">
        <f>IF(RunSize_by_Stock!AW44&gt;0,(RunSize_by_Stock!AW44-Escapements!AW45)/RunSize_by_Stock!AW44,"")</f>
        <v>0.17182741116751268</v>
      </c>
      <c r="AX92">
        <f>IF(RunSize_by_Stock!AX44&gt;0,(RunSize_by_Stock!AX44-Escapements!AX45)/RunSize_by_Stock!AX44,"")</f>
        <v>0.13948258923698287</v>
      </c>
      <c r="AY92">
        <f>IF(RunSize_by_Stock!AY44&gt;0,(RunSize_by_Stock!AY44-Escapements!AY45)/RunSize_by_Stock!AY44,"")</f>
        <v>0.15887754490761738</v>
      </c>
      <c r="AZ92">
        <f>IF(RunSize_by_Stock!AZ44&gt;0,(RunSize_by_Stock!AZ44-Escapements!AZ45)/RunSize_by_Stock!AZ44,"")</f>
        <v>5.3630684612143979E-2</v>
      </c>
      <c r="BA92">
        <f>IF(RunSize_by_Stock!BA44&gt;0,(RunSize_by_Stock!BA44-Escapements!BA45)/RunSize_by_Stock!BA44,"")</f>
        <v>3.453689167974882E-2</v>
      </c>
      <c r="BB92">
        <f>IF(RunSize_by_Stock!BB44&gt;0,(RunSize_by_Stock!BB44-Escapements!BB45)/RunSize_by_Stock!BB44,"")</f>
        <v>3.1922791388270227E-2</v>
      </c>
      <c r="BC92">
        <f>IF(RunSize_by_Stock!BC44&gt;0,(RunSize_by_Stock!BC44-Escapements!BC45)/RunSize_by_Stock!BC44,"")</f>
        <v>1.9736842105263157E-2</v>
      </c>
      <c r="BD92">
        <f>IF(RunSize_by_Stock!BD44&gt;0,(RunSize_by_Stock!BD44-Escapements!BD45)/RunSize_by_Stock!BD44,"")</f>
        <v>2.1367521367521368E-2</v>
      </c>
      <c r="BE92">
        <f>IF(RunSize_by_Stock!BE44&gt;0,(RunSize_by_Stock!BE44-Escapements!BE45)/RunSize_by_Stock!BE44,"")</f>
        <v>2.6328052190121156E-2</v>
      </c>
      <c r="BF92">
        <f>IF(RunSize_by_Stock!BF44&gt;0,(RunSize_by_Stock!BF44-Escapements!BF45)/RunSize_by_Stock!BF44,"")</f>
        <v>3.2258064516129031E-2</v>
      </c>
      <c r="BG92">
        <f>IF(RunSize_by_Stock!BG44&gt;0,(RunSize_by_Stock!BG44-Escapements!BG45)/RunSize_by_Stock!BG44,"")</f>
        <v>8.1081081081081086E-2</v>
      </c>
      <c r="BH92">
        <f>IF(RunSize_by_Stock!BH44&gt;0,(RunSize_by_Stock!BH44-Escapements!BH45)/RunSize_by_Stock!BH44,"")</f>
        <v>3.5971223021582732E-2</v>
      </c>
      <c r="BI92">
        <f>IF(RunSize_by_Stock!BI44&gt;0,(RunSize_by_Stock!BI44-Escapements!BI45)/RunSize_by_Stock!BI44,"")</f>
        <v>2.7599642828151634E-3</v>
      </c>
      <c r="BJ92">
        <f>IF(RunSize_by_Stock!BJ44&gt;0,(RunSize_by_Stock!BJ44-Escapements!BJ45)/RunSize_by_Stock!BJ44,"")</f>
        <v>0.1245871751572844</v>
      </c>
      <c r="BK92">
        <f>IF(RunSize_by_Stock!BK44&gt;0,(RunSize_by_Stock!BK44-Escapements!BK45)/RunSize_by_Stock!BK44,"")</f>
        <v>2.2727272727272728E-2</v>
      </c>
      <c r="BL92">
        <f>IF(RunSize_by_Stock!BL44&gt;0,(RunSize_by_Stock!BL44-Escapements!BL45)/RunSize_by_Stock!BL44,"")</f>
        <v>6.0377358490566038E-2</v>
      </c>
      <c r="BM92">
        <f>IF(RunSize_by_Stock!BM44&gt;0,(RunSize_by_Stock!BM44-Escapements!BM45)/RunSize_by_Stock!BM44,"")</f>
        <v>0</v>
      </c>
      <c r="BN92" t="str">
        <f>IF(RunSize_by_Stock!BN44&gt;0,(RunSize_by_Stock!BN44-Escapements!BN45)/RunSize_by_Stock!BN44,"")</f>
        <v/>
      </c>
      <c r="BO92">
        <f>IF(RunSize_by_Stock!BO44&gt;0,(RunSize_by_Stock!BO44-Escapements!BO45)/RunSize_by_Stock!BO44,"")</f>
        <v>0</v>
      </c>
      <c r="BP92">
        <f>IF(RunSize_by_Stock!BP44&gt;0,(RunSize_by_Stock!BP44-Escapements!BP45)/RunSize_by_Stock!BP44,"")</f>
        <v>5.2980132450331126E-2</v>
      </c>
      <c r="BQ92">
        <f>IF(RunSize_by_Stock!BQ44&gt;0,(RunSize_by_Stock!BQ44-Escapements!BQ45)/RunSize_by_Stock!BQ44,"")</f>
        <v>2.1499082408799131E-3</v>
      </c>
      <c r="BR92">
        <f>IF(RunSize_by_Stock!BR44&gt;0,(RunSize_by_Stock!BR44-Escapements!BR45)/RunSize_by_Stock!BR44,"")</f>
        <v>0</v>
      </c>
      <c r="BS92">
        <f>IF(RunSize_by_Stock!BS44&gt;0,(RunSize_by_Stock!BS44-Escapements!BS45)/RunSize_by_Stock!BS44,"")</f>
        <v>6.25E-2</v>
      </c>
      <c r="BT92">
        <f>IF(RunSize_by_Stock!BT44&gt;0,(RunSize_by_Stock!BT44-Escapements!BT45)/RunSize_by_Stock!BT44,"")</f>
        <v>0.17928147889780258</v>
      </c>
      <c r="BU92">
        <f>IF(RunSize_by_Stock!BU44&gt;0,(RunSize_by_Stock!BU44-Escapements!BU45)/RunSize_by_Stock!BU44,"")</f>
        <v>1.3778009444743389E-2</v>
      </c>
      <c r="BV92">
        <f>IF(RunSize_by_Stock!BV44&gt;0,(RunSize_by_Stock!BV44-Escapements!BV45)/RunSize_by_Stock!BV44,"")</f>
        <v>0</v>
      </c>
      <c r="BW92">
        <f>IF(RunSize_by_Stock!BW44&gt;0,(RunSize_by_Stock!BW44-Escapements!BW45)/RunSize_by_Stock!BW44,"")</f>
        <v>0</v>
      </c>
      <c r="BX92">
        <f>IF(RunSize_by_Stock!BX44&gt;0,(RunSize_by_Stock!BX44-Escapements!BX45)/RunSize_by_Stock!BX44,"")</f>
        <v>5.5555555555555552E-2</v>
      </c>
      <c r="BY92">
        <f>IF(RunSize_by_Stock!BY44&gt;0,(RunSize_by_Stock!BY44-Escapements!BY45)/RunSize_by_Stock!BY44,"")</f>
        <v>0</v>
      </c>
      <c r="BZ92">
        <f>IF(RunSize_by_Stock!BZ44&gt;0,(RunSize_by_Stock!BZ44-Escapements!BZ45)/RunSize_by_Stock!BZ44,"")</f>
        <v>0</v>
      </c>
      <c r="CA92">
        <f>IF(RunSize_by_Stock!CA44&gt;0,(RunSize_by_Stock!CA44-Escapements!CA45)/RunSize_by_Stock!CA44,"")</f>
        <v>0</v>
      </c>
      <c r="CB92">
        <f>IF(RunSize_by_Stock!CB44&gt;0,(RunSize_by_Stock!CB44-Escapements!CB45)/RunSize_by_Stock!CB44,"")</f>
        <v>7.9395559958350348E-2</v>
      </c>
      <c r="CC92">
        <f>IF(RunSize_by_Stock!CC44&gt;0,(RunSize_by_Stock!CC44-Escapements!CC45)/RunSize_by_Stock!CC44,"")</f>
        <v>0</v>
      </c>
      <c r="CD92" t="str">
        <f>IF(RunSize_by_Stock!CD44&gt;0,(RunSize_by_Stock!CD44-Escapements!CD45)/RunSize_by_Stock!CD44,"")</f>
        <v/>
      </c>
      <c r="CE92">
        <f>IF(RunSize_by_Stock!CE44&gt;0,(RunSize_by_Stock!CE44-Escapements!CE45)/RunSize_by_Stock!CE44,"")</f>
        <v>0</v>
      </c>
      <c r="CF92" t="str">
        <f>IF(RunSize_by_Stock!CF44&gt;0,(RunSize_by_Stock!CF44-Escapements!CF45)/RunSize_by_Stock!CF44,"")</f>
        <v/>
      </c>
      <c r="CG92">
        <f>IF(RunSize_by_Stock!CG44&gt;0,(RunSize_by_Stock!CG44-Escapements!CG45)/RunSize_by_Stock!CG44,"")</f>
        <v>0.23113964686998395</v>
      </c>
      <c r="CH92">
        <f t="shared" si="3"/>
        <v>4.3707345508496295E-2</v>
      </c>
    </row>
    <row r="93" spans="1:86" x14ac:dyDescent="0.55000000000000004">
      <c r="A93">
        <f t="shared" si="2"/>
        <v>2022</v>
      </c>
      <c r="B93">
        <f>IF(RunSize_by_Stock!B45&gt;0,(RunSize_by_Stock!B45-Escapements!B46)/RunSize_by_Stock!B45,"")</f>
        <v>4.9504950495049506E-3</v>
      </c>
      <c r="C93">
        <f>IF(RunSize_by_Stock!C45&gt;0,(RunSize_by_Stock!C45-Escapements!C46)/RunSize_by_Stock!C45,"")</f>
        <v>1.5547703180212015E-2</v>
      </c>
      <c r="D93">
        <f>IF(RunSize_by_Stock!D45&gt;0,(RunSize_by_Stock!D45-Escapements!D46)/RunSize_by_Stock!D45,"")</f>
        <v>0</v>
      </c>
      <c r="E93">
        <f>IF(RunSize_by_Stock!E45&gt;0,(RunSize_by_Stock!E45-Escapements!E46)/RunSize_by_Stock!E45,"")</f>
        <v>7.5187969924812026E-3</v>
      </c>
      <c r="F93">
        <f>IF(RunSize_by_Stock!F45&gt;0,(RunSize_by_Stock!F45-Escapements!F46)/RunSize_by_Stock!F45,"")</f>
        <v>7.3982737361282368E-3</v>
      </c>
      <c r="G93">
        <f>IF(RunSize_by_Stock!G45&gt;0,(RunSize_by_Stock!G45-Escapements!G46)/RunSize_by_Stock!G45,"")</f>
        <v>0</v>
      </c>
      <c r="H93">
        <f>IF(RunSize_by_Stock!H45&gt;0,(RunSize_by_Stock!H45-Escapements!H46)/RunSize_by_Stock!H45,"")</f>
        <v>0</v>
      </c>
      <c r="I93">
        <f>IF(RunSize_by_Stock!I45&gt;0,(RunSize_by_Stock!I45-Escapements!I46)/RunSize_by_Stock!I45,"")</f>
        <v>8.8495575221238937E-3</v>
      </c>
      <c r="J93">
        <f>IF(RunSize_by_Stock!J45&gt;0,(RunSize_by_Stock!J45-Escapements!J46)/RunSize_by_Stock!J45,"")</f>
        <v>6.1972373302940434E-3</v>
      </c>
      <c r="K93">
        <f>IF(RunSize_by_Stock!K45&gt;0,(RunSize_by_Stock!K45-Escapements!K46)/RunSize_by_Stock!K45,"")</f>
        <v>9.3023255813953487E-3</v>
      </c>
      <c r="L93">
        <f>IF(RunSize_by_Stock!L45&gt;0,(RunSize_by_Stock!L45-Escapements!L46)/RunSize_by_Stock!L45,"")</f>
        <v>6.6350710900473934E-3</v>
      </c>
      <c r="M93">
        <f>IF(RunSize_by_Stock!M45&gt;0,(RunSize_by_Stock!M45-Escapements!M46)/RunSize_by_Stock!M45,"")</f>
        <v>9.9924648035799937E-3</v>
      </c>
      <c r="N93">
        <f>IF(RunSize_by_Stock!N45&gt;0,(RunSize_by_Stock!N45-Escapements!N46)/RunSize_by_Stock!N45,"")</f>
        <v>1.3466550825369244E-2</v>
      </c>
      <c r="O93">
        <f>IF(RunSize_by_Stock!O45&gt;0,(RunSize_by_Stock!O45-Escapements!O46)/RunSize_by_Stock!O45,"")</f>
        <v>1.4517374517374799E-2</v>
      </c>
      <c r="P93">
        <f>IF(RunSize_by_Stock!P45&gt;0,(RunSize_by_Stock!P45-Escapements!P46)/RunSize_by_Stock!P45,"")</f>
        <v>7.9576065951841614E-3</v>
      </c>
      <c r="Q93">
        <f>IF(RunSize_by_Stock!Q45&gt;0,(RunSize_by_Stock!Q45-Escapements!Q46)/RunSize_by_Stock!Q45,"")</f>
        <v>1.5340412948797833E-2</v>
      </c>
      <c r="R93">
        <f>IF(RunSize_by_Stock!R45&gt;0,(RunSize_by_Stock!R45-Escapements!R46)/RunSize_by_Stock!R45,"")</f>
        <v>2.1560366196924776E-2</v>
      </c>
      <c r="S93">
        <f>IF(RunSize_by_Stock!S45&gt;0,(RunSize_by_Stock!S45-Escapements!S46)/RunSize_by_Stock!S45,"")</f>
        <v>6.6236357373126428E-2</v>
      </c>
      <c r="T93">
        <f>IF(RunSize_by_Stock!T45&gt;0,(RunSize_by_Stock!T45-Escapements!T46)/RunSize_by_Stock!T45,"")</f>
        <v>5.0479083898107034E-2</v>
      </c>
      <c r="U93">
        <f>IF(RunSize_by_Stock!U45&gt;0,(RunSize_by_Stock!U45-Escapements!U46)/RunSize_by_Stock!U45,"")</f>
        <v>0</v>
      </c>
      <c r="V93">
        <f>IF(RunSize_by_Stock!V45&gt;0,(RunSize_by_Stock!V45-Escapements!V46)/RunSize_by_Stock!V45,"")</f>
        <v>1.2987012987012988E-2</v>
      </c>
      <c r="W93">
        <f>IF(RunSize_by_Stock!W45&gt;0,(RunSize_by_Stock!W45-Escapements!W46)/RunSize_by_Stock!W45,"")</f>
        <v>0</v>
      </c>
      <c r="X93">
        <f>IF(RunSize_by_Stock!X45&gt;0,(RunSize_by_Stock!X45-Escapements!X46)/RunSize_by_Stock!X45,"")</f>
        <v>1.0204081632652916E-2</v>
      </c>
      <c r="Y93">
        <f>IF(RunSize_by_Stock!Y45&gt;0,(RunSize_by_Stock!Y45-Escapements!Y46)/RunSize_by_Stock!Y45,"")</f>
        <v>7.7220077220077222E-3</v>
      </c>
      <c r="Z93">
        <f>IF(RunSize_by_Stock!Z45&gt;0,(RunSize_by_Stock!Z45-Escapements!Z46)/RunSize_by_Stock!Z45,"")</f>
        <v>0.16308793456032719</v>
      </c>
      <c r="AA93">
        <f>IF(RunSize_by_Stock!AA45&gt;0,(RunSize_by_Stock!AA45-Escapements!AA46)/RunSize_by_Stock!AA45,"")</f>
        <v>8.0246913580246909E-2</v>
      </c>
      <c r="AB93">
        <f>IF(RunSize_by_Stock!AB45&gt;0,(RunSize_by_Stock!AB45-Escapements!AB46)/RunSize_by_Stock!AB45,"")</f>
        <v>3.125E-2</v>
      </c>
      <c r="AC93">
        <f>IF(RunSize_by_Stock!AC45&gt;0,(RunSize_by_Stock!AC45-Escapements!AC46)/RunSize_by_Stock!AC45,"")</f>
        <v>3.3248623464633628E-2</v>
      </c>
      <c r="AD93">
        <f>IF(RunSize_by_Stock!AD45&gt;0,(RunSize_by_Stock!AD45-Escapements!AD46)/RunSize_by_Stock!AD45,"")</f>
        <v>1.098901098901099E-2</v>
      </c>
      <c r="AE93">
        <f>IF(RunSize_by_Stock!AE45&gt;0,(RunSize_by_Stock!AE45-Escapements!AE46)/RunSize_by_Stock!AE45,"")</f>
        <v>3.0004688232536336E-2</v>
      </c>
      <c r="AF93">
        <f>IF(RunSize_by_Stock!AF45&gt;0,(RunSize_by_Stock!AF45-Escapements!AF46)/RunSize_by_Stock!AF45,"")</f>
        <v>4.0572792362768499E-2</v>
      </c>
      <c r="AG93">
        <f>IF(RunSize_by_Stock!AG45&gt;0,(RunSize_by_Stock!AG45-Escapements!AG46)/RunSize_by_Stock!AG45,"")</f>
        <v>3.7140957062200712E-2</v>
      </c>
      <c r="AH93">
        <f>IF(RunSize_by_Stock!AH45&gt;0,(RunSize_by_Stock!AH45-Escapements!AH46)/RunSize_by_Stock!AH45,"")</f>
        <v>4.2735042735042736E-2</v>
      </c>
      <c r="AI93">
        <f>IF(RunSize_by_Stock!AI45&gt;0,(RunSize_by_Stock!AI45-Escapements!AI46)/RunSize_by_Stock!AI45,"")</f>
        <v>0.2391304347826087</v>
      </c>
      <c r="AJ93" t="str">
        <f>IF(RunSize_by_Stock!AJ45&gt;0,(RunSize_by_Stock!AJ45-Escapements!AJ46)/RunSize_by_Stock!AJ45,"")</f>
        <v/>
      </c>
      <c r="AK93">
        <f>IF(RunSize_by_Stock!AK45&gt;0,(RunSize_by_Stock!AK45-Escapements!AK46)/RunSize_by_Stock!AK45,"")</f>
        <v>5.2631578947368418E-2</v>
      </c>
      <c r="AL93">
        <f>IF(RunSize_by_Stock!AL45&gt;0,(RunSize_by_Stock!AL45-Escapements!AL46)/RunSize_by_Stock!AL45,"")</f>
        <v>8.1481481481481488E-2</v>
      </c>
      <c r="AM93">
        <f>IF(RunSize_by_Stock!AM45&gt;0,(RunSize_by_Stock!AM45-Escapements!AM46)/RunSize_by_Stock!AM45,"")</f>
        <v>6.8376068376068383E-2</v>
      </c>
      <c r="AN93">
        <f>IF(RunSize_by_Stock!AN45&gt;0,(RunSize_by_Stock!AN45-Escapements!AN46)/RunSize_by_Stock!AN45,"")</f>
        <v>5.1948051948051951E-2</v>
      </c>
      <c r="AO93">
        <f>IF(RunSize_by_Stock!AO45&gt;0,(RunSize_by_Stock!AO45-Escapements!AO46)/RunSize_by_Stock!AO45,"")</f>
        <v>5.2147239263803678E-2</v>
      </c>
      <c r="AP93">
        <f>IF(RunSize_by_Stock!AP45&gt;0,(RunSize_by_Stock!AP45-Escapements!AP46)/RunSize_by_Stock!AP45,"")</f>
        <v>1.4285714285714285E-2</v>
      </c>
      <c r="AQ93">
        <f>IF(RunSize_by_Stock!AQ45&gt;0,(RunSize_by_Stock!AQ45-Escapements!AQ46)/RunSize_by_Stock!AQ45,"")</f>
        <v>7.2848858522924123E-2</v>
      </c>
      <c r="AR93">
        <f>IF(RunSize_by_Stock!AR45&gt;0,(RunSize_by_Stock!AR45-Escapements!AR46)/RunSize_by_Stock!AR45,"")</f>
        <v>7.407407407407407E-2</v>
      </c>
      <c r="AS93">
        <f>IF(RunSize_by_Stock!AS45&gt;0,(RunSize_by_Stock!AS45-Escapements!AS46)/RunSize_by_Stock!AS45,"")</f>
        <v>6.80548501777552E-2</v>
      </c>
      <c r="AT93">
        <f>IF(RunSize_by_Stock!AT45&gt;0,(RunSize_by_Stock!AT45-Escapements!AT46)/RunSize_by_Stock!AT45,"")</f>
        <v>0.15291027578858687</v>
      </c>
      <c r="AU93">
        <f>IF(RunSize_by_Stock!AU45&gt;0,(RunSize_by_Stock!AU45-Escapements!AU46)/RunSize_by_Stock!AU45,"")</f>
        <v>0.14450127877237851</v>
      </c>
      <c r="AV93">
        <f>IF(RunSize_by_Stock!AV45&gt;0,(RunSize_by_Stock!AV45-Escapements!AV46)/RunSize_by_Stock!AV45,"")</f>
        <v>3.2028469750889681E-2</v>
      </c>
      <c r="AW93">
        <f>IF(RunSize_by_Stock!AW45&gt;0,(RunSize_by_Stock!AW45-Escapements!AW46)/RunSize_by_Stock!AW45,"")</f>
        <v>0.18403141361256545</v>
      </c>
      <c r="AX93">
        <f>IF(RunSize_by_Stock!AX45&gt;0,(RunSize_by_Stock!AX45-Escapements!AX46)/RunSize_by_Stock!AX45,"")</f>
        <v>0.18226225532652002</v>
      </c>
      <c r="AY93">
        <f>IF(RunSize_by_Stock!AY45&gt;0,(RunSize_by_Stock!AY45-Escapements!AY46)/RunSize_by_Stock!AY45,"")</f>
        <v>0.22226143874735288</v>
      </c>
      <c r="AZ93">
        <f>IF(RunSize_by_Stock!AZ45&gt;0,(RunSize_by_Stock!AZ45-Escapements!AZ46)/RunSize_by_Stock!AZ45,"")</f>
        <v>0.11057501142634442</v>
      </c>
      <c r="BA93">
        <f>IF(RunSize_by_Stock!BA45&gt;0,(RunSize_by_Stock!BA45-Escapements!BA46)/RunSize_by_Stock!BA45,"")</f>
        <v>3.2236400268636667E-2</v>
      </c>
      <c r="BB93">
        <f>IF(RunSize_by_Stock!BB45&gt;0,(RunSize_by_Stock!BB45-Escapements!BB46)/RunSize_by_Stock!BB45,"")</f>
        <v>6.7669172932330823E-2</v>
      </c>
      <c r="BC93">
        <f>IF(RunSize_by_Stock!BC45&gt;0,(RunSize_by_Stock!BC45-Escapements!BC46)/RunSize_by_Stock!BC45,"")</f>
        <v>7.2289156626506026E-3</v>
      </c>
      <c r="BD93">
        <f>IF(RunSize_by_Stock!BD45&gt;0,(RunSize_by_Stock!BD45-Escapements!BD46)/RunSize_by_Stock!BD45,"")</f>
        <v>7.1942446043165471E-3</v>
      </c>
      <c r="BE93">
        <f>IF(RunSize_by_Stock!BE45&gt;0,(RunSize_by_Stock!BE45-Escapements!BE46)/RunSize_by_Stock!BE45,"")</f>
        <v>1.7561983471074381E-2</v>
      </c>
      <c r="BF93">
        <f>IF(RunSize_by_Stock!BF45&gt;0,(RunSize_by_Stock!BF45-Escapements!BF46)/RunSize_by_Stock!BF45,"")</f>
        <v>2.2727272727272728E-2</v>
      </c>
      <c r="BG93">
        <f>IF(RunSize_by_Stock!BG45&gt;0,(RunSize_by_Stock!BG45-Escapements!BG46)/RunSize_by_Stock!BG45,"")</f>
        <v>9.5238095238095233E-2</v>
      </c>
      <c r="BH93">
        <f>IF(RunSize_by_Stock!BH45&gt;0,(RunSize_by_Stock!BH45-Escapements!BH46)/RunSize_by_Stock!BH45,"")</f>
        <v>1.7857142857142856E-2</v>
      </c>
      <c r="BI93">
        <f>IF(RunSize_by_Stock!BI45&gt;0,(RunSize_by_Stock!BI45-Escapements!BI46)/RunSize_by_Stock!BI45,"")</f>
        <v>1.2355927717221301E-2</v>
      </c>
      <c r="BJ93">
        <f>IF(RunSize_by_Stock!BJ45&gt;0,(RunSize_by_Stock!BJ45-Escapements!BJ46)/RunSize_by_Stock!BJ45,"")</f>
        <v>0.27014989528364869</v>
      </c>
      <c r="BK93">
        <f>IF(RunSize_by_Stock!BK45&gt;0,(RunSize_by_Stock!BK45-Escapements!BK46)/RunSize_by_Stock!BK45,"")</f>
        <v>0</v>
      </c>
      <c r="BL93">
        <f>IF(RunSize_by_Stock!BL45&gt;0,(RunSize_by_Stock!BL45-Escapements!BL46)/RunSize_by_Stock!BL45,"")</f>
        <v>6.8100358422939072E-2</v>
      </c>
      <c r="BM93">
        <f>IF(RunSize_by_Stock!BM45&gt;0,(RunSize_by_Stock!BM45-Escapements!BM46)/RunSize_by_Stock!BM45,"")</f>
        <v>4.1666666666666664E-2</v>
      </c>
      <c r="BN93">
        <f>IF(RunSize_by_Stock!BN45&gt;0,(RunSize_by_Stock!BN45-Escapements!BN46)/RunSize_by_Stock!BN45,"")</f>
        <v>0.12121212121212122</v>
      </c>
      <c r="BO93" t="str">
        <f>IF(RunSize_by_Stock!BO45&gt;0,(RunSize_by_Stock!BO45-Escapements!BO46)/RunSize_by_Stock!BO45,"")</f>
        <v/>
      </c>
      <c r="BP93">
        <f>IF(RunSize_by_Stock!BP45&gt;0,(RunSize_by_Stock!BP45-Escapements!BP46)/RunSize_by_Stock!BP45,"")</f>
        <v>6.1224489795918366E-2</v>
      </c>
      <c r="BQ93">
        <f>IF(RunSize_by_Stock!BQ45&gt;0,(RunSize_by_Stock!BQ45-Escapements!BQ46)/RunSize_by_Stock!BQ45,"")</f>
        <v>4.6091680382468027E-3</v>
      </c>
      <c r="BR93">
        <f>IF(RunSize_by_Stock!BR45&gt;0,(RunSize_by_Stock!BR45-Escapements!BR46)/RunSize_by_Stock!BR45,"")</f>
        <v>0</v>
      </c>
      <c r="BS93">
        <f>IF(RunSize_by_Stock!BS45&gt;0,(RunSize_by_Stock!BS45-Escapements!BS46)/RunSize_by_Stock!BS45,"")</f>
        <v>7.6923076923076927E-2</v>
      </c>
      <c r="BT93">
        <f>IF(RunSize_by_Stock!BT45&gt;0,(RunSize_by_Stock!BT45-Escapements!BT46)/RunSize_by_Stock!BT45,"")</f>
        <v>0.16453428863868988</v>
      </c>
      <c r="BU93">
        <f>IF(RunSize_by_Stock!BU45&gt;0,(RunSize_by_Stock!BU45-Escapements!BU46)/RunSize_by_Stock!BU45,"")</f>
        <v>5.5172088326312971E-2</v>
      </c>
      <c r="BV93">
        <f>IF(RunSize_by_Stock!BV45&gt;0,(RunSize_by_Stock!BV45-Escapements!BV46)/RunSize_by_Stock!BV45,"")</f>
        <v>0</v>
      </c>
      <c r="BW93" t="str">
        <f>IF(RunSize_by_Stock!BW45&gt;0,(RunSize_by_Stock!BW45-Escapements!BW46)/RunSize_by_Stock!BW45,"")</f>
        <v/>
      </c>
      <c r="BX93">
        <f>IF(RunSize_by_Stock!BX45&gt;0,(RunSize_by_Stock!BX45-Escapements!BX46)/RunSize_by_Stock!BX45,"")</f>
        <v>6.6666666666666666E-2</v>
      </c>
      <c r="BY93">
        <f>IF(RunSize_by_Stock!BY45&gt;0,(RunSize_by_Stock!BY45-Escapements!BY46)/RunSize_by_Stock!BY45,"")</f>
        <v>1.3333333333333334E-2</v>
      </c>
      <c r="BZ93">
        <f>IF(RunSize_by_Stock!BZ45&gt;0,(RunSize_by_Stock!BZ45-Escapements!BZ46)/RunSize_by_Stock!BZ45,"")</f>
        <v>1.1235955056179775E-2</v>
      </c>
      <c r="CA93" t="str">
        <f>IF(RunSize_by_Stock!CA45&gt;0,(RunSize_by_Stock!CA45-Escapements!CA46)/RunSize_by_Stock!CA45,"")</f>
        <v/>
      </c>
      <c r="CB93">
        <f>IF(RunSize_by_Stock!CB45&gt;0,(RunSize_by_Stock!CB45-Escapements!CB46)/RunSize_by_Stock!CB45,"")</f>
        <v>4.7879248527802461E-2</v>
      </c>
      <c r="CC93">
        <f>IF(RunSize_by_Stock!CC45&gt;0,(RunSize_by_Stock!CC45-Escapements!CC46)/RunSize_by_Stock!CC45,"")</f>
        <v>0.15384615384615385</v>
      </c>
      <c r="CD93" t="str">
        <f>IF(RunSize_by_Stock!CD45&gt;0,(RunSize_by_Stock!CD45-Escapements!CD46)/RunSize_by_Stock!CD45,"")</f>
        <v/>
      </c>
      <c r="CE93" t="str">
        <f>IF(RunSize_by_Stock!CE45&gt;0,(RunSize_by_Stock!CE45-Escapements!CE46)/RunSize_by_Stock!CE45,"")</f>
        <v/>
      </c>
      <c r="CF93">
        <f>IF(RunSize_by_Stock!CF45&gt;0,(RunSize_by_Stock!CF45-Escapements!CF46)/RunSize_by_Stock!CF45,"")</f>
        <v>0</v>
      </c>
      <c r="CG93">
        <f>IF(RunSize_by_Stock!CG45&gt;0,(RunSize_by_Stock!CG45-Escapements!CG46)/RunSize_by_Stock!CG45,"")</f>
        <v>0.21638141809290953</v>
      </c>
      <c r="CH93">
        <f t="shared" si="3"/>
        <v>5.4137068237987016E-2</v>
      </c>
    </row>
    <row r="94" spans="1:86" x14ac:dyDescent="0.55000000000000004">
      <c r="A94">
        <f t="shared" si="2"/>
        <v>2023</v>
      </c>
      <c r="B94">
        <f>IF(RunSize_by_Stock!B46&gt;0,(RunSize_by_Stock!B46-Escapements!B47)/RunSize_by_Stock!B46,"")</f>
        <v>1.8867924528301886E-2</v>
      </c>
      <c r="C94">
        <f>IF(RunSize_by_Stock!C46&gt;0,(RunSize_by_Stock!C46-Escapements!C47)/RunSize_by_Stock!C46,"")</f>
        <v>2.1591610117211599E-2</v>
      </c>
      <c r="D94" t="str">
        <f>IF(RunSize_by_Stock!D46&gt;0,(RunSize_by_Stock!D46-Escapements!D47)/RunSize_by_Stock!D46,"")</f>
        <v/>
      </c>
      <c r="E94">
        <f>IF(RunSize_by_Stock!E46&gt;0,(RunSize_by_Stock!E46-Escapements!E47)/RunSize_by_Stock!E46,"")</f>
        <v>0</v>
      </c>
      <c r="F94">
        <f>IF(RunSize_by_Stock!F46&gt;0,(RunSize_by_Stock!F46-Escapements!F47)/RunSize_by_Stock!F46,"")</f>
        <v>2.0761245674740483E-2</v>
      </c>
      <c r="G94">
        <f>IF(RunSize_by_Stock!G46&gt;0,(RunSize_by_Stock!G46-Escapements!G47)/RunSize_by_Stock!G46,"")</f>
        <v>0</v>
      </c>
      <c r="H94">
        <f>IF(RunSize_by_Stock!H46&gt;0,(RunSize_by_Stock!H46-Escapements!H47)/RunSize_by_Stock!H46,"")</f>
        <v>0</v>
      </c>
      <c r="I94">
        <f>IF(RunSize_by_Stock!I46&gt;0,(RunSize_by_Stock!I46-Escapements!I47)/RunSize_by_Stock!I46,"")</f>
        <v>2.22149615285488E-2</v>
      </c>
      <c r="J94">
        <f>IF(RunSize_by_Stock!J46&gt;0,(RunSize_by_Stock!J46-Escapements!J47)/RunSize_by_Stock!J46,"")</f>
        <v>2.0408163265306121E-2</v>
      </c>
      <c r="K94">
        <f>IF(RunSize_by_Stock!K46&gt;0,(RunSize_by_Stock!K46-Escapements!K47)/RunSize_by_Stock!K46,"")</f>
        <v>1.7094017094017096E-2</v>
      </c>
      <c r="L94">
        <f>IF(RunSize_by_Stock!L46&gt;0,(RunSize_by_Stock!L46-Escapements!L47)/RunSize_by_Stock!L46,"")</f>
        <v>2.0491803278688523E-2</v>
      </c>
      <c r="M94">
        <f>IF(RunSize_by_Stock!M46&gt;0,(RunSize_by_Stock!M46-Escapements!M47)/RunSize_by_Stock!M46,"")</f>
        <v>2.0499414045017841E-2</v>
      </c>
      <c r="N94">
        <f>IF(RunSize_by_Stock!N46&gt;0,(RunSize_by_Stock!N46-Escapements!N47)/RunSize_by_Stock!N46,"")</f>
        <v>2.1213906894519741E-2</v>
      </c>
      <c r="O94">
        <f>IF(RunSize_by_Stock!O46&gt;0,(RunSize_by_Stock!O46-Escapements!O47)/RunSize_by_Stock!O46,"")</f>
        <v>2.1682393093756455E-2</v>
      </c>
      <c r="P94">
        <f>IF(RunSize_by_Stock!P46&gt;0,(RunSize_by_Stock!P46-Escapements!P47)/RunSize_by_Stock!P46,"")</f>
        <v>2.0823862695083812E-2</v>
      </c>
      <c r="Q94">
        <f>IF(RunSize_by_Stock!Q46&gt;0,(RunSize_by_Stock!Q46-Escapements!Q47)/RunSize_by_Stock!Q46,"")</f>
        <v>2.1689497716894976E-2</v>
      </c>
      <c r="R94">
        <f>IF(RunSize_by_Stock!R46&gt;0,(RunSize_by_Stock!R46-Escapements!R47)/RunSize_by_Stock!R46,"")</f>
        <v>2.2749004762327302E-2</v>
      </c>
      <c r="S94">
        <f>IF(RunSize_by_Stock!S46&gt;0,(RunSize_by_Stock!S46-Escapements!S47)/RunSize_by_Stock!S46,"")</f>
        <v>3.993005556037358E-2</v>
      </c>
      <c r="T94">
        <f>IF(RunSize_by_Stock!T46&gt;0,(RunSize_by_Stock!T46-Escapements!T47)/RunSize_by_Stock!T46,"")</f>
        <v>3.2980556239232094E-2</v>
      </c>
      <c r="U94">
        <f>IF(RunSize_by_Stock!U46&gt;0,(RunSize_by_Stock!U46-Escapements!U47)/RunSize_by_Stock!U46,"")</f>
        <v>0</v>
      </c>
      <c r="V94">
        <f>IF(RunSize_by_Stock!V46&gt;0,(RunSize_by_Stock!V46-Escapements!V47)/RunSize_by_Stock!V46,"")</f>
        <v>3.2258064516129031E-2</v>
      </c>
      <c r="W94">
        <f>IF(RunSize_by_Stock!W46&gt;0,(RunSize_by_Stock!W46-Escapements!W47)/RunSize_by_Stock!W46,"")</f>
        <v>0</v>
      </c>
      <c r="X94">
        <f>IF(RunSize_by_Stock!X46&gt;0,(RunSize_by_Stock!X46-Escapements!X47)/RunSize_by_Stock!X46,"")</f>
        <v>1.8012110263470538E-2</v>
      </c>
      <c r="Y94">
        <f>IF(RunSize_by_Stock!Y46&gt;0,(RunSize_by_Stock!Y46-Escapements!Y47)/RunSize_by_Stock!Y46,"")</f>
        <v>7.2992700729927005E-3</v>
      </c>
      <c r="Z94">
        <f>IF(RunSize_by_Stock!Z46&gt;0,(RunSize_by_Stock!Z46-Escapements!Z47)/RunSize_by_Stock!Z46,"")</f>
        <v>6.6712995135510766E-2</v>
      </c>
      <c r="AA94">
        <f>IF(RunSize_by_Stock!AA46&gt;0,(RunSize_by_Stock!AA46-Escapements!AA47)/RunSize_by_Stock!AA46,"")</f>
        <v>4.4354838709677422E-2</v>
      </c>
      <c r="AB94">
        <f>IF(RunSize_by_Stock!AB46&gt;0,(RunSize_by_Stock!AB46-Escapements!AB47)/RunSize_by_Stock!AB46,"")</f>
        <v>3.5087719298245612E-2</v>
      </c>
      <c r="AC94">
        <f>IF(RunSize_by_Stock!AC46&gt;0,(RunSize_by_Stock!AC46-Escapements!AC47)/RunSize_by_Stock!AC46,"")</f>
        <v>2.7982326951399118E-2</v>
      </c>
      <c r="AD94">
        <f>IF(RunSize_by_Stock!AD46&gt;0,(RunSize_by_Stock!AD46-Escapements!AD47)/RunSize_by_Stock!AD46,"")</f>
        <v>7.246376811594203E-3</v>
      </c>
      <c r="AE94">
        <f>IF(RunSize_by_Stock!AE46&gt;0,(RunSize_by_Stock!AE46-Escapements!AE47)/RunSize_by_Stock!AE46,"")</f>
        <v>2.6795895096921322E-2</v>
      </c>
      <c r="AF94">
        <f>IF(RunSize_by_Stock!AF46&gt;0,(RunSize_by_Stock!AF46-Escapements!AF47)/RunSize_by_Stock!AF46,"")</f>
        <v>3.0237580993520519E-2</v>
      </c>
      <c r="AG94">
        <f>IF(RunSize_by_Stock!AG46&gt;0,(RunSize_by_Stock!AG46-Escapements!AG47)/RunSize_by_Stock!AG46,"")</f>
        <v>2.9771589912645145E-2</v>
      </c>
      <c r="AH94">
        <f>IF(RunSize_by_Stock!AH46&gt;0,(RunSize_by_Stock!AH46-Escapements!AH47)/RunSize_by_Stock!AH46,"")</f>
        <v>4.0816326530612242E-2</v>
      </c>
      <c r="AI94">
        <f>IF(RunSize_by_Stock!AI46&gt;0,(RunSize_by_Stock!AI46-Escapements!AI47)/RunSize_by_Stock!AI46,"")</f>
        <v>5.412329449694047E-2</v>
      </c>
      <c r="AJ94">
        <f>IF(RunSize_by_Stock!AJ46&gt;0,(RunSize_by_Stock!AJ46-Escapements!AJ47)/RunSize_by_Stock!AJ46,"")</f>
        <v>8.6504284569936821E-2</v>
      </c>
      <c r="AK94">
        <f>IF(RunSize_by_Stock!AK46&gt;0,(RunSize_by_Stock!AK46-Escapements!AK47)/RunSize_by_Stock!AK46,"")</f>
        <v>4.3478260869565216E-2</v>
      </c>
      <c r="AL94">
        <f>IF(RunSize_by_Stock!AL46&gt;0,(RunSize_by_Stock!AL46-Escapements!AL47)/RunSize_by_Stock!AL46,"")</f>
        <v>4.0807466898198391E-2</v>
      </c>
      <c r="AM94">
        <f>IF(RunSize_by_Stock!AM46&gt;0,(RunSize_by_Stock!AM46-Escapements!AM47)/RunSize_by_Stock!AM46,"")</f>
        <v>0.04</v>
      </c>
      <c r="AN94">
        <f>IF(RunSize_by_Stock!AN46&gt;0,(RunSize_by_Stock!AN46-Escapements!AN47)/RunSize_by_Stock!AN46,"")</f>
        <v>2.3529411764705882E-2</v>
      </c>
      <c r="AO94">
        <f>IF(RunSize_by_Stock!AO46&gt;0,(RunSize_by_Stock!AO46-Escapements!AO47)/RunSize_by_Stock!AO46,"")</f>
        <v>2.4390243902439025E-2</v>
      </c>
      <c r="AP94">
        <f>IF(RunSize_by_Stock!AP46&gt;0,(RunSize_by_Stock!AP46-Escapements!AP47)/RunSize_by_Stock!AP46,"")</f>
        <v>7.8125E-3</v>
      </c>
      <c r="AQ94">
        <f>IF(RunSize_by_Stock!AQ46&gt;0,(RunSize_by_Stock!AQ46-Escapements!AQ47)/RunSize_by_Stock!AQ46,"")</f>
        <v>3.7260401075068693E-2</v>
      </c>
      <c r="AR94">
        <f>IF(RunSize_by_Stock!AR46&gt;0,(RunSize_by_Stock!AR46-Escapements!AR47)/RunSize_by_Stock!AR46,"")</f>
        <v>7.4639830799445139E-2</v>
      </c>
      <c r="AS94">
        <f>IF(RunSize_by_Stock!AS46&gt;0,(RunSize_by_Stock!AS46-Escapements!AS47)/RunSize_by_Stock!AS46,"")</f>
        <v>2.3370553103090108E-2</v>
      </c>
      <c r="AT94">
        <f>IF(RunSize_by_Stock!AT46&gt;0,(RunSize_by_Stock!AT46-Escapements!AT47)/RunSize_by_Stock!AT46,"")</f>
        <v>6.3734998560862982E-2</v>
      </c>
      <c r="AU94">
        <f>IF(RunSize_by_Stock!AU46&gt;0,(RunSize_by_Stock!AU46-Escapements!AU47)/RunSize_by_Stock!AU46,"")</f>
        <v>3.0991735537190084E-2</v>
      </c>
      <c r="AV94">
        <f>IF(RunSize_by_Stock!AV46&gt;0,(RunSize_by_Stock!AV46-Escapements!AV47)/RunSize_by_Stock!AV46,"")</f>
        <v>1.6891891891891893E-2</v>
      </c>
      <c r="AW94">
        <f>IF(RunSize_by_Stock!AW46&gt;0,(RunSize_by_Stock!AW46-Escapements!AW47)/RunSize_by_Stock!AW46,"")</f>
        <v>6.4224960944280512E-2</v>
      </c>
      <c r="AX94">
        <f>IF(RunSize_by_Stock!AX46&gt;0,(RunSize_by_Stock!AX46-Escapements!AX47)/RunSize_by_Stock!AX46,"")</f>
        <v>4.9167044791599147E-2</v>
      </c>
      <c r="AY94">
        <f>IF(RunSize_by_Stock!AY46&gt;0,(RunSize_by_Stock!AY46-Escapements!AY47)/RunSize_by_Stock!AY46,"")</f>
        <v>6.6268329275476712E-2</v>
      </c>
      <c r="AZ94">
        <f>IF(RunSize_by_Stock!AZ46&gt;0,(RunSize_by_Stock!AZ46-Escapements!AZ47)/RunSize_by_Stock!AZ46,"")</f>
        <v>1.7271038326567123E-2</v>
      </c>
      <c r="BA94">
        <f>IF(RunSize_by_Stock!BA46&gt;0,(RunSize_by_Stock!BA46-Escapements!BA47)/RunSize_by_Stock!BA46,"")</f>
        <v>1.7356475300400534E-2</v>
      </c>
      <c r="BB94">
        <f>IF(RunSize_by_Stock!BB46&gt;0,(RunSize_by_Stock!BB46-Escapements!BB47)/RunSize_by_Stock!BB46,"")</f>
        <v>3.7459634015069965E-2</v>
      </c>
      <c r="BC94">
        <f>IF(RunSize_by_Stock!BC46&gt;0,(RunSize_by_Stock!BC46-Escapements!BC47)/RunSize_by_Stock!BC46,"")</f>
        <v>8.7847730600292828E-3</v>
      </c>
      <c r="BD94">
        <f>IF(RunSize_by_Stock!BD46&gt;0,(RunSize_by_Stock!BD46-Escapements!BD47)/RunSize_by_Stock!BD46,"")</f>
        <v>8.8832487309644676E-3</v>
      </c>
      <c r="BE94">
        <f>IF(RunSize_by_Stock!BE46&gt;0,(RunSize_by_Stock!BE46-Escapements!BE47)/RunSize_by_Stock!BE46,"")</f>
        <v>2.1894736842105262E-2</v>
      </c>
      <c r="BF94">
        <f>IF(RunSize_by_Stock!BF46&gt;0,(RunSize_by_Stock!BF46-Escapements!BF47)/RunSize_by_Stock!BF46,"")</f>
        <v>1.8181818181818181E-2</v>
      </c>
      <c r="BG94">
        <f>IF(RunSize_by_Stock!BG46&gt;0,(RunSize_by_Stock!BG46-Escapements!BG47)/RunSize_by_Stock!BG46,"")</f>
        <v>3.6585365853658534E-2</v>
      </c>
      <c r="BH94">
        <f>IF(RunSize_by_Stock!BH46&gt;0,(RunSize_by_Stock!BH46-Escapements!BH47)/RunSize_by_Stock!BH46,"")</f>
        <v>0.19230769230769232</v>
      </c>
      <c r="BI94">
        <f>IF(RunSize_by_Stock!BI46&gt;0,(RunSize_by_Stock!BI46-Escapements!BI47)/RunSize_by_Stock!BI46,"")</f>
        <v>1.1627669774178413E-3</v>
      </c>
      <c r="BJ94">
        <f>IF(RunSize_by_Stock!BJ46&gt;0,(RunSize_by_Stock!BJ46-Escapements!BJ47)/RunSize_by_Stock!BJ46,"")</f>
        <v>0.19065577537098807</v>
      </c>
      <c r="BK94">
        <f>IF(RunSize_by_Stock!BK46&gt;0,(RunSize_by_Stock!BK46-Escapements!BK47)/RunSize_by_Stock!BK46,"")</f>
        <v>1.4285714285714285E-2</v>
      </c>
      <c r="BL94">
        <f>IF(RunSize_by_Stock!BL46&gt;0,(RunSize_by_Stock!BL46-Escapements!BL47)/RunSize_by_Stock!BL46,"")</f>
        <v>3.5629453681710214E-2</v>
      </c>
      <c r="BM94">
        <f>IF(RunSize_by_Stock!BM46&gt;0,(RunSize_by_Stock!BM46-Escapements!BM47)/RunSize_by_Stock!BM46,"")</f>
        <v>3.3333333333333333E-2</v>
      </c>
      <c r="BN94">
        <f>IF(RunSize_by_Stock!BN46&gt;0,(RunSize_by_Stock!BN46-Escapements!BN47)/RunSize_by_Stock!BN46,"")</f>
        <v>0</v>
      </c>
      <c r="BO94">
        <f>IF(RunSize_by_Stock!BO46&gt;0,(RunSize_by_Stock!BO46-Escapements!BO47)/RunSize_by_Stock!BO46,"")</f>
        <v>1.8749999999999999E-2</v>
      </c>
      <c r="BP94">
        <f>IF(RunSize_by_Stock!BP46&gt;0,(RunSize_by_Stock!BP46-Escapements!BP47)/RunSize_by_Stock!BP46,"")</f>
        <v>0</v>
      </c>
      <c r="BQ94">
        <f>IF(RunSize_by_Stock!BQ46&gt;0,(RunSize_by_Stock!BQ46-Escapements!BQ47)/RunSize_by_Stock!BQ46,"")</f>
        <v>0</v>
      </c>
      <c r="BR94">
        <f>IF(RunSize_by_Stock!BR46&gt;0,(RunSize_by_Stock!BR46-Escapements!BR47)/RunSize_by_Stock!BR46,"")</f>
        <v>0</v>
      </c>
      <c r="BS94">
        <f>IF(RunSize_by_Stock!BS46&gt;0,(RunSize_by_Stock!BS46-Escapements!BS47)/RunSize_by_Stock!BS46,"")</f>
        <v>2.3809523809523808E-2</v>
      </c>
      <c r="BT94">
        <f>IF(RunSize_by_Stock!BT46&gt;0,(RunSize_by_Stock!BT46-Escapements!BT47)/RunSize_by_Stock!BT46,"")</f>
        <v>0.14418087472201629</v>
      </c>
      <c r="BU94">
        <f>IF(RunSize_by_Stock!BU46&gt;0,(RunSize_by_Stock!BU46-Escapements!BU47)/RunSize_by_Stock!BU46,"")</f>
        <v>0</v>
      </c>
      <c r="BV94" t="str">
        <f>IF(RunSize_by_Stock!BV46&gt;0,(RunSize_by_Stock!BV46-Escapements!BV47)/RunSize_by_Stock!BV46,"")</f>
        <v/>
      </c>
      <c r="BW94">
        <f>IF(RunSize_by_Stock!BW46&gt;0,(RunSize_by_Stock!BW46-Escapements!BW47)/RunSize_by_Stock!BW46,"")</f>
        <v>0.1204689375538214</v>
      </c>
      <c r="BX94">
        <f>IF(RunSize_by_Stock!BX46&gt;0,(RunSize_by_Stock!BX46-Escapements!BX47)/RunSize_by_Stock!BX46,"")</f>
        <v>5.2631578947368418E-2</v>
      </c>
      <c r="BY94">
        <f>IF(RunSize_by_Stock!BY46&gt;0,(RunSize_by_Stock!BY46-Escapements!BY47)/RunSize_by_Stock!BY46,"")</f>
        <v>1.3157894736842105E-2</v>
      </c>
      <c r="BZ94">
        <f>IF(RunSize_by_Stock!BZ46&gt;0,(RunSize_by_Stock!BZ46-Escapements!BZ47)/RunSize_by_Stock!BZ46,"")</f>
        <v>0</v>
      </c>
      <c r="CA94">
        <f>IF(RunSize_by_Stock!CA46&gt;0,(RunSize_by_Stock!CA46-Escapements!CA47)/RunSize_by_Stock!CA46,"")</f>
        <v>4.1901576625225423E-2</v>
      </c>
      <c r="CB94">
        <f>IF(RunSize_by_Stock!CB46&gt;0,(RunSize_by_Stock!CB46-Escapements!CB47)/RunSize_by_Stock!CB46,"")</f>
        <v>1.8867924528301886E-2</v>
      </c>
      <c r="CC94" t="str">
        <f>IF(RunSize_by_Stock!CC46&gt;0,(RunSize_by_Stock!CC46-Escapements!CC47)/RunSize_by_Stock!CC46,"")</f>
        <v/>
      </c>
      <c r="CD94" t="str">
        <f>IF(RunSize_by_Stock!CD46&gt;0,(RunSize_by_Stock!CD46-Escapements!CD47)/RunSize_by_Stock!CD46,"")</f>
        <v/>
      </c>
      <c r="CE94">
        <f>IF(RunSize_by_Stock!CE46&gt;0,(RunSize_by_Stock!CE46-Escapements!CE47)/RunSize_by_Stock!CE46,"")</f>
        <v>2.564102564102564E-2</v>
      </c>
      <c r="CF94">
        <f>IF(RunSize_by_Stock!CF46&gt;0,(RunSize_by_Stock!CF46-Escapements!CF47)/RunSize_by_Stock!CF46,"")</f>
        <v>4.096002951129947E-2</v>
      </c>
      <c r="CG94">
        <f>IF(RunSize_by_Stock!CG46&gt;0,(RunSize_by_Stock!CG46-Escapements!CG47)/RunSize_by_Stock!CG46,"")</f>
        <v>0.19759450171821305</v>
      </c>
      <c r="CH94">
        <f t="shared" si="3"/>
        <v>3.4856555166606698E-2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0EF62-7BDD-49EA-A0BE-2428917970A6}">
  <dimension ref="A1:N46"/>
  <sheetViews>
    <sheetView workbookViewId="0">
      <selection activeCell="G1" sqref="G1"/>
    </sheetView>
  </sheetViews>
  <sheetFormatPr defaultRowHeight="14.4" x14ac:dyDescent="0.55000000000000004"/>
  <cols>
    <col min="1" max="1" width="4.68359375" bestFit="1" customWidth="1"/>
    <col min="2" max="2" width="9.3125" bestFit="1" customWidth="1"/>
    <col min="3" max="3" width="11.1015625" bestFit="1" customWidth="1"/>
    <col min="4" max="4" width="9.3125" bestFit="1" customWidth="1"/>
    <col min="5" max="5" width="11.1015625" bestFit="1" customWidth="1"/>
    <col min="6" max="7" width="6.5234375" bestFit="1" customWidth="1"/>
  </cols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93</v>
      </c>
      <c r="I1" t="s">
        <v>0</v>
      </c>
      <c r="J1" t="str">
        <f>B1</f>
        <v>Spring 5.2</v>
      </c>
      <c r="K1" t="str">
        <f t="shared" ref="K1:N1" si="0">C1</f>
        <v>Summer 5.2</v>
      </c>
      <c r="L1" t="str">
        <f t="shared" si="0"/>
        <v>Spring 4.2</v>
      </c>
      <c r="M1" t="str">
        <f t="shared" si="0"/>
        <v>Summer 4.1</v>
      </c>
      <c r="N1" t="str">
        <f t="shared" si="0"/>
        <v xml:space="preserve">      Fall</v>
      </c>
    </row>
    <row r="2" spans="1:14" x14ac:dyDescent="0.55000000000000004">
      <c r="A2">
        <v>1979</v>
      </c>
      <c r="B2">
        <v>40513</v>
      </c>
      <c r="C2">
        <v>23684</v>
      </c>
      <c r="D2">
        <v>12925</v>
      </c>
      <c r="E2">
        <v>51466</v>
      </c>
      <c r="F2">
        <v>82013</v>
      </c>
      <c r="G2">
        <v>210601</v>
      </c>
      <c r="I2">
        <f>A2</f>
        <v>1979</v>
      </c>
      <c r="J2">
        <f>(B2-Escapements!CI3)/B2</f>
        <v>0.55263580315790173</v>
      </c>
      <c r="K2">
        <f>(C2-Escapements!CJ3)/C2</f>
        <v>0.47730428770029859</v>
      </c>
      <c r="L2">
        <f>(D2-Escapements!CK3)/D2</f>
        <v>0.72878076266128056</v>
      </c>
      <c r="M2">
        <f>(E2-Escapements!CL3)/E2</f>
        <v>0.45718496678970355</v>
      </c>
      <c r="N2">
        <f>(F2-Escapements!CM3)/F2</f>
        <v>4.4898612467468603E-2</v>
      </c>
    </row>
    <row r="3" spans="1:14" x14ac:dyDescent="0.55000000000000004">
      <c r="A3">
        <v>1980</v>
      </c>
      <c r="B3">
        <v>25760</v>
      </c>
      <c r="C3">
        <v>22969</v>
      </c>
      <c r="D3">
        <v>11558</v>
      </c>
      <c r="E3">
        <v>31964</v>
      </c>
      <c r="F3">
        <v>70364</v>
      </c>
      <c r="G3">
        <v>162615</v>
      </c>
      <c r="I3">
        <f t="shared" ref="I3:I46" si="1">A3</f>
        <v>1980</v>
      </c>
      <c r="J3">
        <f>(B3-Escapements!CI4)/B3</f>
        <v>0.2424494547778682</v>
      </c>
      <c r="K3">
        <f>(C3-Escapements!CJ4)/C3</f>
        <v>0.2841579893221633</v>
      </c>
      <c r="L3">
        <f>(D3-Escapements!CK4)/D3</f>
        <v>0.34863223372530294</v>
      </c>
      <c r="M3">
        <f>(E3-Escapements!CL4)/E3</f>
        <v>0.640059610612151</v>
      </c>
      <c r="N3">
        <f>(F3-Escapements!CM4)/F3</f>
        <v>0.25761449969056699</v>
      </c>
    </row>
    <row r="4" spans="1:14" x14ac:dyDescent="0.55000000000000004">
      <c r="A4">
        <v>1981</v>
      </c>
      <c r="B4">
        <v>22186</v>
      </c>
      <c r="C4">
        <v>23603</v>
      </c>
      <c r="D4">
        <v>7275</v>
      </c>
      <c r="E4">
        <v>27889</v>
      </c>
      <c r="F4">
        <v>109589</v>
      </c>
      <c r="G4">
        <v>190542</v>
      </c>
      <c r="I4">
        <f t="shared" si="1"/>
        <v>1981</v>
      </c>
      <c r="J4">
        <f>(B4-Escapements!CI5)/B4</f>
        <v>0.35929804146870747</v>
      </c>
      <c r="K4">
        <f>(C4-Escapements!CJ5)/C4</f>
        <v>0.33479502179269105</v>
      </c>
      <c r="L4">
        <f>(D4-Escapements!CK5)/D4</f>
        <v>0.4814011114663424</v>
      </c>
      <c r="M4">
        <f>(E4-Escapements!CL5)/E4</f>
        <v>0.35521161142071989</v>
      </c>
      <c r="N4">
        <f>(F4-Escapements!CM5)/F4</f>
        <v>4.7128390188447958E-2</v>
      </c>
    </row>
    <row r="5" spans="1:14" x14ac:dyDescent="0.55000000000000004">
      <c r="A5">
        <v>1982</v>
      </c>
      <c r="B5">
        <v>27610</v>
      </c>
      <c r="C5">
        <v>35481</v>
      </c>
      <c r="D5">
        <v>10834</v>
      </c>
      <c r="E5">
        <v>19772</v>
      </c>
      <c r="F5">
        <v>131223</v>
      </c>
      <c r="G5">
        <v>224920</v>
      </c>
      <c r="I5">
        <f t="shared" si="1"/>
        <v>1982</v>
      </c>
      <c r="J5">
        <f>(B5-Escapements!CI6)/B5</f>
        <v>0.36072100649562167</v>
      </c>
      <c r="K5">
        <f>(C5-Escapements!CJ6)/C5</f>
        <v>0.50059730096644572</v>
      </c>
      <c r="L5">
        <f>(D5-Escapements!CK6)/D5</f>
        <v>0.38612684802283648</v>
      </c>
      <c r="M5">
        <f>(E5-Escapements!CL6)/E5</f>
        <v>0.56148937237876473</v>
      </c>
      <c r="N5">
        <f>(F5-Escapements!CM6)/F5</f>
        <v>0.12463763875844749</v>
      </c>
    </row>
    <row r="6" spans="1:14" x14ac:dyDescent="0.55000000000000004">
      <c r="A6">
        <v>1983</v>
      </c>
      <c r="B6">
        <v>37943</v>
      </c>
      <c r="C6">
        <v>26250</v>
      </c>
      <c r="D6">
        <v>5130</v>
      </c>
      <c r="E6">
        <v>20319</v>
      </c>
      <c r="F6">
        <v>45600</v>
      </c>
      <c r="G6">
        <v>135242</v>
      </c>
      <c r="I6">
        <f t="shared" si="1"/>
        <v>1983</v>
      </c>
      <c r="J6">
        <f>(B6-Escapements!CI7)/B6</f>
        <v>0.23029578409953766</v>
      </c>
      <c r="K6">
        <f>(C6-Escapements!CJ7)/C6</f>
        <v>0.25015697685683302</v>
      </c>
      <c r="L6">
        <f>(D6-Escapements!CK7)/D6</f>
        <v>0.35990219716947569</v>
      </c>
      <c r="M6">
        <f>(E6-Escapements!CL7)/E6</f>
        <v>0.4911418823075685</v>
      </c>
      <c r="N6">
        <f>(F6-Escapements!CM7)/F6</f>
        <v>0.3111276363567041</v>
      </c>
    </row>
    <row r="7" spans="1:14" x14ac:dyDescent="0.55000000000000004">
      <c r="A7">
        <v>1984</v>
      </c>
      <c r="B7">
        <v>44540</v>
      </c>
      <c r="C7">
        <v>27649</v>
      </c>
      <c r="D7">
        <v>9830</v>
      </c>
      <c r="E7">
        <v>36670</v>
      </c>
      <c r="F7">
        <v>134324</v>
      </c>
      <c r="G7">
        <v>253013</v>
      </c>
      <c r="I7">
        <f t="shared" si="1"/>
        <v>1984</v>
      </c>
      <c r="J7">
        <f>(B7-Escapements!CI8)/B7</f>
        <v>0.18336383328577638</v>
      </c>
      <c r="K7">
        <f>(C7-Escapements!CJ8)/C7</f>
        <v>0.39310741744860156</v>
      </c>
      <c r="L7">
        <f>(D7-Escapements!CK8)/D7</f>
        <v>0.16439295165758935</v>
      </c>
      <c r="M7">
        <f>(E7-Escapements!CL8)/E7</f>
        <v>0.52732516590493528</v>
      </c>
      <c r="N7">
        <f>(F7-Escapements!CM8)/F7</f>
        <v>8.0569232723151155E-2</v>
      </c>
    </row>
    <row r="8" spans="1:14" x14ac:dyDescent="0.55000000000000004">
      <c r="A8">
        <v>1985</v>
      </c>
      <c r="B8">
        <v>60407</v>
      </c>
      <c r="C8">
        <v>34803</v>
      </c>
      <c r="D8">
        <v>14233</v>
      </c>
      <c r="E8">
        <v>35634</v>
      </c>
      <c r="F8">
        <v>182439</v>
      </c>
      <c r="G8">
        <v>327516</v>
      </c>
      <c r="I8">
        <f t="shared" si="1"/>
        <v>1985</v>
      </c>
      <c r="J8">
        <f>(B8-Escapements!CI9)/B8</f>
        <v>0.13533330287762199</v>
      </c>
      <c r="K8">
        <f>(C8-Escapements!CJ9)/C8</f>
        <v>0.34948325252513329</v>
      </c>
      <c r="L8">
        <f>(D8-Escapements!CK9)/D8</f>
        <v>0.15168730623116747</v>
      </c>
      <c r="M8">
        <f>(E8-Escapements!CL9)/E8</f>
        <v>0.36624198215874748</v>
      </c>
      <c r="N8">
        <f>(F8-Escapements!CM9)/F8</f>
        <v>2.6823727579407455E-2</v>
      </c>
    </row>
    <row r="9" spans="1:14" x14ac:dyDescent="0.55000000000000004">
      <c r="A9">
        <v>1986</v>
      </c>
      <c r="B9">
        <v>67253</v>
      </c>
      <c r="C9">
        <v>48702</v>
      </c>
      <c r="D9">
        <v>16209</v>
      </c>
      <c r="E9">
        <v>47460</v>
      </c>
      <c r="F9">
        <v>185832</v>
      </c>
      <c r="G9">
        <v>365456</v>
      </c>
      <c r="I9">
        <f t="shared" si="1"/>
        <v>1986</v>
      </c>
      <c r="J9">
        <f>(B9-Escapements!CI10)/B9</f>
        <v>9.7163862379310212E-2</v>
      </c>
      <c r="K9">
        <f>(C9-Escapements!CJ10)/C9</f>
        <v>0.20833869956392484</v>
      </c>
      <c r="L9">
        <f>(D9-Escapements!CK10)/D9</f>
        <v>0.15058672614142987</v>
      </c>
      <c r="M9">
        <f>(E9-Escapements!CL10)/E9</f>
        <v>0.24927772588512764</v>
      </c>
      <c r="N9">
        <f>(F9-Escapements!CM10)/F9</f>
        <v>9.3807695431421048E-2</v>
      </c>
    </row>
    <row r="10" spans="1:14" x14ac:dyDescent="0.55000000000000004">
      <c r="A10">
        <v>1987</v>
      </c>
      <c r="B10">
        <v>71132</v>
      </c>
      <c r="C10">
        <v>40388</v>
      </c>
      <c r="D10">
        <v>9127</v>
      </c>
      <c r="E10">
        <v>42612</v>
      </c>
      <c r="F10">
        <v>100853</v>
      </c>
      <c r="G10">
        <v>264112</v>
      </c>
      <c r="I10">
        <f t="shared" si="1"/>
        <v>1987</v>
      </c>
      <c r="J10">
        <f>(B10-Escapements!CI11)/B10</f>
        <v>0.12867366156672499</v>
      </c>
      <c r="K10">
        <f>(C10-Escapements!CJ11)/C10</f>
        <v>0.16603544601861947</v>
      </c>
      <c r="L10">
        <f>(D10-Escapements!CK11)/D10</f>
        <v>0.22285526459953983</v>
      </c>
      <c r="M10">
        <f>(E10-Escapements!CL11)/E10</f>
        <v>0.20757347204686885</v>
      </c>
      <c r="N10">
        <f>(F10-Escapements!CM11)/F10</f>
        <v>3.2505739043400615E-2</v>
      </c>
    </row>
    <row r="11" spans="1:14" x14ac:dyDescent="0.55000000000000004">
      <c r="A11">
        <v>1988</v>
      </c>
      <c r="B11">
        <v>61324</v>
      </c>
      <c r="C11">
        <v>42882</v>
      </c>
      <c r="D11">
        <v>8046</v>
      </c>
      <c r="E11">
        <v>55217</v>
      </c>
      <c r="F11">
        <v>55026</v>
      </c>
      <c r="G11">
        <v>222495</v>
      </c>
      <c r="I11">
        <f t="shared" si="1"/>
        <v>1988</v>
      </c>
      <c r="J11">
        <f>(B11-Escapements!CI12)/B11</f>
        <v>0.11838540306730418</v>
      </c>
      <c r="K11">
        <f>(C11-Escapements!CJ12)/C11</f>
        <v>0.12364226585181813</v>
      </c>
      <c r="L11">
        <f>(D11-Escapements!CK12)/D11</f>
        <v>0.19208194847092364</v>
      </c>
      <c r="M11">
        <f>(E11-Escapements!CL12)/E11</f>
        <v>0.16522121018457367</v>
      </c>
      <c r="N11">
        <f>(F11-Escapements!CM12)/F11</f>
        <v>8.1449759290305915E-2</v>
      </c>
    </row>
    <row r="12" spans="1:14" x14ac:dyDescent="0.55000000000000004">
      <c r="A12">
        <v>1989</v>
      </c>
      <c r="B12">
        <v>48140</v>
      </c>
      <c r="C12">
        <v>26283</v>
      </c>
      <c r="D12">
        <v>11797</v>
      </c>
      <c r="E12">
        <v>47859</v>
      </c>
      <c r="F12">
        <v>81146</v>
      </c>
      <c r="G12">
        <v>215225</v>
      </c>
      <c r="I12">
        <f t="shared" si="1"/>
        <v>1989</v>
      </c>
      <c r="J12">
        <f>(B12-Escapements!CI13)/B12</f>
        <v>0.21166121986546971</v>
      </c>
      <c r="K12">
        <f>(C12-Escapements!CJ13)/C12</f>
        <v>0.24136390810625422</v>
      </c>
      <c r="L12">
        <f>(D12-Escapements!CK13)/D12</f>
        <v>0.22655481547078019</v>
      </c>
      <c r="M12">
        <f>(E12-Escapements!CL13)/E12</f>
        <v>0.23539697758090961</v>
      </c>
      <c r="N12">
        <f>(F12-Escapements!CM13)/F12</f>
        <v>1.7799480911194657E-2</v>
      </c>
    </row>
    <row r="13" spans="1:14" x14ac:dyDescent="0.55000000000000004">
      <c r="A13">
        <v>1990</v>
      </c>
      <c r="B13">
        <v>59201</v>
      </c>
      <c r="C13">
        <v>49587</v>
      </c>
      <c r="D13">
        <v>6960</v>
      </c>
      <c r="E13">
        <v>53468</v>
      </c>
      <c r="F13">
        <v>183806</v>
      </c>
      <c r="G13">
        <v>353022</v>
      </c>
      <c r="I13">
        <f t="shared" si="1"/>
        <v>1990</v>
      </c>
      <c r="J13">
        <f>(B13-Escapements!CI14)/B13</f>
        <v>0.13586164332727882</v>
      </c>
      <c r="K13">
        <f>(C13-Escapements!CJ14)/C13</f>
        <v>0.22216927667594277</v>
      </c>
      <c r="L13">
        <f>(D13-Escapements!CK14)/D13</f>
        <v>0.22743756172244334</v>
      </c>
      <c r="M13">
        <f>(E13-Escapements!CL14)/E13</f>
        <v>0.25408939406526754</v>
      </c>
      <c r="N13">
        <f>(F13-Escapements!CM14)/F13</f>
        <v>1.3651617490017066E-2</v>
      </c>
    </row>
    <row r="14" spans="1:14" x14ac:dyDescent="0.55000000000000004">
      <c r="A14">
        <v>1991</v>
      </c>
      <c r="B14">
        <v>45669</v>
      </c>
      <c r="C14">
        <v>41332</v>
      </c>
      <c r="D14">
        <v>11130</v>
      </c>
      <c r="E14">
        <v>46477</v>
      </c>
      <c r="F14">
        <v>105469</v>
      </c>
      <c r="G14">
        <v>250077</v>
      </c>
      <c r="I14">
        <f t="shared" si="1"/>
        <v>1991</v>
      </c>
      <c r="J14">
        <f>(B14-Escapements!CI15)/B14</f>
        <v>0.2387100313462413</v>
      </c>
      <c r="K14">
        <f>(C14-Escapements!CJ15)/C14</f>
        <v>0.20479755338081787</v>
      </c>
      <c r="L14">
        <f>(D14-Escapements!CK15)/D14</f>
        <v>0.33561265827757281</v>
      </c>
      <c r="M14">
        <f>(E14-Escapements!CL15)/E14</f>
        <v>0.17848164698258909</v>
      </c>
      <c r="N14">
        <f>(F14-Escapements!CM15)/F14</f>
        <v>3.4836556367445433E-2</v>
      </c>
    </row>
    <row r="15" spans="1:14" x14ac:dyDescent="0.55000000000000004">
      <c r="A15">
        <v>1992</v>
      </c>
      <c r="B15">
        <v>50235</v>
      </c>
      <c r="C15">
        <v>48725</v>
      </c>
      <c r="D15">
        <v>13533</v>
      </c>
      <c r="E15">
        <v>53394</v>
      </c>
      <c r="F15">
        <v>176223</v>
      </c>
      <c r="G15">
        <v>342110</v>
      </c>
      <c r="I15">
        <f t="shared" si="1"/>
        <v>1992</v>
      </c>
      <c r="J15">
        <f>(B15-Escapements!CI16)/B15</f>
        <v>0.15429791310851204</v>
      </c>
      <c r="K15">
        <f>(C15-Escapements!CJ16)/C15</f>
        <v>9.6667940895735507E-2</v>
      </c>
      <c r="L15">
        <f>(D15-Escapements!CK16)/D15</f>
        <v>0.26700555470592491</v>
      </c>
      <c r="M15">
        <f>(E15-Escapements!CL16)/E15</f>
        <v>8.2116622070067938E-2</v>
      </c>
      <c r="N15">
        <f>(F15-Escapements!CM16)/F15</f>
        <v>2.865420579221668E-2</v>
      </c>
    </row>
    <row r="16" spans="1:14" x14ac:dyDescent="0.55000000000000004">
      <c r="A16">
        <v>1993</v>
      </c>
      <c r="B16">
        <v>56352</v>
      </c>
      <c r="C16">
        <v>31321</v>
      </c>
      <c r="D16">
        <v>19752</v>
      </c>
      <c r="E16">
        <v>31103</v>
      </c>
      <c r="F16">
        <v>144571</v>
      </c>
      <c r="G16">
        <v>283099</v>
      </c>
      <c r="I16">
        <f t="shared" si="1"/>
        <v>1993</v>
      </c>
      <c r="J16">
        <f>(B16-Escapements!CI17)/B16</f>
        <v>0.22348846874363709</v>
      </c>
      <c r="K16">
        <f>(C16-Escapements!CJ17)/C16</f>
        <v>0.21870310071873725</v>
      </c>
      <c r="L16">
        <f>(D16-Escapements!CK17)/D16</f>
        <v>0.31382186414016378</v>
      </c>
      <c r="M16">
        <f>(E16-Escapements!CL17)/E16</f>
        <v>0.2462505064730893</v>
      </c>
      <c r="N16">
        <f>(F16-Escapements!CM17)/F16</f>
        <v>2.3497420628335382E-2</v>
      </c>
    </row>
    <row r="17" spans="1:14" x14ac:dyDescent="0.55000000000000004">
      <c r="A17">
        <v>1994</v>
      </c>
      <c r="B17">
        <v>77993</v>
      </c>
      <c r="C17">
        <v>33178</v>
      </c>
      <c r="D17">
        <v>23569</v>
      </c>
      <c r="E17">
        <v>54923</v>
      </c>
      <c r="F17">
        <v>110977</v>
      </c>
      <c r="G17">
        <v>300640</v>
      </c>
      <c r="I17">
        <f t="shared" si="1"/>
        <v>1994</v>
      </c>
      <c r="J17">
        <f>(B17-Escapements!CI18)/B17</f>
        <v>0.15615022309605459</v>
      </c>
      <c r="K17">
        <f>(C17-Escapements!CJ18)/C17</f>
        <v>0.18881801474695872</v>
      </c>
      <c r="L17">
        <f>(D17-Escapements!CK18)/D17</f>
        <v>0.26823223003047253</v>
      </c>
      <c r="M17">
        <f>(E17-Escapements!CL18)/E17</f>
        <v>0.2188863337044632</v>
      </c>
      <c r="N17">
        <f>(F17-Escapements!CM18)/F17</f>
        <v>2.4283653912687796E-2</v>
      </c>
    </row>
    <row r="18" spans="1:14" x14ac:dyDescent="0.55000000000000004">
      <c r="A18">
        <v>1995</v>
      </c>
      <c r="B18">
        <v>61232</v>
      </c>
      <c r="C18">
        <v>41796</v>
      </c>
      <c r="D18">
        <v>25560</v>
      </c>
      <c r="E18">
        <v>44640</v>
      </c>
      <c r="F18">
        <v>62305</v>
      </c>
      <c r="G18">
        <v>235533</v>
      </c>
      <c r="I18">
        <f t="shared" si="1"/>
        <v>1995</v>
      </c>
      <c r="J18">
        <f>(B18-Escapements!CI19)/B18</f>
        <v>0.14543944810655554</v>
      </c>
      <c r="K18">
        <f>(C18-Escapements!CJ19)/C18</f>
        <v>0.1796491123025514</v>
      </c>
      <c r="L18">
        <f>(D18-Escapements!CK19)/D18</f>
        <v>0.25745823999416689</v>
      </c>
      <c r="M18">
        <f>(E18-Escapements!CL19)/E18</f>
        <v>0.28271931736636208</v>
      </c>
      <c r="N18">
        <f>(F18-Escapements!CM19)/F18</f>
        <v>2.2900541275095231E-2</v>
      </c>
    </row>
    <row r="19" spans="1:14" x14ac:dyDescent="0.55000000000000004">
      <c r="A19">
        <v>1996</v>
      </c>
      <c r="B19">
        <v>48914</v>
      </c>
      <c r="C19">
        <v>57828</v>
      </c>
      <c r="D19">
        <v>36487</v>
      </c>
      <c r="E19">
        <v>91071</v>
      </c>
      <c r="F19">
        <v>64799</v>
      </c>
      <c r="G19">
        <v>299099</v>
      </c>
      <c r="I19">
        <f t="shared" si="1"/>
        <v>1996</v>
      </c>
      <c r="J19">
        <f>(B19-Escapements!CI20)/B19</f>
        <v>0.15908269580903969</v>
      </c>
      <c r="K19">
        <f>(C19-Escapements!CJ20)/C19</f>
        <v>0.13655683918242778</v>
      </c>
      <c r="L19">
        <f>(D19-Escapements!CK20)/D19</f>
        <v>0.23559075835228985</v>
      </c>
      <c r="M19">
        <f>(E19-Escapements!CL20)/E19</f>
        <v>0.15497899453172828</v>
      </c>
      <c r="N19">
        <f>(F19-Escapements!CM20)/F19</f>
        <v>2.5675226856936944E-2</v>
      </c>
    </row>
    <row r="20" spans="1:14" x14ac:dyDescent="0.55000000000000004">
      <c r="A20">
        <v>1997</v>
      </c>
      <c r="B20">
        <v>50361</v>
      </c>
      <c r="C20">
        <v>60589</v>
      </c>
      <c r="D20">
        <v>32068</v>
      </c>
      <c r="E20">
        <v>96686</v>
      </c>
      <c r="F20">
        <v>159181</v>
      </c>
      <c r="G20">
        <v>398885</v>
      </c>
      <c r="I20">
        <f t="shared" si="1"/>
        <v>1997</v>
      </c>
      <c r="J20">
        <f>(B20-Escapements!CI21)/B20</f>
        <v>0.1783245817662775</v>
      </c>
      <c r="K20">
        <f>(C20-Escapements!CJ21)/C20</f>
        <v>0.19546040956214983</v>
      </c>
      <c r="L20">
        <f>(D20-Escapements!CK21)/D20</f>
        <v>0.2954380808106476</v>
      </c>
      <c r="M20">
        <f>(E20-Escapements!CL21)/E20</f>
        <v>0.30518139875099026</v>
      </c>
      <c r="N20">
        <f>(F20-Escapements!CM21)/F20</f>
        <v>2.4276512385972629E-2</v>
      </c>
    </row>
    <row r="21" spans="1:14" x14ac:dyDescent="0.55000000000000004">
      <c r="A21">
        <v>1998</v>
      </c>
      <c r="B21">
        <v>47513</v>
      </c>
      <c r="C21">
        <v>48341</v>
      </c>
      <c r="D21">
        <v>10444</v>
      </c>
      <c r="E21">
        <v>110112</v>
      </c>
      <c r="F21">
        <v>292399</v>
      </c>
      <c r="G21">
        <v>508809</v>
      </c>
      <c r="I21">
        <f t="shared" si="1"/>
        <v>1998</v>
      </c>
      <c r="J21">
        <f>(B21-Escapements!CI22)/B21</f>
        <v>0.27254609350895764</v>
      </c>
      <c r="K21">
        <f>(C21-Escapements!CJ22)/C21</f>
        <v>0.14187024827043937</v>
      </c>
      <c r="L21">
        <f>(D21-Escapements!CK22)/D21</f>
        <v>0.46198774415932592</v>
      </c>
      <c r="M21">
        <f>(E21-Escapements!CL22)/E21</f>
        <v>0.10983312839361387</v>
      </c>
      <c r="N21">
        <f>(F21-Escapements!CM22)/F21</f>
        <v>2.9873563179080243E-2</v>
      </c>
    </row>
    <row r="22" spans="1:14" x14ac:dyDescent="0.55000000000000004">
      <c r="A22">
        <v>1999</v>
      </c>
      <c r="B22">
        <v>30888</v>
      </c>
      <c r="C22">
        <v>38362</v>
      </c>
      <c r="D22">
        <v>18439</v>
      </c>
      <c r="E22">
        <v>82251</v>
      </c>
      <c r="F22">
        <v>190017</v>
      </c>
      <c r="G22">
        <v>359957</v>
      </c>
      <c r="I22">
        <f t="shared" si="1"/>
        <v>1999</v>
      </c>
      <c r="J22">
        <f>(B22-Escapements!CI23)/B22</f>
        <v>0.23761555586606936</v>
      </c>
      <c r="K22">
        <f>(C22-Escapements!CJ23)/C22</f>
        <v>0.23777890835503279</v>
      </c>
      <c r="L22">
        <f>(D22-Escapements!CK23)/D22</f>
        <v>0.34395737256335329</v>
      </c>
      <c r="M22">
        <f>(E22-Escapements!CL23)/E22</f>
        <v>0.14130921608914726</v>
      </c>
      <c r="N22">
        <f>(F22-Escapements!CM23)/F22</f>
        <v>3.5270528426403804E-2</v>
      </c>
    </row>
    <row r="23" spans="1:14" x14ac:dyDescent="0.55000000000000004">
      <c r="A23">
        <v>2000</v>
      </c>
      <c r="B23">
        <v>39482</v>
      </c>
      <c r="C23">
        <v>47486</v>
      </c>
      <c r="D23">
        <v>28087</v>
      </c>
      <c r="E23">
        <v>61631</v>
      </c>
      <c r="F23">
        <v>153266</v>
      </c>
      <c r="G23">
        <v>329952</v>
      </c>
      <c r="I23">
        <f t="shared" si="1"/>
        <v>2000</v>
      </c>
      <c r="J23">
        <f>(B23-Escapements!CI24)/B23</f>
        <v>0.26523923611329064</v>
      </c>
      <c r="K23">
        <f>(C23-Escapements!CJ24)/C23</f>
        <v>0.1770993913971827</v>
      </c>
      <c r="L23">
        <f>(D23-Escapements!CK24)/D23</f>
        <v>0.41609997507743796</v>
      </c>
      <c r="M23">
        <f>(E23-Escapements!CL24)/E23</f>
        <v>0.18465051784587005</v>
      </c>
      <c r="N23">
        <f>(F23-Escapements!CM24)/F23</f>
        <v>3.1154985450131879E-2</v>
      </c>
    </row>
    <row r="24" spans="1:14" x14ac:dyDescent="0.55000000000000004">
      <c r="A24">
        <v>2001</v>
      </c>
      <c r="B24">
        <v>46425</v>
      </c>
      <c r="C24">
        <v>52824</v>
      </c>
      <c r="D24">
        <v>31499</v>
      </c>
      <c r="E24">
        <v>101984</v>
      </c>
      <c r="F24">
        <v>191511</v>
      </c>
      <c r="G24">
        <v>424243</v>
      </c>
      <c r="I24">
        <f t="shared" si="1"/>
        <v>2001</v>
      </c>
      <c r="J24">
        <f>(B24-Escapements!CI25)/B24</f>
        <v>0.26636929150854921</v>
      </c>
      <c r="K24">
        <f>(C24-Escapements!CJ25)/C24</f>
        <v>0.16411664049371941</v>
      </c>
      <c r="L24">
        <f>(D24-Escapements!CK25)/D24</f>
        <v>0.39779040604463634</v>
      </c>
      <c r="M24">
        <f>(E24-Escapements!CL25)/E24</f>
        <v>0.15828666218886386</v>
      </c>
      <c r="N24">
        <f>(F24-Escapements!CM25)/F24</f>
        <v>4.7626507093587615E-2</v>
      </c>
    </row>
    <row r="25" spans="1:14" x14ac:dyDescent="0.55000000000000004">
      <c r="A25">
        <v>2002</v>
      </c>
      <c r="B25">
        <v>52632</v>
      </c>
      <c r="C25">
        <v>46613</v>
      </c>
      <c r="D25">
        <v>33724</v>
      </c>
      <c r="E25">
        <v>150804</v>
      </c>
      <c r="F25">
        <v>165238</v>
      </c>
      <c r="G25">
        <v>449011</v>
      </c>
      <c r="I25">
        <f t="shared" si="1"/>
        <v>2002</v>
      </c>
      <c r="J25">
        <f>(B25-Escapements!CI26)/B25</f>
        <v>0.15485648021395815</v>
      </c>
      <c r="K25">
        <f>(C25-Escapements!CJ26)/C25</f>
        <v>0.16189462300823831</v>
      </c>
      <c r="L25">
        <f>(D25-Escapements!CK26)/D25</f>
        <v>0.25883643695884234</v>
      </c>
      <c r="M25">
        <f>(E25-Escapements!CL26)/E25</f>
        <v>0.12670368232885826</v>
      </c>
      <c r="N25">
        <f>(F25-Escapements!CM26)/F25</f>
        <v>0.10408622713903563</v>
      </c>
    </row>
    <row r="26" spans="1:14" x14ac:dyDescent="0.55000000000000004">
      <c r="A26">
        <v>2003</v>
      </c>
      <c r="B26">
        <v>67947</v>
      </c>
      <c r="C26">
        <v>66598</v>
      </c>
      <c r="D26">
        <v>43484</v>
      </c>
      <c r="E26">
        <v>121217</v>
      </c>
      <c r="F26">
        <v>309515</v>
      </c>
      <c r="G26">
        <v>608761</v>
      </c>
      <c r="I26">
        <f t="shared" si="1"/>
        <v>2003</v>
      </c>
      <c r="J26">
        <f>(B26-Escapements!CI27)/B26</f>
        <v>0.18617231271318252</v>
      </c>
      <c r="K26">
        <f>(C26-Escapements!CJ27)/C26</f>
        <v>0.14380865607041507</v>
      </c>
      <c r="L26">
        <f>(D26-Escapements!CK27)/D26</f>
        <v>0.3280287002115721</v>
      </c>
      <c r="M26">
        <f>(E26-Escapements!CL27)/E26</f>
        <v>0.16886297170626083</v>
      </c>
      <c r="N26">
        <f>(F26-Escapements!CM27)/F26</f>
        <v>1.7236644427572171E-2</v>
      </c>
    </row>
    <row r="27" spans="1:14" x14ac:dyDescent="0.55000000000000004">
      <c r="A27">
        <v>2004</v>
      </c>
      <c r="B27">
        <v>51154</v>
      </c>
      <c r="C27">
        <v>54542</v>
      </c>
      <c r="D27">
        <v>37065</v>
      </c>
      <c r="E27">
        <v>87306</v>
      </c>
      <c r="F27">
        <v>205750</v>
      </c>
      <c r="G27">
        <v>435817</v>
      </c>
      <c r="I27">
        <f t="shared" si="1"/>
        <v>2004</v>
      </c>
      <c r="J27">
        <f>(B27-Escapements!CI28)/B27</f>
        <v>0.30138288471653502</v>
      </c>
      <c r="K27">
        <f>(C27-Escapements!CJ28)/C27</f>
        <v>0.29731775616532591</v>
      </c>
      <c r="L27">
        <f>(D27-Escapements!CK28)/D27</f>
        <v>0.43731282881424527</v>
      </c>
      <c r="M27">
        <f>(E27-Escapements!CL28)/E27</f>
        <v>0.2313887625617542</v>
      </c>
      <c r="N27">
        <f>(F27-Escapements!CM28)/F27</f>
        <v>3.6520048602672862E-2</v>
      </c>
    </row>
    <row r="28" spans="1:14" x14ac:dyDescent="0.55000000000000004">
      <c r="A28">
        <v>2005</v>
      </c>
      <c r="B28">
        <v>33607</v>
      </c>
      <c r="C28">
        <v>33768</v>
      </c>
      <c r="D28">
        <v>17005</v>
      </c>
      <c r="E28">
        <v>128684</v>
      </c>
      <c r="F28">
        <v>133370</v>
      </c>
      <c r="G28">
        <v>346434</v>
      </c>
      <c r="I28">
        <f t="shared" si="1"/>
        <v>2005</v>
      </c>
      <c r="J28">
        <f>(B28-Escapements!CI29)/B28</f>
        <v>0.28222318721401518</v>
      </c>
      <c r="K28">
        <f>(C28-Escapements!CJ29)/C28</f>
        <v>0.18432432531365167</v>
      </c>
      <c r="L28">
        <f>(D28-Escapements!CK29)/D28</f>
        <v>0.44910320493972361</v>
      </c>
      <c r="M28">
        <f>(E28-Escapements!CL29)/E28</f>
        <v>0.16507764224928242</v>
      </c>
      <c r="N28">
        <f>(F28-Escapements!CM29)/F28</f>
        <v>7.0203194121616561E-2</v>
      </c>
    </row>
    <row r="29" spans="1:14" x14ac:dyDescent="0.55000000000000004">
      <c r="A29">
        <v>2006</v>
      </c>
      <c r="B29">
        <v>33020</v>
      </c>
      <c r="C29">
        <v>45849</v>
      </c>
      <c r="D29">
        <v>16916</v>
      </c>
      <c r="E29">
        <v>228134</v>
      </c>
      <c r="F29">
        <v>118610</v>
      </c>
      <c r="G29">
        <v>442529</v>
      </c>
      <c r="I29">
        <f t="shared" si="1"/>
        <v>2006</v>
      </c>
      <c r="J29">
        <f>(B29-Escapements!CI30)/B29</f>
        <v>0.26234178806049296</v>
      </c>
      <c r="K29">
        <f>(C29-Escapements!CJ30)/C29</f>
        <v>0.15487623101559711</v>
      </c>
      <c r="L29">
        <f>(D29-Escapements!CK30)/D29</f>
        <v>0.39707968786947268</v>
      </c>
      <c r="M29">
        <f>(E29-Escapements!CL30)/E29</f>
        <v>0.10531614059050994</v>
      </c>
      <c r="N29">
        <f>(F29-Escapements!CM30)/F29</f>
        <v>7.7471079119522973E-2</v>
      </c>
    </row>
    <row r="30" spans="1:14" x14ac:dyDescent="0.55000000000000004">
      <c r="A30">
        <v>2007</v>
      </c>
      <c r="B30">
        <v>18151</v>
      </c>
      <c r="C30">
        <v>20957</v>
      </c>
      <c r="D30">
        <v>4633</v>
      </c>
      <c r="E30">
        <v>101142</v>
      </c>
      <c r="F30">
        <v>109178</v>
      </c>
      <c r="G30">
        <v>254061</v>
      </c>
      <c r="I30">
        <f t="shared" si="1"/>
        <v>2007</v>
      </c>
      <c r="J30">
        <f>(B30-Escapements!CI31)/B30</f>
        <v>0.27268401495907046</v>
      </c>
      <c r="K30">
        <f>(C30-Escapements!CJ31)/C30</f>
        <v>0.23621285922607174</v>
      </c>
      <c r="L30">
        <f>(D30-Escapements!CK31)/D30</f>
        <v>0.426505503993093</v>
      </c>
      <c r="M30">
        <f>(E30-Escapements!CL31)/E30</f>
        <v>0.18322754147634018</v>
      </c>
      <c r="N30">
        <f>(F30-Escapements!CM31)/F30</f>
        <v>5.4470953354738012E-2</v>
      </c>
    </row>
    <row r="31" spans="1:14" x14ac:dyDescent="0.55000000000000004">
      <c r="A31">
        <v>2008</v>
      </c>
      <c r="B31">
        <v>23950</v>
      </c>
      <c r="C31">
        <v>31875</v>
      </c>
      <c r="D31">
        <v>18183</v>
      </c>
      <c r="E31">
        <v>133490</v>
      </c>
      <c r="F31">
        <v>88397</v>
      </c>
      <c r="G31">
        <v>295895</v>
      </c>
      <c r="I31">
        <f t="shared" si="1"/>
        <v>2008</v>
      </c>
      <c r="J31">
        <f>(B31-Escapements!CI32)/B31</f>
        <v>0.23106580547525807</v>
      </c>
      <c r="K31">
        <f>(C31-Escapements!CJ32)/C31</f>
        <v>0.2301069398848147</v>
      </c>
      <c r="L31">
        <f>(D31-Escapements!CK32)/D31</f>
        <v>0.32959357641753284</v>
      </c>
      <c r="M31">
        <f>(E31-Escapements!CL32)/E31</f>
        <v>0.19908048505575066</v>
      </c>
      <c r="N31">
        <f>(F31-Escapements!CM32)/F31</f>
        <v>5.0842228593263185E-2</v>
      </c>
    </row>
    <row r="32" spans="1:14" x14ac:dyDescent="0.55000000000000004">
      <c r="A32">
        <v>2009</v>
      </c>
      <c r="B32">
        <v>40398</v>
      </c>
      <c r="C32">
        <v>40601</v>
      </c>
      <c r="D32">
        <v>4342</v>
      </c>
      <c r="E32">
        <v>121959</v>
      </c>
      <c r="F32">
        <v>93433</v>
      </c>
      <c r="G32">
        <v>300733</v>
      </c>
      <c r="I32">
        <f t="shared" si="1"/>
        <v>2009</v>
      </c>
      <c r="J32">
        <f>(B32-Escapements!CI33)/B32</f>
        <v>0.27316916321844753</v>
      </c>
      <c r="K32">
        <f>(C32-Escapements!CJ33)/C32</f>
        <v>0.22232632891810009</v>
      </c>
      <c r="L32">
        <f>(D32-Escapements!CK33)/D32</f>
        <v>0.42054352832795949</v>
      </c>
      <c r="M32">
        <f>(E32-Escapements!CL33)/E32</f>
        <v>0.20353137038086919</v>
      </c>
      <c r="N32">
        <f>(F32-Escapements!CM33)/F32</f>
        <v>7.9886121605856605E-2</v>
      </c>
    </row>
    <row r="33" spans="1:14" x14ac:dyDescent="0.55000000000000004">
      <c r="A33">
        <v>2010</v>
      </c>
      <c r="B33">
        <v>25173</v>
      </c>
      <c r="C33">
        <v>31562</v>
      </c>
      <c r="D33">
        <v>13078</v>
      </c>
      <c r="E33">
        <v>196552</v>
      </c>
      <c r="F33">
        <v>193342</v>
      </c>
      <c r="G33">
        <v>459707</v>
      </c>
      <c r="I33">
        <f t="shared" si="1"/>
        <v>2010</v>
      </c>
      <c r="J33">
        <f>(B33-Escapements!CI34)/B33</f>
        <v>0.1819414225968089</v>
      </c>
      <c r="K33">
        <f>(C33-Escapements!CJ34)/C33</f>
        <v>0.15408607521169024</v>
      </c>
      <c r="L33">
        <f>(D33-Escapements!CK34)/D33</f>
        <v>0.24392108885150635</v>
      </c>
      <c r="M33">
        <f>(E33-Escapements!CL34)/E33</f>
        <v>0.13240438819786016</v>
      </c>
      <c r="N33">
        <f>(F33-Escapements!CM34)/F33</f>
        <v>4.2717050614972434E-2</v>
      </c>
    </row>
    <row r="34" spans="1:14" x14ac:dyDescent="0.55000000000000004">
      <c r="A34">
        <v>2011</v>
      </c>
      <c r="B34">
        <v>17630</v>
      </c>
      <c r="C34">
        <v>34043</v>
      </c>
      <c r="D34">
        <v>8016</v>
      </c>
      <c r="E34">
        <v>186311</v>
      </c>
      <c r="F34">
        <v>184800</v>
      </c>
      <c r="G34">
        <v>430800</v>
      </c>
      <c r="I34">
        <f t="shared" si="1"/>
        <v>2011</v>
      </c>
      <c r="J34">
        <f>(B34-Escapements!CI35)/B34</f>
        <v>0.23587169351072487</v>
      </c>
      <c r="K34">
        <f>(C34-Escapements!CJ35)/C34</f>
        <v>0.30085235926272114</v>
      </c>
      <c r="L34">
        <f>(D34-Escapements!CK35)/D34</f>
        <v>0.32285429141716565</v>
      </c>
      <c r="M34">
        <f>(E34-Escapements!CL35)/E34</f>
        <v>0.24350682461046316</v>
      </c>
      <c r="N34">
        <f>(F34-Escapements!CM35)/F34</f>
        <v>3.9501384695758257E-2</v>
      </c>
    </row>
    <row r="35" spans="1:14" x14ac:dyDescent="0.55000000000000004">
      <c r="A35">
        <v>2012</v>
      </c>
      <c r="B35">
        <v>16528</v>
      </c>
      <c r="C35">
        <v>19494</v>
      </c>
      <c r="D35">
        <v>15503</v>
      </c>
      <c r="E35">
        <v>75383</v>
      </c>
      <c r="F35">
        <v>68434</v>
      </c>
      <c r="G35">
        <v>195342</v>
      </c>
      <c r="I35">
        <f t="shared" si="1"/>
        <v>2012</v>
      </c>
      <c r="J35">
        <f>(B35-Escapements!CI36)/B35</f>
        <v>0.22076880182023995</v>
      </c>
      <c r="K35">
        <f>(C35-Escapements!CJ36)/C35</f>
        <v>0.34437823363701658</v>
      </c>
      <c r="L35">
        <f>(D35-Escapements!CK36)/D35</f>
        <v>0.24872605302199574</v>
      </c>
      <c r="M35">
        <f>(E35-Escapements!CL36)/E35</f>
        <v>0.29280368137474544</v>
      </c>
      <c r="N35">
        <f>(F35-Escapements!CM36)/F35</f>
        <v>4.8046292778443467E-2</v>
      </c>
    </row>
    <row r="36" spans="1:14" x14ac:dyDescent="0.55000000000000004">
      <c r="A36">
        <v>2013</v>
      </c>
      <c r="B36">
        <v>21859</v>
      </c>
      <c r="C36">
        <v>19865</v>
      </c>
      <c r="D36">
        <v>8469</v>
      </c>
      <c r="E36">
        <v>153105</v>
      </c>
      <c r="F36">
        <v>101164</v>
      </c>
      <c r="G36">
        <v>304462</v>
      </c>
      <c r="I36">
        <f t="shared" si="1"/>
        <v>2013</v>
      </c>
      <c r="J36">
        <f>(B36-Escapements!CI37)/B36</f>
        <v>9.7289447063364329E-2</v>
      </c>
      <c r="K36">
        <f>(C36-Escapements!CJ37)/C36</f>
        <v>0.12422885177132253</v>
      </c>
      <c r="L36">
        <f>(D36-Escapements!CK37)/D36</f>
        <v>0.13295548470893848</v>
      </c>
      <c r="M36">
        <f>(E36-Escapements!CL37)/E36</f>
        <v>0.12176850594339599</v>
      </c>
      <c r="N36">
        <f>(F36-Escapements!CM37)/F36</f>
        <v>4.8179194179748884E-2</v>
      </c>
    </row>
    <row r="37" spans="1:14" x14ac:dyDescent="0.55000000000000004">
      <c r="A37">
        <v>2014</v>
      </c>
      <c r="B37">
        <v>47935</v>
      </c>
      <c r="C37">
        <v>38061</v>
      </c>
      <c r="D37">
        <v>31303</v>
      </c>
      <c r="E37">
        <v>116988</v>
      </c>
      <c r="F37">
        <v>114262</v>
      </c>
      <c r="G37">
        <v>348549</v>
      </c>
      <c r="I37">
        <f t="shared" si="1"/>
        <v>2014</v>
      </c>
      <c r="J37">
        <f>(B37-Escapements!CI38)/B37</f>
        <v>0.14601121268216061</v>
      </c>
      <c r="K37">
        <f>(C37-Escapements!CJ38)/C37</f>
        <v>0.17501839604625186</v>
      </c>
      <c r="L37">
        <f>(D37-Escapements!CK38)/D37</f>
        <v>0.20279206465833946</v>
      </c>
      <c r="M37">
        <f>(E37-Escapements!CL38)/E37</f>
        <v>0.23727454116769045</v>
      </c>
      <c r="N37">
        <f>(F37-Escapements!CM38)/F37</f>
        <v>7.1878051637070242E-2</v>
      </c>
    </row>
    <row r="38" spans="1:14" x14ac:dyDescent="0.55000000000000004">
      <c r="A38">
        <v>2015</v>
      </c>
      <c r="B38">
        <v>31528</v>
      </c>
      <c r="C38">
        <v>47251</v>
      </c>
      <c r="D38">
        <v>13970</v>
      </c>
      <c r="E38">
        <v>225002</v>
      </c>
      <c r="F38">
        <v>143688</v>
      </c>
      <c r="G38">
        <v>461439</v>
      </c>
      <c r="I38">
        <f t="shared" si="1"/>
        <v>2015</v>
      </c>
      <c r="J38">
        <f>(B38-Escapements!CI39)/B38</f>
        <v>0.11292870731559061</v>
      </c>
      <c r="K38">
        <f>(C38-Escapements!CJ39)/C38</f>
        <v>8.9752590622393408E-2</v>
      </c>
      <c r="L38">
        <f>(D38-Escapements!CK39)/D38</f>
        <v>0.17594846098783107</v>
      </c>
      <c r="M38">
        <f>(E38-Escapements!CL39)/E38</f>
        <v>0.14567484494083471</v>
      </c>
      <c r="N38">
        <f>(F38-Escapements!CM39)/F38</f>
        <v>4.5445687879294025E-2</v>
      </c>
    </row>
    <row r="39" spans="1:14" x14ac:dyDescent="0.55000000000000004">
      <c r="A39">
        <v>2016</v>
      </c>
      <c r="B39">
        <v>18299</v>
      </c>
      <c r="C39">
        <v>16431</v>
      </c>
      <c r="D39">
        <v>11352</v>
      </c>
      <c r="E39">
        <v>107255</v>
      </c>
      <c r="F39">
        <v>88111</v>
      </c>
      <c r="G39">
        <v>241448</v>
      </c>
      <c r="I39">
        <f t="shared" si="1"/>
        <v>2016</v>
      </c>
      <c r="J39">
        <f>(B39-Escapements!CI40)/B39</f>
        <v>0.12720639749288928</v>
      </c>
      <c r="K39">
        <f>(C39-Escapements!CJ40)/C39</f>
        <v>0.12926297669074022</v>
      </c>
      <c r="L39">
        <f>(D39-Escapements!CK40)/D39</f>
        <v>0.18076914403374586</v>
      </c>
      <c r="M39">
        <f>(E39-Escapements!CL40)/E39</f>
        <v>7.1629750255256738E-2</v>
      </c>
      <c r="N39">
        <f>(F39-Escapements!CM40)/F39</f>
        <v>7.3913117879877963E-2</v>
      </c>
    </row>
    <row r="40" spans="1:14" x14ac:dyDescent="0.55000000000000004">
      <c r="A40">
        <v>2017</v>
      </c>
      <c r="B40">
        <v>12412</v>
      </c>
      <c r="C40">
        <v>11142</v>
      </c>
      <c r="D40">
        <v>6669</v>
      </c>
      <c r="E40">
        <v>111647</v>
      </c>
      <c r="F40">
        <v>62620</v>
      </c>
      <c r="G40">
        <v>204490</v>
      </c>
      <c r="I40">
        <f t="shared" si="1"/>
        <v>2017</v>
      </c>
      <c r="J40">
        <f>(B40-Escapements!CI41)/B40</f>
        <v>0.12006000627460434</v>
      </c>
      <c r="K40">
        <f>(C40-Escapements!CJ41)/C40</f>
        <v>0.11280212850354529</v>
      </c>
      <c r="L40">
        <f>(D40-Escapements!CK41)/D40</f>
        <v>0.17902836515919507</v>
      </c>
      <c r="M40">
        <f>(E40-Escapements!CL41)/E40</f>
        <v>0.14804896490528177</v>
      </c>
      <c r="N40">
        <f>(F40-Escapements!CM41)/F40</f>
        <v>0.11254925736139434</v>
      </c>
    </row>
    <row r="41" spans="1:14" x14ac:dyDescent="0.55000000000000004">
      <c r="A41">
        <v>2018</v>
      </c>
      <c r="B41">
        <v>14288</v>
      </c>
      <c r="C41">
        <v>10596</v>
      </c>
      <c r="D41">
        <v>3626</v>
      </c>
      <c r="E41">
        <v>75181</v>
      </c>
      <c r="F41">
        <v>79945</v>
      </c>
      <c r="G41">
        <v>183636</v>
      </c>
      <c r="I41">
        <f t="shared" si="1"/>
        <v>2018</v>
      </c>
      <c r="J41">
        <f>(B41-Escapements!CI42)/B41</f>
        <v>0.22511653497585285</v>
      </c>
      <c r="K41">
        <f>(C41-Escapements!CJ42)/C41</f>
        <v>0.15103952666654383</v>
      </c>
      <c r="L41">
        <f>(D41-Escapements!CK42)/D41</f>
        <v>0.35135135135135137</v>
      </c>
      <c r="M41">
        <f>(E41-Escapements!CL42)/E41</f>
        <v>0.24535454436626275</v>
      </c>
      <c r="N41">
        <f>(F41-Escapements!CM42)/F41</f>
        <v>6.9289348700531689E-2</v>
      </c>
    </row>
    <row r="42" spans="1:14" x14ac:dyDescent="0.55000000000000004">
      <c r="A42">
        <v>2019</v>
      </c>
      <c r="B42">
        <v>17677</v>
      </c>
      <c r="C42">
        <v>16446</v>
      </c>
      <c r="D42">
        <v>6311</v>
      </c>
      <c r="E42">
        <v>206532</v>
      </c>
      <c r="F42">
        <v>128719</v>
      </c>
      <c r="G42">
        <v>375685</v>
      </c>
      <c r="I42">
        <f t="shared" si="1"/>
        <v>2019</v>
      </c>
      <c r="J42">
        <f>(B42-Escapements!CI43)/B42</f>
        <v>4.8297862908878976E-2</v>
      </c>
      <c r="K42">
        <f>(C42-Escapements!CJ43)/C42</f>
        <v>9.6593165432978162E-2</v>
      </c>
      <c r="L42">
        <f>(D42-Escapements!CK43)/D42</f>
        <v>2.4877198542227856E-2</v>
      </c>
      <c r="M42">
        <f>(E42-Escapements!CL43)/E42</f>
        <v>0.16027056339937637</v>
      </c>
      <c r="N42">
        <f>(F42-Escapements!CM43)/F42</f>
        <v>6.773662007939768E-2</v>
      </c>
    </row>
    <row r="43" spans="1:14" x14ac:dyDescent="0.55000000000000004">
      <c r="A43">
        <v>2020</v>
      </c>
      <c r="B43">
        <v>26265</v>
      </c>
      <c r="C43">
        <v>24695</v>
      </c>
      <c r="D43">
        <v>9234</v>
      </c>
      <c r="E43">
        <v>201492</v>
      </c>
      <c r="F43">
        <v>88950</v>
      </c>
      <c r="G43">
        <v>350636</v>
      </c>
      <c r="I43">
        <f t="shared" si="1"/>
        <v>2020</v>
      </c>
      <c r="J43">
        <f>(B43-Escapements!CI44)/B43</f>
        <v>2.2347190964985306E-2</v>
      </c>
      <c r="K43">
        <f>(C43-Escapements!CJ44)/C43</f>
        <v>0.10791866180757945</v>
      </c>
      <c r="L43">
        <f>(D43-Escapements!CK44)/D43</f>
        <v>3.8018121619284244E-2</v>
      </c>
      <c r="M43">
        <f>(E43-Escapements!CL44)/E43</f>
        <v>0.1775035175532165</v>
      </c>
      <c r="N43">
        <f>(F43-Escapements!CM44)/F43</f>
        <v>6.7093760539628899E-2</v>
      </c>
    </row>
    <row r="44" spans="1:14" x14ac:dyDescent="0.55000000000000004">
      <c r="A44">
        <v>2021</v>
      </c>
      <c r="B44">
        <v>23746</v>
      </c>
      <c r="C44">
        <v>23713</v>
      </c>
      <c r="D44">
        <v>6801</v>
      </c>
      <c r="E44">
        <v>231472</v>
      </c>
      <c r="F44">
        <v>104218</v>
      </c>
      <c r="G44">
        <v>389950</v>
      </c>
      <c r="I44">
        <f t="shared" si="1"/>
        <v>2021</v>
      </c>
      <c r="J44">
        <f>(B44-Escapements!CI45)/B44</f>
        <v>3.8157572170845963E-2</v>
      </c>
      <c r="K44">
        <f>(C44-Escapements!CJ45)/C44</f>
        <v>8.6038859800993933E-2</v>
      </c>
      <c r="L44">
        <f>(D44-Escapements!CK45)/D44</f>
        <v>2.7642993677400383E-2</v>
      </c>
      <c r="M44">
        <f>(E44-Escapements!CL45)/E44</f>
        <v>0.14862625164654061</v>
      </c>
      <c r="N44">
        <f>(F44-Escapements!CM45)/F44</f>
        <v>8.0981592128374066E-2</v>
      </c>
    </row>
    <row r="45" spans="1:14" x14ac:dyDescent="0.55000000000000004">
      <c r="A45">
        <v>2022</v>
      </c>
      <c r="B45">
        <v>27492</v>
      </c>
      <c r="C45">
        <v>41985</v>
      </c>
      <c r="D45">
        <v>10700</v>
      </c>
      <c r="E45">
        <v>152352</v>
      </c>
      <c r="F45">
        <v>193046</v>
      </c>
      <c r="G45">
        <v>425575</v>
      </c>
      <c r="I45">
        <f t="shared" si="1"/>
        <v>2022</v>
      </c>
      <c r="J45">
        <f>(B45-Escapements!CI46)/B45</f>
        <v>2.0978021776768593E-2</v>
      </c>
      <c r="K45">
        <f>(C45-Escapements!CJ46)/C45</f>
        <v>7.2744583187425688E-2</v>
      </c>
      <c r="L45">
        <f>(D45-Escapements!CK46)/D45</f>
        <v>2.0654205607476637E-2</v>
      </c>
      <c r="M45">
        <f>(E45-Escapements!CL46)/E45</f>
        <v>0.18235617005776775</v>
      </c>
      <c r="N45">
        <f>(F45-Escapements!CM46)/F45</f>
        <v>0.15834928650840915</v>
      </c>
    </row>
    <row r="46" spans="1:14" x14ac:dyDescent="0.55000000000000004">
      <c r="A46">
        <v>2023</v>
      </c>
      <c r="B46">
        <v>19905</v>
      </c>
      <c r="C46">
        <v>29567</v>
      </c>
      <c r="D46">
        <v>11879</v>
      </c>
      <c r="E46">
        <v>682041</v>
      </c>
      <c r="F46">
        <v>273288</v>
      </c>
      <c r="G46">
        <v>1016680</v>
      </c>
      <c r="I46">
        <f t="shared" si="1"/>
        <v>2023</v>
      </c>
      <c r="J46">
        <f>(B46-Escapements!CI47)/B46</f>
        <v>2.5527051519243255E-2</v>
      </c>
      <c r="K46">
        <f>(C46-Escapements!CJ47)/C46</f>
        <v>5.2782829925241317E-2</v>
      </c>
      <c r="L46">
        <f>(D46-Escapements!CK47)/D46</f>
        <v>2.5810010829732784E-2</v>
      </c>
      <c r="M46">
        <f>(E46-Escapements!CL47)/E46</f>
        <v>5.9194388607136522E-2</v>
      </c>
      <c r="N46">
        <f>(F46-Escapements!CM47)/F46</f>
        <v>8.8679341939639195E-2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runsize correlations</vt:lpstr>
      <vt:lpstr>RunSize_by_Stock</vt:lpstr>
      <vt:lpstr>Escapements</vt:lpstr>
      <vt:lpstr>RunSize_by_Group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Noel, Simon-Luc (he, him / il, lui) (DFO/MPO)</dc:creator>
  <cp:lastModifiedBy>Walters, Carl John</cp:lastModifiedBy>
  <dcterms:created xsi:type="dcterms:W3CDTF">2024-03-20T21:06:06Z</dcterms:created>
  <dcterms:modified xsi:type="dcterms:W3CDTF">2026-01-15T18:46:29Z</dcterms:modified>
</cp:coreProperties>
</file>