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oleynik\OneDrive - UBC\Documents\GitHub\Fraser_salmon_retrospective-analysis\"/>
    </mc:Choice>
  </mc:AlternateContent>
  <xr:revisionPtr revIDLastSave="0" documentId="13_ncr:1_{2551812E-394F-4857-B532-BB60EDE4379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R and retrospective" sheetId="2" r:id="rId1"/>
    <sheet name="pink_run_size_2025-05-16" sheetId="1" r:id="rId2"/>
  </sheets>
  <definedNames>
    <definedName name="cutil">'SR and retrospective'!$AD$1</definedName>
    <definedName name="policy">'SR and retrospective'!$S$1</definedName>
    <definedName name="ra">'SR and retrospective'!$I$1</definedName>
    <definedName name="rb">'SR and retrospective'!$I$2</definedName>
    <definedName name="retroC">'SR and retrospective'!$N$2</definedName>
    <definedName name="retroUtil">'SR and retrospective'!$S$3</definedName>
    <definedName name="Smsy">'SR and retrospective'!$P$2</definedName>
    <definedName name="solver_adj" localSheetId="0" hidden="1">'SR and retrospective'!$AD$1:$AD$2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'SR and retrospective'!$S$3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Sutil">'SR and retrospective'!$AD$2</definedName>
    <definedName name="Umsy">'SR and retrospective'!$P$1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2" l="1"/>
  <c r="N2" i="2"/>
  <c r="Z2" i="2" l="1"/>
  <c r="Z13" i="2"/>
  <c r="Z3" i="2" s="1"/>
  <c r="Y13" i="2"/>
  <c r="Y3" i="2" s="1"/>
  <c r="AG5" i="2"/>
  <c r="AG6" i="2" s="1"/>
  <c r="Y2" i="2" l="1"/>
  <c r="Y5" i="2"/>
  <c r="Y4" i="2"/>
  <c r="Z5" i="2"/>
  <c r="Z4" i="2"/>
  <c r="AH6" i="2"/>
  <c r="AG7" i="2"/>
  <c r="G37" i="2"/>
  <c r="K37" i="2" s="1"/>
  <c r="AG8" i="2" l="1"/>
  <c r="AH7" i="2"/>
  <c r="H36" i="2"/>
  <c r="AG9" i="2" l="1"/>
  <c r="AH8" i="2"/>
  <c r="AG10" i="2" l="1"/>
  <c r="AH9" i="2"/>
  <c r="D5" i="2"/>
  <c r="E5" i="2"/>
  <c r="F5" i="2"/>
  <c r="G5" i="2"/>
  <c r="D6" i="2"/>
  <c r="E6" i="2"/>
  <c r="F6" i="2"/>
  <c r="D7" i="2"/>
  <c r="E7" i="2"/>
  <c r="F7" i="2"/>
  <c r="D8" i="2"/>
  <c r="E8" i="2"/>
  <c r="F8" i="2"/>
  <c r="D9" i="2"/>
  <c r="E9" i="2"/>
  <c r="F9" i="2"/>
  <c r="G9" i="2"/>
  <c r="H8" i="2" s="1"/>
  <c r="D10" i="2"/>
  <c r="E10" i="2"/>
  <c r="F10" i="2"/>
  <c r="D11" i="2"/>
  <c r="E11" i="2"/>
  <c r="F11" i="2"/>
  <c r="D12" i="2"/>
  <c r="E12" i="2"/>
  <c r="F12" i="2"/>
  <c r="G12" i="2"/>
  <c r="H11" i="2" s="1"/>
  <c r="I11" i="2" s="1"/>
  <c r="D13" i="2"/>
  <c r="E13" i="2"/>
  <c r="F13" i="2"/>
  <c r="G13" i="2"/>
  <c r="H12" i="2" s="1"/>
  <c r="D14" i="2"/>
  <c r="E14" i="2"/>
  <c r="F14" i="2"/>
  <c r="D15" i="2"/>
  <c r="E15" i="2"/>
  <c r="F15" i="2"/>
  <c r="D16" i="2"/>
  <c r="E16" i="2"/>
  <c r="F16" i="2"/>
  <c r="G16" i="2"/>
  <c r="H15" i="2" s="1"/>
  <c r="I15" i="2" s="1"/>
  <c r="D17" i="2"/>
  <c r="E17" i="2"/>
  <c r="F17" i="2"/>
  <c r="D18" i="2"/>
  <c r="E18" i="2"/>
  <c r="F18" i="2"/>
  <c r="D19" i="2"/>
  <c r="E19" i="2"/>
  <c r="F19" i="2"/>
  <c r="D20" i="2"/>
  <c r="E20" i="2"/>
  <c r="F20" i="2"/>
  <c r="G20" i="2"/>
  <c r="H19" i="2" s="1"/>
  <c r="D21" i="2"/>
  <c r="E21" i="2"/>
  <c r="F21" i="2"/>
  <c r="G21" i="2"/>
  <c r="H20" i="2" s="1"/>
  <c r="I20" i="2" s="1"/>
  <c r="D22" i="2"/>
  <c r="E22" i="2"/>
  <c r="F22" i="2"/>
  <c r="D23" i="2"/>
  <c r="E23" i="2"/>
  <c r="F23" i="2"/>
  <c r="D24" i="2"/>
  <c r="E24" i="2"/>
  <c r="F24" i="2"/>
  <c r="D25" i="2"/>
  <c r="E25" i="2"/>
  <c r="F25" i="2"/>
  <c r="G25" i="2"/>
  <c r="H24" i="2" s="1"/>
  <c r="D26" i="2"/>
  <c r="E26" i="2"/>
  <c r="F26" i="2"/>
  <c r="D27" i="2"/>
  <c r="E27" i="2"/>
  <c r="F27" i="2"/>
  <c r="D28" i="2"/>
  <c r="E28" i="2"/>
  <c r="F28" i="2"/>
  <c r="G28" i="2"/>
  <c r="H27" i="2" s="1"/>
  <c r="I27" i="2" s="1"/>
  <c r="D29" i="2"/>
  <c r="E29" i="2"/>
  <c r="F29" i="2"/>
  <c r="G29" i="2"/>
  <c r="H28" i="2" s="1"/>
  <c r="D30" i="2"/>
  <c r="E30" i="2"/>
  <c r="F30" i="2"/>
  <c r="D31" i="2"/>
  <c r="E31" i="2"/>
  <c r="F31" i="2"/>
  <c r="D32" i="2"/>
  <c r="E32" i="2"/>
  <c r="F32" i="2"/>
  <c r="G32" i="2"/>
  <c r="H31" i="2" s="1"/>
  <c r="I31" i="2" s="1"/>
  <c r="D33" i="2"/>
  <c r="E33" i="2"/>
  <c r="F33" i="2"/>
  <c r="D34" i="2"/>
  <c r="E34" i="2"/>
  <c r="F34" i="2"/>
  <c r="D35" i="2"/>
  <c r="E35" i="2"/>
  <c r="F35" i="2"/>
  <c r="D36" i="2"/>
  <c r="E36" i="2"/>
  <c r="F36" i="2"/>
  <c r="I36" i="2" s="1"/>
  <c r="E4" i="2"/>
  <c r="F4" i="2"/>
  <c r="D4" i="2"/>
  <c r="G15" i="2" l="1"/>
  <c r="H14" i="2" s="1"/>
  <c r="I14" i="2" s="1"/>
  <c r="G31" i="2"/>
  <c r="H30" i="2" s="1"/>
  <c r="I30" i="2" s="1"/>
  <c r="G26" i="2"/>
  <c r="H25" i="2" s="1"/>
  <c r="I25" i="2" s="1"/>
  <c r="K26" i="2"/>
  <c r="U24" i="2"/>
  <c r="G10" i="2"/>
  <c r="H9" i="2" s="1"/>
  <c r="I9" i="2" s="1"/>
  <c r="H4" i="2"/>
  <c r="I4" i="2" s="1"/>
  <c r="G35" i="2"/>
  <c r="H34" i="2" s="1"/>
  <c r="I34" i="2" s="1"/>
  <c r="G19" i="2"/>
  <c r="H18" i="2" s="1"/>
  <c r="I18" i="2" s="1"/>
  <c r="K19" i="2"/>
  <c r="G30" i="2"/>
  <c r="H29" i="2" s="1"/>
  <c r="I29" i="2" s="1"/>
  <c r="K30" i="2"/>
  <c r="I24" i="2"/>
  <c r="G14" i="2"/>
  <c r="H13" i="2" s="1"/>
  <c r="I13" i="2" s="1"/>
  <c r="K14" i="2"/>
  <c r="K12" i="2"/>
  <c r="I8" i="2"/>
  <c r="G23" i="2"/>
  <c r="H22" i="2" s="1"/>
  <c r="I22" i="2" s="1"/>
  <c r="K23" i="2"/>
  <c r="G7" i="2"/>
  <c r="H6" i="2" s="1"/>
  <c r="I6" i="2" s="1"/>
  <c r="K7" i="2"/>
  <c r="K5" i="2"/>
  <c r="G4" i="2"/>
  <c r="L4" i="2" s="1"/>
  <c r="I28" i="2"/>
  <c r="K25" i="2"/>
  <c r="I19" i="2"/>
  <c r="G18" i="2"/>
  <c r="H17" i="2" s="1"/>
  <c r="I17" i="2" s="1"/>
  <c r="K18" i="2"/>
  <c r="K16" i="2"/>
  <c r="I12" i="2"/>
  <c r="K9" i="2"/>
  <c r="K28" i="2"/>
  <c r="K21" i="2"/>
  <c r="G34" i="2"/>
  <c r="H33" i="2" s="1"/>
  <c r="I33" i="2" s="1"/>
  <c r="K34" i="2"/>
  <c r="K32" i="2"/>
  <c r="G27" i="2"/>
  <c r="H26" i="2" s="1"/>
  <c r="I26" i="2" s="1"/>
  <c r="G11" i="2"/>
  <c r="H10" i="2" s="1"/>
  <c r="I10" i="2" s="1"/>
  <c r="K11" i="2"/>
  <c r="G36" i="2"/>
  <c r="H35" i="2" s="1"/>
  <c r="I35" i="2" s="1"/>
  <c r="G33" i="2"/>
  <c r="H32" i="2" s="1"/>
  <c r="I32" i="2" s="1"/>
  <c r="K29" i="2"/>
  <c r="G24" i="2"/>
  <c r="H23" i="2" s="1"/>
  <c r="I23" i="2" s="1"/>
  <c r="G22" i="2"/>
  <c r="H21" i="2" s="1"/>
  <c r="I21" i="2" s="1"/>
  <c r="K22" i="2"/>
  <c r="K20" i="2"/>
  <c r="G17" i="2"/>
  <c r="H16" i="2" s="1"/>
  <c r="I16" i="2" s="1"/>
  <c r="K13" i="2"/>
  <c r="G8" i="2"/>
  <c r="H7" i="2" s="1"/>
  <c r="I7" i="2" s="1"/>
  <c r="G6" i="2"/>
  <c r="H5" i="2" s="1"/>
  <c r="I5" i="2" s="1"/>
  <c r="AG11" i="2"/>
  <c r="AH10" i="2"/>
  <c r="I1" i="2" l="1"/>
  <c r="J33" i="2" s="1"/>
  <c r="I2" i="2"/>
  <c r="Q4" i="2" s="1"/>
  <c r="K10" i="2"/>
  <c r="K31" i="2"/>
  <c r="M4" i="2"/>
  <c r="N4" i="2" s="1"/>
  <c r="P4" i="2" s="1"/>
  <c r="K33" i="2"/>
  <c r="K4" i="2"/>
  <c r="K17" i="2"/>
  <c r="K15" i="2"/>
  <c r="K36" i="2"/>
  <c r="K8" i="2"/>
  <c r="K6" i="2"/>
  <c r="K27" i="2"/>
  <c r="K35" i="2"/>
  <c r="K24" i="2"/>
  <c r="AG12" i="2"/>
  <c r="AH11" i="2"/>
  <c r="J8" i="2" l="1"/>
  <c r="J6" i="2"/>
  <c r="J19" i="2"/>
  <c r="J24" i="2"/>
  <c r="J32" i="2"/>
  <c r="J4" i="2"/>
  <c r="O4" i="2" s="1"/>
  <c r="L5" i="2" s="1"/>
  <c r="M5" i="2" s="1"/>
  <c r="N5" i="2" s="1"/>
  <c r="J22" i="2"/>
  <c r="J16" i="2"/>
  <c r="J25" i="2"/>
  <c r="J7" i="2"/>
  <c r="J14" i="2"/>
  <c r="J30" i="2"/>
  <c r="P2" i="2"/>
  <c r="AE5" i="2" s="1"/>
  <c r="AE6" i="2" s="1"/>
  <c r="P1" i="2"/>
  <c r="J20" i="2"/>
  <c r="J28" i="2"/>
  <c r="J31" i="2"/>
  <c r="J15" i="2"/>
  <c r="J36" i="2"/>
  <c r="J34" i="2"/>
  <c r="J17" i="2"/>
  <c r="J21" i="2"/>
  <c r="J10" i="2"/>
  <c r="J12" i="2"/>
  <c r="J23" i="2"/>
  <c r="J26" i="2"/>
  <c r="J18" i="2"/>
  <c r="J5" i="2"/>
  <c r="J9" i="2"/>
  <c r="J11" i="2"/>
  <c r="J35" i="2"/>
  <c r="J27" i="2"/>
  <c r="J29" i="2"/>
  <c r="J13" i="2"/>
  <c r="AG13" i="2"/>
  <c r="AH12" i="2"/>
  <c r="L1" i="2"/>
  <c r="AF6" i="2" l="1"/>
  <c r="AE7" i="2"/>
  <c r="AD4" i="2"/>
  <c r="AD5" i="2"/>
  <c r="O5" i="2"/>
  <c r="L6" i="2" s="1"/>
  <c r="M6" i="2" s="1"/>
  <c r="Q5" i="2"/>
  <c r="AG14" i="2"/>
  <c r="AH13" i="2"/>
  <c r="P5" i="2"/>
  <c r="AF7" i="2" l="1"/>
  <c r="AE8" i="2"/>
  <c r="N6" i="2"/>
  <c r="O6" i="2" s="1"/>
  <c r="L7" i="2" s="1"/>
  <c r="M7" i="2" s="1"/>
  <c r="AG15" i="2"/>
  <c r="AH14" i="2"/>
  <c r="AE9" i="2" l="1"/>
  <c r="AF8" i="2"/>
  <c r="Q6" i="2"/>
  <c r="P6" i="2"/>
  <c r="N7" i="2"/>
  <c r="P7" i="2" s="1"/>
  <c r="AG16" i="2"/>
  <c r="AH16" i="2" s="1"/>
  <c r="AH15" i="2"/>
  <c r="AE10" i="2" l="1"/>
  <c r="AF9" i="2"/>
  <c r="O7" i="2"/>
  <c r="L8" i="2" s="1"/>
  <c r="Q7" i="2"/>
  <c r="AE11" i="2" l="1"/>
  <c r="AF10" i="2"/>
  <c r="M8" i="2"/>
  <c r="N8" i="2" s="1"/>
  <c r="AE12" i="2" l="1"/>
  <c r="AF11" i="2"/>
  <c r="O8" i="2"/>
  <c r="L9" i="2" s="1"/>
  <c r="Q8" i="2"/>
  <c r="P8" i="2"/>
  <c r="AE13" i="2" l="1"/>
  <c r="AF12" i="2"/>
  <c r="M9" i="2"/>
  <c r="N9" i="2" s="1"/>
  <c r="P9" i="2" s="1"/>
  <c r="AE14" i="2" l="1"/>
  <c r="AF13" i="2"/>
  <c r="O9" i="2"/>
  <c r="L10" i="2" s="1"/>
  <c r="Q9" i="2"/>
  <c r="AF14" i="2" l="1"/>
  <c r="AE15" i="2"/>
  <c r="M10" i="2"/>
  <c r="N10" i="2" s="1"/>
  <c r="P10" i="2" s="1"/>
  <c r="AF15" i="2" l="1"/>
  <c r="AE16" i="2"/>
  <c r="AF16" i="2" s="1"/>
  <c r="O10" i="2"/>
  <c r="L11" i="2" s="1"/>
  <c r="Q10" i="2"/>
  <c r="M11" i="2" l="1"/>
  <c r="N11" i="2" s="1"/>
  <c r="P11" i="2" s="1"/>
  <c r="O11" i="2" l="1"/>
  <c r="L12" i="2" s="1"/>
  <c r="Q11" i="2"/>
  <c r="M12" i="2" l="1"/>
  <c r="N12" i="2" s="1"/>
  <c r="P12" i="2" s="1"/>
  <c r="O12" i="2" l="1"/>
  <c r="L13" i="2" s="1"/>
  <c r="Q12" i="2"/>
  <c r="M13" i="2" l="1"/>
  <c r="N13" i="2" s="1"/>
  <c r="P13" i="2" s="1"/>
  <c r="O13" i="2" l="1"/>
  <c r="L14" i="2" s="1"/>
  <c r="Q13" i="2"/>
  <c r="M14" i="2" l="1"/>
  <c r="N14" i="2" s="1"/>
  <c r="P14" i="2" s="1"/>
  <c r="O14" i="2" l="1"/>
  <c r="L15" i="2" s="1"/>
  <c r="Q14" i="2"/>
  <c r="M15" i="2" l="1"/>
  <c r="N15" i="2" s="1"/>
  <c r="P15" i="2" s="1"/>
  <c r="O15" i="2" l="1"/>
  <c r="L16" i="2" s="1"/>
  <c r="Q15" i="2"/>
  <c r="M16" i="2" l="1"/>
  <c r="N16" i="2" s="1"/>
  <c r="O16" i="2" l="1"/>
  <c r="L17" i="2" s="1"/>
  <c r="Q16" i="2"/>
  <c r="P16" i="2"/>
  <c r="M17" i="2" l="1"/>
  <c r="N17" i="2" s="1"/>
  <c r="P17" i="2" s="1"/>
  <c r="O17" i="2" l="1"/>
  <c r="L18" i="2" s="1"/>
  <c r="Q17" i="2"/>
  <c r="M18" i="2" l="1"/>
  <c r="N18" i="2" s="1"/>
  <c r="O18" i="2" l="1"/>
  <c r="L19" i="2" s="1"/>
  <c r="M19" i="2" s="1"/>
  <c r="P18" i="2"/>
  <c r="N19" i="2" l="1"/>
  <c r="O19" i="2" s="1"/>
  <c r="L20" i="2" s="1"/>
  <c r="M20" i="2" s="1"/>
  <c r="N20" i="2" s="1"/>
  <c r="O20" i="2" l="1"/>
  <c r="L21" i="2" s="1"/>
  <c r="P20" i="2"/>
  <c r="P19" i="2"/>
  <c r="M21" i="2"/>
  <c r="N21" i="2" s="1"/>
  <c r="O21" i="2" l="1"/>
  <c r="L22" i="2" s="1"/>
  <c r="M22" i="2" s="1"/>
  <c r="N22" i="2" s="1"/>
  <c r="P21" i="2"/>
  <c r="O22" i="2" l="1"/>
  <c r="L23" i="2" s="1"/>
  <c r="P22" i="2"/>
  <c r="M23" i="2" l="1"/>
  <c r="N23" i="2" s="1"/>
  <c r="O23" i="2" l="1"/>
  <c r="L24" i="2" s="1"/>
  <c r="M24" i="2" s="1"/>
  <c r="P23" i="2"/>
  <c r="N24" i="2" l="1"/>
  <c r="O24" i="2" s="1"/>
  <c r="L25" i="2" s="1"/>
  <c r="M25" i="2" s="1"/>
  <c r="P25" i="2" l="1"/>
  <c r="N25" i="2"/>
  <c r="O25" i="2" s="1"/>
  <c r="L26" i="2" s="1"/>
  <c r="P24" i="2"/>
  <c r="M26" i="2"/>
  <c r="N26" i="2" s="1"/>
  <c r="O26" i="2" l="1"/>
  <c r="L27" i="2" s="1"/>
  <c r="M27" i="2" s="1"/>
  <c r="N27" i="2" s="1"/>
  <c r="P26" i="2"/>
  <c r="O27" i="2" l="1"/>
  <c r="L28" i="2" s="1"/>
  <c r="M28" i="2" s="1"/>
  <c r="P27" i="2"/>
  <c r="N28" i="2" l="1"/>
  <c r="O28" i="2" s="1"/>
  <c r="L29" i="2" s="1"/>
  <c r="M29" i="2" s="1"/>
  <c r="P28" i="2" l="1"/>
  <c r="N29" i="2"/>
  <c r="O29" i="2" s="1"/>
  <c r="L30" i="2" s="1"/>
  <c r="M30" i="2" s="1"/>
  <c r="P30" i="2" l="1"/>
  <c r="N30" i="2"/>
  <c r="O30" i="2" s="1"/>
  <c r="L31" i="2" s="1"/>
  <c r="P29" i="2"/>
  <c r="M31" i="2"/>
  <c r="N31" i="2" s="1"/>
  <c r="O31" i="2" l="1"/>
  <c r="L32" i="2" s="1"/>
  <c r="M32" i="2" s="1"/>
  <c r="N32" i="2" s="1"/>
  <c r="P31" i="2"/>
  <c r="O32" i="2" l="1"/>
  <c r="L33" i="2" s="1"/>
  <c r="M33" i="2" s="1"/>
  <c r="P32" i="2"/>
  <c r="N33" i="2" l="1"/>
  <c r="O33" i="2" s="1"/>
  <c r="L34" i="2" s="1"/>
  <c r="M34" i="2" s="1"/>
  <c r="P33" i="2" l="1"/>
  <c r="N34" i="2"/>
  <c r="O34" i="2" s="1"/>
  <c r="L35" i="2" s="1"/>
  <c r="M35" i="2"/>
  <c r="N35" i="2" s="1"/>
  <c r="P34" i="2" l="1"/>
  <c r="O35" i="2"/>
  <c r="L36" i="2" s="1"/>
  <c r="M36" i="2" s="1"/>
  <c r="P35" i="2"/>
  <c r="N36" i="2" l="1"/>
  <c r="O36" i="2" s="1"/>
  <c r="L37" i="2" s="1"/>
  <c r="M37" i="2" s="1"/>
  <c r="N37" i="2" s="1"/>
  <c r="P36" i="2" l="1"/>
  <c r="U25" i="2" s="1"/>
  <c r="U26" i="2" s="1"/>
  <c r="O37" i="2"/>
  <c r="P37" i="2"/>
  <c r="S3" i="2"/>
  <c r="V1" i="2" s="1"/>
  <c r="U1" i="2"/>
</calcChain>
</file>

<file path=xl/sharedStrings.xml><?xml version="1.0" encoding="utf-8"?>
<sst xmlns="http://schemas.openxmlformats.org/spreadsheetml/2006/main" count="57" uniqueCount="47">
  <si>
    <t>Year</t>
  </si>
  <si>
    <t>Catch</t>
  </si>
  <si>
    <t>Escapement</t>
  </si>
  <si>
    <t>Row Labels</t>
  </si>
  <si>
    <t>(blank)</t>
  </si>
  <si>
    <t>Grand Total</t>
  </si>
  <si>
    <t>Sum of Catch</t>
  </si>
  <si>
    <t>Sum of Escapement</t>
  </si>
  <si>
    <t>catch</t>
  </si>
  <si>
    <t>escapement</t>
  </si>
  <si>
    <t>recruitment</t>
  </si>
  <si>
    <t>lnR/S</t>
  </si>
  <si>
    <t>wt</t>
  </si>
  <si>
    <t>ra</t>
  </si>
  <si>
    <t>rb</t>
  </si>
  <si>
    <t>sdw</t>
  </si>
  <si>
    <t>retro S</t>
  </si>
  <si>
    <t>retro rec</t>
  </si>
  <si>
    <t>retro C</t>
  </si>
  <si>
    <t>obs run size</t>
  </si>
  <si>
    <t>hist C</t>
  </si>
  <si>
    <t>retroC</t>
  </si>
  <si>
    <t>retro Run</t>
  </si>
  <si>
    <t>historical Ut</t>
  </si>
  <si>
    <t>retro Ut</t>
  </si>
  <si>
    <t>Umsy</t>
  </si>
  <si>
    <t>Smsy</t>
  </si>
  <si>
    <t>policy</t>
  </si>
  <si>
    <t>retroUtil</t>
  </si>
  <si>
    <t>Policy</t>
  </si>
  <si>
    <t xml:space="preserve">Yield </t>
  </si>
  <si>
    <t>Utility</t>
  </si>
  <si>
    <t>Historical</t>
  </si>
  <si>
    <t>1=hist,2=Umsy,3=Smsy,4=Maxutil</t>
  </si>
  <si>
    <t>Max util</t>
  </si>
  <si>
    <t>cutil</t>
  </si>
  <si>
    <t>Sutil</t>
  </si>
  <si>
    <t xml:space="preserve">max   </t>
  </si>
  <si>
    <t>catch loss due to low Ut since 1999 has been</t>
  </si>
  <si>
    <t>alt R formula</t>
  </si>
  <si>
    <t>historical</t>
  </si>
  <si>
    <t>retrospective</t>
  </si>
  <si>
    <t>loss</t>
  </si>
  <si>
    <t>Catches since 1999</t>
  </si>
  <si>
    <t>at least 93-27=66 million fish.  At $1.00 per fish</t>
  </si>
  <si>
    <t>that means a total loss of $66 million.  At $1.00 per</t>
  </si>
  <si>
    <t>pound, that means a loss of 3x66 =$198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</si>
</sst>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1" fontId="0" fillId="0" borderId="0" xfId="0" applyNumberFormat="1"/>
    <xf numFmtId="11" fontId="0" fillId="33" borderId="0" xfId="0" applyNumberFormat="1" applyFill="1"/>
    <xf numFmtId="164" fontId="0" fillId="0" borderId="0" xfId="42" applyNumberFormat="1" applyFont="1"/>
    <xf numFmtId="0" fontId="18" fillId="0" borderId="0" xfId="0" applyFont="1" applyAlignment="1">
      <alignment horizontal="center"/>
    </xf>
    <xf numFmtId="0" fontId="16" fillId="0" borderId="0" xfId="0" applyFon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'SR and retrospective'!$F$3</c:f>
              <c:strCache>
                <c:ptCount val="1"/>
                <c:pt idx="0">
                  <c:v>escapement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'SR and retrospective'!$D$4:$D$37</c:f>
              <c:numCache>
                <c:formatCode>General</c:formatCode>
                <c:ptCount val="34"/>
                <c:pt idx="0">
                  <c:v>1959</c:v>
                </c:pt>
                <c:pt idx="1">
                  <c:v>1961</c:v>
                </c:pt>
                <c:pt idx="2">
                  <c:v>1963</c:v>
                </c:pt>
                <c:pt idx="3">
                  <c:v>1965</c:v>
                </c:pt>
                <c:pt idx="4">
                  <c:v>1967</c:v>
                </c:pt>
                <c:pt idx="5">
                  <c:v>1969</c:v>
                </c:pt>
                <c:pt idx="6">
                  <c:v>1971</c:v>
                </c:pt>
                <c:pt idx="7">
                  <c:v>1973</c:v>
                </c:pt>
                <c:pt idx="8">
                  <c:v>1975</c:v>
                </c:pt>
                <c:pt idx="9">
                  <c:v>1977</c:v>
                </c:pt>
                <c:pt idx="10">
                  <c:v>1979</c:v>
                </c:pt>
                <c:pt idx="11">
                  <c:v>1981</c:v>
                </c:pt>
                <c:pt idx="12">
                  <c:v>1983</c:v>
                </c:pt>
                <c:pt idx="13">
                  <c:v>1985</c:v>
                </c:pt>
                <c:pt idx="14">
                  <c:v>1987</c:v>
                </c:pt>
                <c:pt idx="15">
                  <c:v>1989</c:v>
                </c:pt>
                <c:pt idx="16">
                  <c:v>1991</c:v>
                </c:pt>
                <c:pt idx="17">
                  <c:v>1993</c:v>
                </c:pt>
                <c:pt idx="18">
                  <c:v>1995</c:v>
                </c:pt>
                <c:pt idx="19">
                  <c:v>1997</c:v>
                </c:pt>
                <c:pt idx="20">
                  <c:v>1999</c:v>
                </c:pt>
                <c:pt idx="21">
                  <c:v>2001</c:v>
                </c:pt>
                <c:pt idx="22">
                  <c:v>2003</c:v>
                </c:pt>
                <c:pt idx="23">
                  <c:v>2005</c:v>
                </c:pt>
                <c:pt idx="24">
                  <c:v>2007</c:v>
                </c:pt>
                <c:pt idx="25">
                  <c:v>2009</c:v>
                </c:pt>
                <c:pt idx="26">
                  <c:v>2011</c:v>
                </c:pt>
                <c:pt idx="27">
                  <c:v>2013</c:v>
                </c:pt>
                <c:pt idx="28">
                  <c:v>2015</c:v>
                </c:pt>
                <c:pt idx="29">
                  <c:v>2017</c:v>
                </c:pt>
                <c:pt idx="30">
                  <c:v>2019</c:v>
                </c:pt>
                <c:pt idx="31">
                  <c:v>2021</c:v>
                </c:pt>
                <c:pt idx="32">
                  <c:v>2023</c:v>
                </c:pt>
                <c:pt idx="33">
                  <c:v>2025</c:v>
                </c:pt>
              </c:numCache>
            </c:numRef>
          </c:xVal>
          <c:yVal>
            <c:numRef>
              <c:f>'SR and retrospective'!$F$4:$F$37</c:f>
              <c:numCache>
                <c:formatCode>General</c:formatCode>
                <c:ptCount val="34"/>
                <c:pt idx="0">
                  <c:v>1078000</c:v>
                </c:pt>
                <c:pt idx="1">
                  <c:v>1092561</c:v>
                </c:pt>
                <c:pt idx="2">
                  <c:v>1954038</c:v>
                </c:pt>
                <c:pt idx="3">
                  <c:v>1194099</c:v>
                </c:pt>
                <c:pt idx="4">
                  <c:v>1831219</c:v>
                </c:pt>
                <c:pt idx="5">
                  <c:v>1530913</c:v>
                </c:pt>
                <c:pt idx="6">
                  <c:v>1804952</c:v>
                </c:pt>
                <c:pt idx="7">
                  <c:v>1754261</c:v>
                </c:pt>
                <c:pt idx="8">
                  <c:v>1367089</c:v>
                </c:pt>
                <c:pt idx="9">
                  <c:v>2387811</c:v>
                </c:pt>
                <c:pt idx="10">
                  <c:v>3560654</c:v>
                </c:pt>
                <c:pt idx="11">
                  <c:v>4488336</c:v>
                </c:pt>
                <c:pt idx="12">
                  <c:v>4631721</c:v>
                </c:pt>
                <c:pt idx="13">
                  <c:v>6460950</c:v>
                </c:pt>
                <c:pt idx="14">
                  <c:v>3223521</c:v>
                </c:pt>
                <c:pt idx="15">
                  <c:v>7189201</c:v>
                </c:pt>
                <c:pt idx="16">
                  <c:v>12942835</c:v>
                </c:pt>
                <c:pt idx="17">
                  <c:v>10768335</c:v>
                </c:pt>
                <c:pt idx="18">
                  <c:v>7174584</c:v>
                </c:pt>
                <c:pt idx="19">
                  <c:v>2842108</c:v>
                </c:pt>
                <c:pt idx="20">
                  <c:v>3444982</c:v>
                </c:pt>
                <c:pt idx="21">
                  <c:v>19813620</c:v>
                </c:pt>
                <c:pt idx="22">
                  <c:v>22181030</c:v>
                </c:pt>
                <c:pt idx="23">
                  <c:v>8809624</c:v>
                </c:pt>
                <c:pt idx="24">
                  <c:v>7650052</c:v>
                </c:pt>
                <c:pt idx="25">
                  <c:v>15428836</c:v>
                </c:pt>
                <c:pt idx="26">
                  <c:v>12784508</c:v>
                </c:pt>
                <c:pt idx="27">
                  <c:v>9344490</c:v>
                </c:pt>
                <c:pt idx="28">
                  <c:v>5368996</c:v>
                </c:pt>
                <c:pt idx="29">
                  <c:v>3392159</c:v>
                </c:pt>
                <c:pt idx="30">
                  <c:v>8307419</c:v>
                </c:pt>
                <c:pt idx="31">
                  <c:v>7827445</c:v>
                </c:pt>
                <c:pt idx="32">
                  <c:v>9542025</c:v>
                </c:pt>
                <c:pt idx="33" formatCode="0.00E+00">
                  <c:v>18000000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FF-40F2-AE2C-0CAA4D740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191520"/>
        <c:axId val="128924528"/>
      </c:scatterChart>
      <c:scatterChart>
        <c:scatterStyle val="lineMarker"/>
        <c:varyColors val="0"/>
        <c:ser>
          <c:idx val="0"/>
          <c:order val="0"/>
          <c:tx>
            <c:strRef>
              <c:f>'SR and retrospective'!$I$3</c:f>
              <c:strCache>
                <c:ptCount val="1"/>
                <c:pt idx="0">
                  <c:v>lnR/S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'SR and retrospective'!$D$4:$D$36</c:f>
              <c:numCache>
                <c:formatCode>General</c:formatCode>
                <c:ptCount val="33"/>
                <c:pt idx="0">
                  <c:v>1959</c:v>
                </c:pt>
                <c:pt idx="1">
                  <c:v>1961</c:v>
                </c:pt>
                <c:pt idx="2">
                  <c:v>1963</c:v>
                </c:pt>
                <c:pt idx="3">
                  <c:v>1965</c:v>
                </c:pt>
                <c:pt idx="4">
                  <c:v>1967</c:v>
                </c:pt>
                <c:pt idx="5">
                  <c:v>1969</c:v>
                </c:pt>
                <c:pt idx="6">
                  <c:v>1971</c:v>
                </c:pt>
                <c:pt idx="7">
                  <c:v>1973</c:v>
                </c:pt>
                <c:pt idx="8">
                  <c:v>1975</c:v>
                </c:pt>
                <c:pt idx="9">
                  <c:v>1977</c:v>
                </c:pt>
                <c:pt idx="10">
                  <c:v>1979</c:v>
                </c:pt>
                <c:pt idx="11">
                  <c:v>1981</c:v>
                </c:pt>
                <c:pt idx="12">
                  <c:v>1983</c:v>
                </c:pt>
                <c:pt idx="13">
                  <c:v>1985</c:v>
                </c:pt>
                <c:pt idx="14">
                  <c:v>1987</c:v>
                </c:pt>
                <c:pt idx="15">
                  <c:v>1989</c:v>
                </c:pt>
                <c:pt idx="16">
                  <c:v>1991</c:v>
                </c:pt>
                <c:pt idx="17">
                  <c:v>1993</c:v>
                </c:pt>
                <c:pt idx="18">
                  <c:v>1995</c:v>
                </c:pt>
                <c:pt idx="19">
                  <c:v>1997</c:v>
                </c:pt>
                <c:pt idx="20">
                  <c:v>1999</c:v>
                </c:pt>
                <c:pt idx="21">
                  <c:v>2001</c:v>
                </c:pt>
                <c:pt idx="22">
                  <c:v>2003</c:v>
                </c:pt>
                <c:pt idx="23">
                  <c:v>2005</c:v>
                </c:pt>
                <c:pt idx="24">
                  <c:v>2007</c:v>
                </c:pt>
                <c:pt idx="25">
                  <c:v>2009</c:v>
                </c:pt>
                <c:pt idx="26">
                  <c:v>2011</c:v>
                </c:pt>
                <c:pt idx="27">
                  <c:v>2013</c:v>
                </c:pt>
                <c:pt idx="28">
                  <c:v>2015</c:v>
                </c:pt>
                <c:pt idx="29">
                  <c:v>2017</c:v>
                </c:pt>
                <c:pt idx="30">
                  <c:v>2019</c:v>
                </c:pt>
                <c:pt idx="31">
                  <c:v>2021</c:v>
                </c:pt>
                <c:pt idx="32">
                  <c:v>2023</c:v>
                </c:pt>
              </c:numCache>
            </c:numRef>
          </c:xVal>
          <c:yVal>
            <c:numRef>
              <c:f>'SR and retrospective'!$I$4:$I$36</c:f>
              <c:numCache>
                <c:formatCode>General</c:formatCode>
                <c:ptCount val="33"/>
                <c:pt idx="0">
                  <c:v>0.56107033518735361</c:v>
                </c:pt>
                <c:pt idx="1">
                  <c:v>1.6130093594853452</c:v>
                </c:pt>
                <c:pt idx="2">
                  <c:v>0.17162047687633733</c:v>
                </c:pt>
                <c:pt idx="3">
                  <c:v>2.3846910965708026</c:v>
                </c:pt>
                <c:pt idx="4">
                  <c:v>0.76402924721001253</c:v>
                </c:pt>
                <c:pt idx="5">
                  <c:v>1.85276903645313</c:v>
                </c:pt>
                <c:pt idx="6">
                  <c:v>1.3269743243394778</c:v>
                </c:pt>
                <c:pt idx="7">
                  <c:v>1.0259530844290714</c:v>
                </c:pt>
                <c:pt idx="8">
                  <c:v>1.7926065314226114</c:v>
                </c:pt>
                <c:pt idx="9">
                  <c:v>1.7971372301015636</c:v>
                </c:pt>
                <c:pt idx="10">
                  <c:v>1.6577601825749047</c:v>
                </c:pt>
                <c:pt idx="11">
                  <c:v>1.2293791428726557</c:v>
                </c:pt>
                <c:pt idx="12">
                  <c:v>1.4135097371689578</c:v>
                </c:pt>
                <c:pt idx="13">
                  <c:v>0.1043765385715632</c:v>
                </c:pt>
                <c:pt idx="14">
                  <c:v>1.6319326557760858</c:v>
                </c:pt>
                <c:pt idx="15">
                  <c:v>1.1263241118960534</c:v>
                </c:pt>
                <c:pt idx="16">
                  <c:v>0.27169981355841716</c:v>
                </c:pt>
                <c:pt idx="17">
                  <c:v>0.18090482880778486</c:v>
                </c:pt>
                <c:pt idx="18">
                  <c:v>0.13065384944978378</c:v>
                </c:pt>
                <c:pt idx="19">
                  <c:v>0.23868101703644934</c:v>
                </c:pt>
                <c:pt idx="20">
                  <c:v>1.8199921330299718</c:v>
                </c:pt>
                <c:pt idx="21">
                  <c:v>0.20204703737529697</c:v>
                </c:pt>
                <c:pt idx="22">
                  <c:v>-0.80973756563125143</c:v>
                </c:pt>
                <c:pt idx="23">
                  <c:v>-3.6955759939947062E-2</c:v>
                </c:pt>
                <c:pt idx="24">
                  <c:v>0.96067191783918293</c:v>
                </c:pt>
                <c:pt idx="25">
                  <c:v>0.29124074579654452</c:v>
                </c:pt>
                <c:pt idx="26">
                  <c:v>0.21794780460034338</c:v>
                </c:pt>
                <c:pt idx="27">
                  <c:v>-0.46574414477937098</c:v>
                </c:pt>
                <c:pt idx="28">
                  <c:v>-0.41001249984985999</c:v>
                </c:pt>
                <c:pt idx="29">
                  <c:v>0.95987733054440605</c:v>
                </c:pt>
                <c:pt idx="30">
                  <c:v>-2.4357684979357377E-2</c:v>
                </c:pt>
                <c:pt idx="31">
                  <c:v>0.29500421365888313</c:v>
                </c:pt>
                <c:pt idx="32">
                  <c:v>0.70180533364750208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FF-40F2-AE2C-0CAA4D740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2016"/>
        <c:axId val="294983616"/>
      </c:scatterChart>
      <c:valAx>
        <c:axId val="2881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24528"/>
        <c:crosses val="autoZero"/>
        <c:crossBetween val="midCat"/>
      </c:valAx>
      <c:valAx>
        <c:axId val="12892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Escapement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191520"/>
        <c:crosses val="autoZero"/>
        <c:crossBetween val="midCat"/>
      </c:valAx>
      <c:valAx>
        <c:axId val="2949836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lnR/S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2016"/>
        <c:crosses val="max"/>
        <c:crossBetween val="midCat"/>
      </c:valAx>
      <c:valAx>
        <c:axId val="294942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4983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Recruitment anomalies 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'SR and retrospective'!$J$3</c:f>
              <c:strCache>
                <c:ptCount val="1"/>
                <c:pt idx="0">
                  <c:v>wt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'SR and retrospective'!$D$4:$D$36</c:f>
              <c:numCache>
                <c:formatCode>General</c:formatCode>
                <c:ptCount val="33"/>
                <c:pt idx="0">
                  <c:v>1959</c:v>
                </c:pt>
                <c:pt idx="1">
                  <c:v>1961</c:v>
                </c:pt>
                <c:pt idx="2">
                  <c:v>1963</c:v>
                </c:pt>
                <c:pt idx="3">
                  <c:v>1965</c:v>
                </c:pt>
                <c:pt idx="4">
                  <c:v>1967</c:v>
                </c:pt>
                <c:pt idx="5">
                  <c:v>1969</c:v>
                </c:pt>
                <c:pt idx="6">
                  <c:v>1971</c:v>
                </c:pt>
                <c:pt idx="7">
                  <c:v>1973</c:v>
                </c:pt>
                <c:pt idx="8">
                  <c:v>1975</c:v>
                </c:pt>
                <c:pt idx="9">
                  <c:v>1977</c:v>
                </c:pt>
                <c:pt idx="10">
                  <c:v>1979</c:v>
                </c:pt>
                <c:pt idx="11">
                  <c:v>1981</c:v>
                </c:pt>
                <c:pt idx="12">
                  <c:v>1983</c:v>
                </c:pt>
                <c:pt idx="13">
                  <c:v>1985</c:v>
                </c:pt>
                <c:pt idx="14">
                  <c:v>1987</c:v>
                </c:pt>
                <c:pt idx="15">
                  <c:v>1989</c:v>
                </c:pt>
                <c:pt idx="16">
                  <c:v>1991</c:v>
                </c:pt>
                <c:pt idx="17">
                  <c:v>1993</c:v>
                </c:pt>
                <c:pt idx="18">
                  <c:v>1995</c:v>
                </c:pt>
                <c:pt idx="19">
                  <c:v>1997</c:v>
                </c:pt>
                <c:pt idx="20">
                  <c:v>1999</c:v>
                </c:pt>
                <c:pt idx="21">
                  <c:v>2001</c:v>
                </c:pt>
                <c:pt idx="22">
                  <c:v>2003</c:v>
                </c:pt>
                <c:pt idx="23">
                  <c:v>2005</c:v>
                </c:pt>
                <c:pt idx="24">
                  <c:v>2007</c:v>
                </c:pt>
                <c:pt idx="25">
                  <c:v>2009</c:v>
                </c:pt>
                <c:pt idx="26">
                  <c:v>2011</c:v>
                </c:pt>
                <c:pt idx="27">
                  <c:v>2013</c:v>
                </c:pt>
                <c:pt idx="28">
                  <c:v>2015</c:v>
                </c:pt>
                <c:pt idx="29">
                  <c:v>2017</c:v>
                </c:pt>
                <c:pt idx="30">
                  <c:v>2019</c:v>
                </c:pt>
                <c:pt idx="31">
                  <c:v>2021</c:v>
                </c:pt>
                <c:pt idx="32">
                  <c:v>2023</c:v>
                </c:pt>
              </c:numCache>
            </c:numRef>
          </c:xVal>
          <c:yVal>
            <c:numRef>
              <c:f>'SR and retrospective'!$J$4:$J$36</c:f>
              <c:numCache>
                <c:formatCode>General</c:formatCode>
                <c:ptCount val="33"/>
                <c:pt idx="0">
                  <c:v>-0.71086482832888676</c:v>
                </c:pt>
                <c:pt idx="1">
                  <c:v>0.34246775209193059</c:v>
                </c:pt>
                <c:pt idx="2">
                  <c:v>-1.0164737334960257</c:v>
                </c:pt>
                <c:pt idx="3">
                  <c:v>1.1238671529092388</c:v>
                </c:pt>
                <c:pt idx="4">
                  <c:v>-0.43581931859462375</c:v>
                </c:pt>
                <c:pt idx="5">
                  <c:v>0.62417977529643665</c:v>
                </c:pt>
                <c:pt idx="6">
                  <c:v>0.12461188320496963</c:v>
                </c:pt>
                <c:pt idx="7">
                  <c:v>-0.18126072360483647</c:v>
                </c:pt>
                <c:pt idx="8">
                  <c:v>0.54833854364921608</c:v>
                </c:pt>
                <c:pt idx="9">
                  <c:v>0.65055713414898486</c:v>
                </c:pt>
                <c:pt idx="10">
                  <c:v>0.62342667296689602</c:v>
                </c:pt>
                <c:pt idx="11">
                  <c:v>0.28382915988611601</c:v>
                </c:pt>
                <c:pt idx="12">
                  <c:v>0.48168237245529533</c:v>
                </c:pt>
                <c:pt idx="13">
                  <c:v>-0.65238501520875913</c:v>
                </c:pt>
                <c:pt idx="14">
                  <c:v>0.56533393386421049</c:v>
                </c:pt>
                <c:pt idx="15">
                  <c:v>0.43925960090152549</c:v>
                </c:pt>
                <c:pt idx="16">
                  <c:v>0.13528511296140538</c:v>
                </c:pt>
                <c:pt idx="17">
                  <c:v>-0.16361973986727979</c:v>
                </c:pt>
                <c:pt idx="18">
                  <c:v>-0.55780957713071644</c:v>
                </c:pt>
                <c:pt idx="19">
                  <c:v>-0.86442072125310099</c:v>
                </c:pt>
                <c:pt idx="20">
                  <c:v>0.77458826947378001</c:v>
                </c:pt>
                <c:pt idx="21">
                  <c:v>0.72319874742103663</c:v>
                </c:pt>
                <c:pt idx="22">
                  <c:v>-6.201359401427109E-2</c:v>
                </c:pt>
                <c:pt idx="23">
                  <c:v>-0.56893817539037639</c:v>
                </c:pt>
                <c:pt idx="24">
                  <c:v>0.31771301310523847</c:v>
                </c:pt>
                <c:pt idx="25">
                  <c:v>0.39274802273547521</c:v>
                </c:pt>
                <c:pt idx="26">
                  <c:v>6.6380466117291564E-2</c:v>
                </c:pt>
                <c:pt idx="27">
                  <c:v>-0.94653737066924115</c:v>
                </c:pt>
                <c:pt idx="28">
                  <c:v>-1.2712791825735263</c:v>
                </c:pt>
                <c:pt idx="29">
                  <c:v>-9.0581942329554077E-2</c:v>
                </c:pt>
                <c:pt idx="30">
                  <c:v>-0.60440347881476642</c:v>
                </c:pt>
                <c:pt idx="31">
                  <c:v>-0.3309773473969882</c:v>
                </c:pt>
                <c:pt idx="32">
                  <c:v>0.23991713548391291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F6-4517-83B2-271F8DEEB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430608"/>
        <c:axId val="287971920"/>
      </c:scatterChart>
      <c:valAx>
        <c:axId val="28943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971920"/>
        <c:crosses val="autoZero"/>
        <c:crossBetween val="midCat"/>
      </c:valAx>
      <c:valAx>
        <c:axId val="28797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lnR/S anomaly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30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lnR/S vs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'SR and retrospective'!$I$3</c:f>
              <c:strCache>
                <c:ptCount val="1"/>
                <c:pt idx="0">
                  <c:v>lnR/S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4EA9DAE-B34E-4839-BA2A-A78E909DA2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DCF-4E9F-85AF-104B21537B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D121158-1F31-44B3-BFC7-B46247E864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DCF-4E9F-85AF-104B21537B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0047380-D921-4313-B856-624022CA16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DCF-4E9F-85AF-104B21537B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BB35D7-9154-452F-8B9E-146207D72E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DCF-4E9F-85AF-104B21537B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2F096A9-2243-4B09-915F-DBFE3BE0B7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DCF-4E9F-85AF-104B21537B4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EAB5F67-7564-422D-96B7-31DFC04DEC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DCF-4E9F-85AF-104B21537B4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90287A5-8AAD-4925-BEF0-0467847566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DCF-4E9F-85AF-104B21537B4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C632EA2-E00A-4C3C-9E15-51C8754ACD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DCF-4E9F-85AF-104B21537B4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1E42E36-32CF-4529-A72F-ADDA380C37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DCF-4E9F-85AF-104B21537B4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244896A-7041-4C2A-B916-33A156FFBD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DCF-4E9F-85AF-104B21537B4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A4A43E0-1E21-43DB-B263-BB06E1E774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DCF-4E9F-85AF-104B21537B4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D5BDDE5-2AFB-456E-9F8F-714DFBA741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DCF-4E9F-85AF-104B21537B4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F26A30D-2BFC-484C-B44A-82CC269201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DCF-4E9F-85AF-104B21537B4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7A3EB3D-3170-48BF-9E4E-31851983D8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DCF-4E9F-85AF-104B21537B4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DC70FB6-C8FA-441D-883B-65745EF168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DCF-4E9F-85AF-104B21537B4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0E13A67-2A6C-431E-8AF4-86624B596F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DCF-4E9F-85AF-104B21537B4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CBF3E12-38F2-4D00-80F3-5706676DE9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DCF-4E9F-85AF-104B21537B4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7909935-0336-4A56-8526-DBE658F119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DCF-4E9F-85AF-104B21537B4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AFD5C6C-DD3A-435D-9C38-E1A41959E2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DCF-4E9F-85AF-104B21537B4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97B1DA9-D708-41F5-9501-9BFF3B8144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DCF-4E9F-85AF-104B21537B4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6FEAF00-A1B1-4FC8-BB9D-ABDB862F18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DCF-4E9F-85AF-104B21537B4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30ED134-9E12-476D-8F81-0D13539228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DCF-4E9F-85AF-104B21537B4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36386A6-5873-4615-BD0D-6A21B0218B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DCF-4E9F-85AF-104B21537B4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29AF2A1-C5D0-4A8B-80B6-E2FFA7D5DE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DCF-4E9F-85AF-104B21537B4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5C53620-03EA-4CEE-97EB-C7DAA21C16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DCF-4E9F-85AF-104B21537B4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5B978DB-FBA9-4DA8-9CA2-81C4286C6B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DCF-4E9F-85AF-104B21537B4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AB23BC6-C82A-4D86-82E0-AB93B5D619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DCF-4E9F-85AF-104B21537B4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05309A8-307A-4CEE-9322-BD475C1D1B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DCF-4E9F-85AF-104B21537B4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D9185068-8A3C-467A-8EAB-BF5E96BE6B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DCF-4E9F-85AF-104B21537B4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A76D2BC-1FA3-4307-A7B7-CA703615BA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DCF-4E9F-85AF-104B21537B4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8E648B89-D945-421A-96DF-8B936D1443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DCF-4E9F-85AF-104B21537B4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55A00FB4-BCC0-4621-B584-1EA8213400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DCF-4E9F-85AF-104B21537B4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B90A6A58-2E37-473A-9C62-B282C85B0A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245-4A29-9ED2-960CA46117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723118985126854"/>
                  <c:y val="-0.316111111111111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 and retrospective'!$F$4:$F$36</c:f>
              <c:numCache>
                <c:formatCode>General</c:formatCode>
                <c:ptCount val="33"/>
                <c:pt idx="0">
                  <c:v>1078000</c:v>
                </c:pt>
                <c:pt idx="1">
                  <c:v>1092561</c:v>
                </c:pt>
                <c:pt idx="2">
                  <c:v>1954038</c:v>
                </c:pt>
                <c:pt idx="3">
                  <c:v>1194099</c:v>
                </c:pt>
                <c:pt idx="4">
                  <c:v>1831219</c:v>
                </c:pt>
                <c:pt idx="5">
                  <c:v>1530913</c:v>
                </c:pt>
                <c:pt idx="6">
                  <c:v>1804952</c:v>
                </c:pt>
                <c:pt idx="7">
                  <c:v>1754261</c:v>
                </c:pt>
                <c:pt idx="8">
                  <c:v>1367089</c:v>
                </c:pt>
                <c:pt idx="9">
                  <c:v>2387811</c:v>
                </c:pt>
                <c:pt idx="10">
                  <c:v>3560654</c:v>
                </c:pt>
                <c:pt idx="11">
                  <c:v>4488336</c:v>
                </c:pt>
                <c:pt idx="12">
                  <c:v>4631721</c:v>
                </c:pt>
                <c:pt idx="13">
                  <c:v>6460950</c:v>
                </c:pt>
                <c:pt idx="14">
                  <c:v>3223521</c:v>
                </c:pt>
                <c:pt idx="15">
                  <c:v>7189201</c:v>
                </c:pt>
                <c:pt idx="16">
                  <c:v>12942835</c:v>
                </c:pt>
                <c:pt idx="17">
                  <c:v>10768335</c:v>
                </c:pt>
                <c:pt idx="18">
                  <c:v>7174584</c:v>
                </c:pt>
                <c:pt idx="19">
                  <c:v>2842108</c:v>
                </c:pt>
                <c:pt idx="20">
                  <c:v>3444982</c:v>
                </c:pt>
                <c:pt idx="21">
                  <c:v>19813620</c:v>
                </c:pt>
                <c:pt idx="22">
                  <c:v>22181030</c:v>
                </c:pt>
                <c:pt idx="23">
                  <c:v>8809624</c:v>
                </c:pt>
                <c:pt idx="24">
                  <c:v>7650052</c:v>
                </c:pt>
                <c:pt idx="25">
                  <c:v>15428836</c:v>
                </c:pt>
                <c:pt idx="26">
                  <c:v>12784508</c:v>
                </c:pt>
                <c:pt idx="27">
                  <c:v>9344490</c:v>
                </c:pt>
                <c:pt idx="28">
                  <c:v>5368996</c:v>
                </c:pt>
                <c:pt idx="29">
                  <c:v>3392159</c:v>
                </c:pt>
                <c:pt idx="30">
                  <c:v>8307419</c:v>
                </c:pt>
                <c:pt idx="31">
                  <c:v>7827445</c:v>
                </c:pt>
                <c:pt idx="32">
                  <c:v>9542025</c:v>
                </c:pt>
              </c:numCache>
            </c:numRef>
          </c:xVal>
          <c:yVal>
            <c:numRef>
              <c:f>'SR and retrospective'!$I$4:$I$36</c:f>
              <c:numCache>
                <c:formatCode>General</c:formatCode>
                <c:ptCount val="33"/>
                <c:pt idx="0">
                  <c:v>0.56107033518735361</c:v>
                </c:pt>
                <c:pt idx="1">
                  <c:v>1.6130093594853452</c:v>
                </c:pt>
                <c:pt idx="2">
                  <c:v>0.17162047687633733</c:v>
                </c:pt>
                <c:pt idx="3">
                  <c:v>2.3846910965708026</c:v>
                </c:pt>
                <c:pt idx="4">
                  <c:v>0.76402924721001253</c:v>
                </c:pt>
                <c:pt idx="5">
                  <c:v>1.85276903645313</c:v>
                </c:pt>
                <c:pt idx="6">
                  <c:v>1.3269743243394778</c:v>
                </c:pt>
                <c:pt idx="7">
                  <c:v>1.0259530844290714</c:v>
                </c:pt>
                <c:pt idx="8">
                  <c:v>1.7926065314226114</c:v>
                </c:pt>
                <c:pt idx="9">
                  <c:v>1.7971372301015636</c:v>
                </c:pt>
                <c:pt idx="10">
                  <c:v>1.6577601825749047</c:v>
                </c:pt>
                <c:pt idx="11">
                  <c:v>1.2293791428726557</c:v>
                </c:pt>
                <c:pt idx="12">
                  <c:v>1.4135097371689578</c:v>
                </c:pt>
                <c:pt idx="13">
                  <c:v>0.1043765385715632</c:v>
                </c:pt>
                <c:pt idx="14">
                  <c:v>1.6319326557760858</c:v>
                </c:pt>
                <c:pt idx="15">
                  <c:v>1.1263241118960534</c:v>
                </c:pt>
                <c:pt idx="16">
                  <c:v>0.27169981355841716</c:v>
                </c:pt>
                <c:pt idx="17">
                  <c:v>0.18090482880778486</c:v>
                </c:pt>
                <c:pt idx="18">
                  <c:v>0.13065384944978378</c:v>
                </c:pt>
                <c:pt idx="19">
                  <c:v>0.23868101703644934</c:v>
                </c:pt>
                <c:pt idx="20">
                  <c:v>1.8199921330299718</c:v>
                </c:pt>
                <c:pt idx="21">
                  <c:v>0.20204703737529697</c:v>
                </c:pt>
                <c:pt idx="22">
                  <c:v>-0.80973756563125143</c:v>
                </c:pt>
                <c:pt idx="23">
                  <c:v>-3.6955759939947062E-2</c:v>
                </c:pt>
                <c:pt idx="24">
                  <c:v>0.96067191783918293</c:v>
                </c:pt>
                <c:pt idx="25">
                  <c:v>0.29124074579654452</c:v>
                </c:pt>
                <c:pt idx="26">
                  <c:v>0.21794780460034338</c:v>
                </c:pt>
                <c:pt idx="27">
                  <c:v>-0.46574414477937098</c:v>
                </c:pt>
                <c:pt idx="28">
                  <c:v>-0.41001249984985999</c:v>
                </c:pt>
                <c:pt idx="29">
                  <c:v>0.95987733054440605</c:v>
                </c:pt>
                <c:pt idx="30">
                  <c:v>-2.4357684979357377E-2</c:v>
                </c:pt>
                <c:pt idx="31">
                  <c:v>0.29500421365888313</c:v>
                </c:pt>
                <c:pt idx="32">
                  <c:v>0.70180533364750208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'SR and retrospective'!$D$4:$D$37</c15:f>
                <c15:dlblRangeCache>
                  <c:ptCount val="34"/>
                  <c:pt idx="0">
                    <c:v>1959</c:v>
                  </c:pt>
                  <c:pt idx="1">
                    <c:v>1961</c:v>
                  </c:pt>
                  <c:pt idx="2">
                    <c:v>1963</c:v>
                  </c:pt>
                  <c:pt idx="3">
                    <c:v>1965</c:v>
                  </c:pt>
                  <c:pt idx="4">
                    <c:v>1967</c:v>
                  </c:pt>
                  <c:pt idx="5">
                    <c:v>1969</c:v>
                  </c:pt>
                  <c:pt idx="6">
                    <c:v>1971</c:v>
                  </c:pt>
                  <c:pt idx="7">
                    <c:v>1973</c:v>
                  </c:pt>
                  <c:pt idx="8">
                    <c:v>1975</c:v>
                  </c:pt>
                  <c:pt idx="9">
                    <c:v>1977</c:v>
                  </c:pt>
                  <c:pt idx="10">
                    <c:v>1979</c:v>
                  </c:pt>
                  <c:pt idx="11">
                    <c:v>1981</c:v>
                  </c:pt>
                  <c:pt idx="12">
                    <c:v>1983</c:v>
                  </c:pt>
                  <c:pt idx="13">
                    <c:v>1985</c:v>
                  </c:pt>
                  <c:pt idx="14">
                    <c:v>1987</c:v>
                  </c:pt>
                  <c:pt idx="15">
                    <c:v>1989</c:v>
                  </c:pt>
                  <c:pt idx="16">
                    <c:v>1991</c:v>
                  </c:pt>
                  <c:pt idx="17">
                    <c:v>1993</c:v>
                  </c:pt>
                  <c:pt idx="18">
                    <c:v>1995</c:v>
                  </c:pt>
                  <c:pt idx="19">
                    <c:v>1997</c:v>
                  </c:pt>
                  <c:pt idx="20">
                    <c:v>1999</c:v>
                  </c:pt>
                  <c:pt idx="21">
                    <c:v>2001</c:v>
                  </c:pt>
                  <c:pt idx="22">
                    <c:v>2003</c:v>
                  </c:pt>
                  <c:pt idx="23">
                    <c:v>2005</c:v>
                  </c:pt>
                  <c:pt idx="24">
                    <c:v>2007</c:v>
                  </c:pt>
                  <c:pt idx="25">
                    <c:v>2009</c:v>
                  </c:pt>
                  <c:pt idx="26">
                    <c:v>2011</c:v>
                  </c:pt>
                  <c:pt idx="27">
                    <c:v>2013</c:v>
                  </c:pt>
                  <c:pt idx="28">
                    <c:v>2015</c:v>
                  </c:pt>
                  <c:pt idx="29">
                    <c:v>2017</c:v>
                  </c:pt>
                  <c:pt idx="30">
                    <c:v>2019</c:v>
                  </c:pt>
                  <c:pt idx="31">
                    <c:v>2021</c:v>
                  </c:pt>
                  <c:pt idx="32">
                    <c:v>2023</c:v>
                  </c:pt>
                  <c:pt idx="33">
                    <c:v>2025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DCF-4E9F-85AF-104B21537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03216"/>
        <c:axId val="111982640"/>
      </c:scatterChart>
      <c:valAx>
        <c:axId val="12360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82640"/>
        <c:crosses val="autoZero"/>
        <c:crossBetween val="midCat"/>
      </c:valAx>
      <c:valAx>
        <c:axId val="11198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lnR/S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0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Exploitation rate 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'SR and retrospective'!$K$3</c:f>
              <c:strCache>
                <c:ptCount val="1"/>
                <c:pt idx="0">
                  <c:v>historical 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'SR and retrospective'!$D$4:$D$37</c:f>
              <c:numCache>
                <c:formatCode>General</c:formatCode>
                <c:ptCount val="34"/>
                <c:pt idx="0">
                  <c:v>1959</c:v>
                </c:pt>
                <c:pt idx="1">
                  <c:v>1961</c:v>
                </c:pt>
                <c:pt idx="2">
                  <c:v>1963</c:v>
                </c:pt>
                <c:pt idx="3">
                  <c:v>1965</c:v>
                </c:pt>
                <c:pt idx="4">
                  <c:v>1967</c:v>
                </c:pt>
                <c:pt idx="5">
                  <c:v>1969</c:v>
                </c:pt>
                <c:pt idx="6">
                  <c:v>1971</c:v>
                </c:pt>
                <c:pt idx="7">
                  <c:v>1973</c:v>
                </c:pt>
                <c:pt idx="8">
                  <c:v>1975</c:v>
                </c:pt>
                <c:pt idx="9">
                  <c:v>1977</c:v>
                </c:pt>
                <c:pt idx="10">
                  <c:v>1979</c:v>
                </c:pt>
                <c:pt idx="11">
                  <c:v>1981</c:v>
                </c:pt>
                <c:pt idx="12">
                  <c:v>1983</c:v>
                </c:pt>
                <c:pt idx="13">
                  <c:v>1985</c:v>
                </c:pt>
                <c:pt idx="14">
                  <c:v>1987</c:v>
                </c:pt>
                <c:pt idx="15">
                  <c:v>1989</c:v>
                </c:pt>
                <c:pt idx="16">
                  <c:v>1991</c:v>
                </c:pt>
                <c:pt idx="17">
                  <c:v>1993</c:v>
                </c:pt>
                <c:pt idx="18">
                  <c:v>1995</c:v>
                </c:pt>
                <c:pt idx="19">
                  <c:v>1997</c:v>
                </c:pt>
                <c:pt idx="20">
                  <c:v>1999</c:v>
                </c:pt>
                <c:pt idx="21">
                  <c:v>2001</c:v>
                </c:pt>
                <c:pt idx="22">
                  <c:v>2003</c:v>
                </c:pt>
                <c:pt idx="23">
                  <c:v>2005</c:v>
                </c:pt>
                <c:pt idx="24">
                  <c:v>2007</c:v>
                </c:pt>
                <c:pt idx="25">
                  <c:v>2009</c:v>
                </c:pt>
                <c:pt idx="26">
                  <c:v>2011</c:v>
                </c:pt>
                <c:pt idx="27">
                  <c:v>2013</c:v>
                </c:pt>
                <c:pt idx="28">
                  <c:v>2015</c:v>
                </c:pt>
                <c:pt idx="29">
                  <c:v>2017</c:v>
                </c:pt>
                <c:pt idx="30">
                  <c:v>2019</c:v>
                </c:pt>
                <c:pt idx="31">
                  <c:v>2021</c:v>
                </c:pt>
                <c:pt idx="32">
                  <c:v>2023</c:v>
                </c:pt>
                <c:pt idx="33">
                  <c:v>2025</c:v>
                </c:pt>
              </c:numCache>
            </c:numRef>
          </c:xVal>
          <c:yVal>
            <c:numRef>
              <c:f>'SR and retrospective'!$K$4:$K$37</c:f>
              <c:numCache>
                <c:formatCode>General</c:formatCode>
                <c:ptCount val="34"/>
                <c:pt idx="0">
                  <c:v>0.83312835571833366</c:v>
                </c:pt>
                <c:pt idx="1">
                  <c:v>0.42169468666335669</c:v>
                </c:pt>
                <c:pt idx="2">
                  <c:v>0.64357656844236499</c:v>
                </c:pt>
                <c:pt idx="3">
                  <c:v>0.48527708461662139</c:v>
                </c:pt>
                <c:pt idx="4">
                  <c:v>0.85873266027354755</c:v>
                </c:pt>
                <c:pt idx="5">
                  <c:v>0.61059946925583131</c:v>
                </c:pt>
                <c:pt idx="6">
                  <c:v>0.81512943127589277</c:v>
                </c:pt>
                <c:pt idx="7">
                  <c:v>0.74217149834567508</c:v>
                </c:pt>
                <c:pt idx="8">
                  <c:v>0.72065762762428343</c:v>
                </c:pt>
                <c:pt idx="9">
                  <c:v>0.70913997650278915</c:v>
                </c:pt>
                <c:pt idx="10">
                  <c:v>0.75280308689458297</c:v>
                </c:pt>
                <c:pt idx="11">
                  <c:v>0.75978535152498394</c:v>
                </c:pt>
                <c:pt idx="12">
                  <c:v>0.69818247597418415</c:v>
                </c:pt>
                <c:pt idx="13">
                  <c:v>0.66062917033826618</c:v>
                </c:pt>
                <c:pt idx="14">
                  <c:v>0.55052662709765077</c:v>
                </c:pt>
                <c:pt idx="15">
                  <c:v>0.56387520834249616</c:v>
                </c:pt>
                <c:pt idx="16">
                  <c:v>0.41629630571689202</c:v>
                </c:pt>
                <c:pt idx="17">
                  <c:v>0.36595305631384067</c:v>
                </c:pt>
                <c:pt idx="18">
                  <c:v>0.44399051807433954</c:v>
                </c:pt>
                <c:pt idx="19">
                  <c:v>0.65238252027528498</c:v>
                </c:pt>
                <c:pt idx="20">
                  <c:v>4.5252496698551796E-2</c:v>
                </c:pt>
                <c:pt idx="21">
                  <c:v>6.8110685401886029E-2</c:v>
                </c:pt>
                <c:pt idx="22">
                  <c:v>8.5318350515463923E-2</c:v>
                </c:pt>
                <c:pt idx="23">
                  <c:v>0.10743424518743667</c:v>
                </c:pt>
                <c:pt idx="24">
                  <c:v>9.893380447585394E-2</c:v>
                </c:pt>
                <c:pt idx="25">
                  <c:v>0.22828976059322234</c:v>
                </c:pt>
                <c:pt idx="26">
                  <c:v>0.38074915524831049</c:v>
                </c:pt>
                <c:pt idx="27">
                  <c:v>0.41221560013986824</c:v>
                </c:pt>
                <c:pt idx="28">
                  <c:v>8.4606996206120264E-2</c:v>
                </c:pt>
                <c:pt idx="29">
                  <c:v>4.7972953820152223E-2</c:v>
                </c:pt>
                <c:pt idx="30">
                  <c:v>6.2177848035318221E-2</c:v>
                </c:pt>
                <c:pt idx="31">
                  <c:v>3.4544374514801947E-2</c:v>
                </c:pt>
                <c:pt idx="32">
                  <c:v>9.2384668855388014E-2</c:v>
                </c:pt>
                <c:pt idx="33" formatCode="0.00E+00">
                  <c:v>6.4935064935064929E-2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B7-4AB2-A6DE-B1312DF61A23}"/>
            </c:ext>
          </c:extLst>
        </c:ser>
        <c:ser>
          <c:idx val="1"/>
          <c:order val="1"/>
          <c:tx>
            <c:strRef>
              <c:f>'SR and retrospective'!$M$3</c:f>
              <c:strCache>
                <c:ptCount val="1"/>
                <c:pt idx="0">
                  <c:v>retro 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'SR and retrospective'!$D$4:$D$37</c:f>
              <c:numCache>
                <c:formatCode>General</c:formatCode>
                <c:ptCount val="34"/>
                <c:pt idx="0">
                  <c:v>1959</c:v>
                </c:pt>
                <c:pt idx="1">
                  <c:v>1961</c:v>
                </c:pt>
                <c:pt idx="2">
                  <c:v>1963</c:v>
                </c:pt>
                <c:pt idx="3">
                  <c:v>1965</c:v>
                </c:pt>
                <c:pt idx="4">
                  <c:v>1967</c:v>
                </c:pt>
                <c:pt idx="5">
                  <c:v>1969</c:v>
                </c:pt>
                <c:pt idx="6">
                  <c:v>1971</c:v>
                </c:pt>
                <c:pt idx="7">
                  <c:v>1973</c:v>
                </c:pt>
                <c:pt idx="8">
                  <c:v>1975</c:v>
                </c:pt>
                <c:pt idx="9">
                  <c:v>1977</c:v>
                </c:pt>
                <c:pt idx="10">
                  <c:v>1979</c:v>
                </c:pt>
                <c:pt idx="11">
                  <c:v>1981</c:v>
                </c:pt>
                <c:pt idx="12">
                  <c:v>1983</c:v>
                </c:pt>
                <c:pt idx="13">
                  <c:v>1985</c:v>
                </c:pt>
                <c:pt idx="14">
                  <c:v>1987</c:v>
                </c:pt>
                <c:pt idx="15">
                  <c:v>1989</c:v>
                </c:pt>
                <c:pt idx="16">
                  <c:v>1991</c:v>
                </c:pt>
                <c:pt idx="17">
                  <c:v>1993</c:v>
                </c:pt>
                <c:pt idx="18">
                  <c:v>1995</c:v>
                </c:pt>
                <c:pt idx="19">
                  <c:v>1997</c:v>
                </c:pt>
                <c:pt idx="20">
                  <c:v>1999</c:v>
                </c:pt>
                <c:pt idx="21">
                  <c:v>2001</c:v>
                </c:pt>
                <c:pt idx="22">
                  <c:v>2003</c:v>
                </c:pt>
                <c:pt idx="23">
                  <c:v>2005</c:v>
                </c:pt>
                <c:pt idx="24">
                  <c:v>2007</c:v>
                </c:pt>
                <c:pt idx="25">
                  <c:v>2009</c:v>
                </c:pt>
                <c:pt idx="26">
                  <c:v>2011</c:v>
                </c:pt>
                <c:pt idx="27">
                  <c:v>2013</c:v>
                </c:pt>
                <c:pt idx="28">
                  <c:v>2015</c:v>
                </c:pt>
                <c:pt idx="29">
                  <c:v>2017</c:v>
                </c:pt>
                <c:pt idx="30">
                  <c:v>2019</c:v>
                </c:pt>
                <c:pt idx="31">
                  <c:v>2021</c:v>
                </c:pt>
                <c:pt idx="32">
                  <c:v>2023</c:v>
                </c:pt>
                <c:pt idx="33">
                  <c:v>2025</c:v>
                </c:pt>
              </c:numCache>
            </c:numRef>
          </c:xVal>
          <c:yVal>
            <c:numRef>
              <c:f>'SR and retrospective'!$M$4:$M$37</c:f>
              <c:numCache>
                <c:formatCode>General</c:formatCode>
                <c:ptCount val="34"/>
                <c:pt idx="0">
                  <c:v>0.32967251806722747</c:v>
                </c:pt>
                <c:pt idx="1">
                  <c:v>0.24559465729182237</c:v>
                </c:pt>
                <c:pt idx="2">
                  <c:v>0.63420915499868225</c:v>
                </c:pt>
                <c:pt idx="3">
                  <c:v>0.14083180694794731</c:v>
                </c:pt>
                <c:pt idx="4">
                  <c:v>0.74860853961815432</c:v>
                </c:pt>
                <c:pt idx="5">
                  <c:v>0.50028649937223768</c:v>
                </c:pt>
                <c:pt idx="6">
                  <c:v>0.69896893937862459</c:v>
                </c:pt>
                <c:pt idx="7">
                  <c:v>0.63703254487525662</c:v>
                </c:pt>
                <c:pt idx="8">
                  <c:v>0.54229866906019675</c:v>
                </c:pt>
                <c:pt idx="9">
                  <c:v>0.69063372545614077</c:v>
                </c:pt>
                <c:pt idx="10">
                  <c:v>0.72230350141597122</c:v>
                </c:pt>
                <c:pt idx="11">
                  <c:v>0.72374984345009241</c:v>
                </c:pt>
                <c:pt idx="12">
                  <c:v>0.67361808533260725</c:v>
                </c:pt>
                <c:pt idx="13">
                  <c:v>0.69623750227146297</c:v>
                </c:pt>
                <c:pt idx="14">
                  <c:v>0.38705971934288058</c:v>
                </c:pt>
                <c:pt idx="15">
                  <c:v>0.68292661772032581</c:v>
                </c:pt>
                <c:pt idx="16">
                  <c:v>0.69124091644650398</c:v>
                </c:pt>
                <c:pt idx="17">
                  <c:v>0.63737110819317666</c:v>
                </c:pt>
                <c:pt idx="18">
                  <c:v>0.5477437174563452</c:v>
                </c:pt>
                <c:pt idx="19">
                  <c:v>0.37276016453324645</c:v>
                </c:pt>
                <c:pt idx="20">
                  <c:v>0.15375682870157983</c:v>
                </c:pt>
                <c:pt idx="21">
                  <c:v>0.7071246651287465</c:v>
                </c:pt>
                <c:pt idx="22">
                  <c:v>0.73342971988995231</c:v>
                </c:pt>
                <c:pt idx="23">
                  <c:v>0.60438222711787781</c:v>
                </c:pt>
                <c:pt idx="24">
                  <c:v>0.38507509052218863</c:v>
                </c:pt>
                <c:pt idx="25">
                  <c:v>0.63627073946147916</c:v>
                </c:pt>
                <c:pt idx="26">
                  <c:v>0.67591959095598164</c:v>
                </c:pt>
                <c:pt idx="27">
                  <c:v>0.6184072406881802</c:v>
                </c:pt>
                <c:pt idx="28">
                  <c:v>0.17981213682539365</c:v>
                </c:pt>
                <c:pt idx="29">
                  <c:v>0</c:v>
                </c:pt>
                <c:pt idx="30">
                  <c:v>0.44380523530309318</c:v>
                </c:pt>
                <c:pt idx="31">
                  <c:v>0.32532021440572428</c:v>
                </c:pt>
                <c:pt idx="32">
                  <c:v>0.43570065479817777</c:v>
                </c:pt>
                <c:pt idx="33">
                  <c:v>0.62294510014171312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1E-48C4-A773-4BCBA19BD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58719"/>
        <c:axId val="275737983"/>
      </c:scatterChart>
      <c:valAx>
        <c:axId val="38185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37983"/>
        <c:crosses val="autoZero"/>
        <c:crossBetween val="midCat"/>
      </c:valAx>
      <c:valAx>
        <c:axId val="27573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Catch/Run size 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858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Pink retrospective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'SR and retrospective'!$G$3</c:f>
              <c:strCache>
                <c:ptCount val="1"/>
                <c:pt idx="0">
                  <c:v>obs run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'SR and retrospective'!$D$4:$D$36</c:f>
              <c:numCache>
                <c:formatCode>General</c:formatCode>
                <c:ptCount val="33"/>
                <c:pt idx="0">
                  <c:v>1959</c:v>
                </c:pt>
                <c:pt idx="1">
                  <c:v>1961</c:v>
                </c:pt>
                <c:pt idx="2">
                  <c:v>1963</c:v>
                </c:pt>
                <c:pt idx="3">
                  <c:v>1965</c:v>
                </c:pt>
                <c:pt idx="4">
                  <c:v>1967</c:v>
                </c:pt>
                <c:pt idx="5">
                  <c:v>1969</c:v>
                </c:pt>
                <c:pt idx="6">
                  <c:v>1971</c:v>
                </c:pt>
                <c:pt idx="7">
                  <c:v>1973</c:v>
                </c:pt>
                <c:pt idx="8">
                  <c:v>1975</c:v>
                </c:pt>
                <c:pt idx="9">
                  <c:v>1977</c:v>
                </c:pt>
                <c:pt idx="10">
                  <c:v>1979</c:v>
                </c:pt>
                <c:pt idx="11">
                  <c:v>1981</c:v>
                </c:pt>
                <c:pt idx="12">
                  <c:v>1983</c:v>
                </c:pt>
                <c:pt idx="13">
                  <c:v>1985</c:v>
                </c:pt>
                <c:pt idx="14">
                  <c:v>1987</c:v>
                </c:pt>
                <c:pt idx="15">
                  <c:v>1989</c:v>
                </c:pt>
                <c:pt idx="16">
                  <c:v>1991</c:v>
                </c:pt>
                <c:pt idx="17">
                  <c:v>1993</c:v>
                </c:pt>
                <c:pt idx="18">
                  <c:v>1995</c:v>
                </c:pt>
                <c:pt idx="19">
                  <c:v>1997</c:v>
                </c:pt>
                <c:pt idx="20">
                  <c:v>1999</c:v>
                </c:pt>
                <c:pt idx="21">
                  <c:v>2001</c:v>
                </c:pt>
                <c:pt idx="22">
                  <c:v>2003</c:v>
                </c:pt>
                <c:pt idx="23">
                  <c:v>2005</c:v>
                </c:pt>
                <c:pt idx="24">
                  <c:v>2007</c:v>
                </c:pt>
                <c:pt idx="25">
                  <c:v>2009</c:v>
                </c:pt>
                <c:pt idx="26">
                  <c:v>2011</c:v>
                </c:pt>
                <c:pt idx="27">
                  <c:v>2013</c:v>
                </c:pt>
                <c:pt idx="28">
                  <c:v>2015</c:v>
                </c:pt>
                <c:pt idx="29">
                  <c:v>2017</c:v>
                </c:pt>
                <c:pt idx="30">
                  <c:v>2019</c:v>
                </c:pt>
                <c:pt idx="31">
                  <c:v>2021</c:v>
                </c:pt>
                <c:pt idx="32">
                  <c:v>2023</c:v>
                </c:pt>
              </c:numCache>
            </c:numRef>
          </c:xVal>
          <c:yVal>
            <c:numRef>
              <c:f>'SR and retrospective'!$G$4:$G$36</c:f>
              <c:numCache>
                <c:formatCode>General</c:formatCode>
                <c:ptCount val="33"/>
                <c:pt idx="0">
                  <c:v>6460055</c:v>
                </c:pt>
                <c:pt idx="1">
                  <c:v>1889246</c:v>
                </c:pt>
                <c:pt idx="2">
                  <c:v>5482350</c:v>
                </c:pt>
                <c:pt idx="3">
                  <c:v>2319887</c:v>
                </c:pt>
                <c:pt idx="4">
                  <c:v>12962791</c:v>
                </c:pt>
                <c:pt idx="5">
                  <c:v>3931461</c:v>
                </c:pt>
                <c:pt idx="6">
                  <c:v>9763328</c:v>
                </c:pt>
                <c:pt idx="7">
                  <c:v>6803984</c:v>
                </c:pt>
                <c:pt idx="8">
                  <c:v>4893955</c:v>
                </c:pt>
                <c:pt idx="9">
                  <c:v>8209485</c:v>
                </c:pt>
                <c:pt idx="10">
                  <c:v>14404120</c:v>
                </c:pt>
                <c:pt idx="11">
                  <c:v>18684689</c:v>
                </c:pt>
                <c:pt idx="12">
                  <c:v>15346097</c:v>
                </c:pt>
                <c:pt idx="13">
                  <c:v>19038024</c:v>
                </c:pt>
                <c:pt idx="14">
                  <c:v>7171773</c:v>
                </c:pt>
                <c:pt idx="15">
                  <c:v>16484275</c:v>
                </c:pt>
                <c:pt idx="16">
                  <c:v>22173639</c:v>
                </c:pt>
                <c:pt idx="17">
                  <c:v>16983498</c:v>
                </c:pt>
                <c:pt idx="18">
                  <c:v>12903708</c:v>
                </c:pt>
                <c:pt idx="19">
                  <c:v>8175964</c:v>
                </c:pt>
                <c:pt idx="20">
                  <c:v>3608265</c:v>
                </c:pt>
                <c:pt idx="21">
                  <c:v>21261774</c:v>
                </c:pt>
                <c:pt idx="22">
                  <c:v>24250000</c:v>
                </c:pt>
                <c:pt idx="23">
                  <c:v>9870000</c:v>
                </c:pt>
                <c:pt idx="24">
                  <c:v>8490000</c:v>
                </c:pt>
                <c:pt idx="25">
                  <c:v>19993043</c:v>
                </c:pt>
                <c:pt idx="26">
                  <c:v>20645120</c:v>
                </c:pt>
                <c:pt idx="27">
                  <c:v>15897819</c:v>
                </c:pt>
                <c:pt idx="28">
                  <c:v>5865236</c:v>
                </c:pt>
                <c:pt idx="29">
                  <c:v>3563091</c:v>
                </c:pt>
                <c:pt idx="30">
                  <c:v>8858203</c:v>
                </c:pt>
                <c:pt idx="31">
                  <c:v>8107514</c:v>
                </c:pt>
                <c:pt idx="32">
                  <c:v>10513292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0F-4BE2-9A6B-CB7B3D16E48B}"/>
            </c:ext>
          </c:extLst>
        </c:ser>
        <c:ser>
          <c:idx val="1"/>
          <c:order val="1"/>
          <c:tx>
            <c:strRef>
              <c:f>'SR and retrospective'!$L$3</c:f>
              <c:strCache>
                <c:ptCount val="1"/>
                <c:pt idx="0">
                  <c:v>retro Run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'SR and retrospective'!$D$4:$D$37</c:f>
              <c:numCache>
                <c:formatCode>General</c:formatCode>
                <c:ptCount val="34"/>
                <c:pt idx="0">
                  <c:v>1959</c:v>
                </c:pt>
                <c:pt idx="1">
                  <c:v>1961</c:v>
                </c:pt>
                <c:pt idx="2">
                  <c:v>1963</c:v>
                </c:pt>
                <c:pt idx="3">
                  <c:v>1965</c:v>
                </c:pt>
                <c:pt idx="4">
                  <c:v>1967</c:v>
                </c:pt>
                <c:pt idx="5">
                  <c:v>1969</c:v>
                </c:pt>
                <c:pt idx="6">
                  <c:v>1971</c:v>
                </c:pt>
                <c:pt idx="7">
                  <c:v>1973</c:v>
                </c:pt>
                <c:pt idx="8">
                  <c:v>1975</c:v>
                </c:pt>
                <c:pt idx="9">
                  <c:v>1977</c:v>
                </c:pt>
                <c:pt idx="10">
                  <c:v>1979</c:v>
                </c:pt>
                <c:pt idx="11">
                  <c:v>1981</c:v>
                </c:pt>
                <c:pt idx="12">
                  <c:v>1983</c:v>
                </c:pt>
                <c:pt idx="13">
                  <c:v>1985</c:v>
                </c:pt>
                <c:pt idx="14">
                  <c:v>1987</c:v>
                </c:pt>
                <c:pt idx="15">
                  <c:v>1989</c:v>
                </c:pt>
                <c:pt idx="16">
                  <c:v>1991</c:v>
                </c:pt>
                <c:pt idx="17">
                  <c:v>1993</c:v>
                </c:pt>
                <c:pt idx="18">
                  <c:v>1995</c:v>
                </c:pt>
                <c:pt idx="19">
                  <c:v>1997</c:v>
                </c:pt>
                <c:pt idx="20">
                  <c:v>1999</c:v>
                </c:pt>
                <c:pt idx="21">
                  <c:v>2001</c:v>
                </c:pt>
                <c:pt idx="22">
                  <c:v>2003</c:v>
                </c:pt>
                <c:pt idx="23">
                  <c:v>2005</c:v>
                </c:pt>
                <c:pt idx="24">
                  <c:v>2007</c:v>
                </c:pt>
                <c:pt idx="25">
                  <c:v>2009</c:v>
                </c:pt>
                <c:pt idx="26">
                  <c:v>2011</c:v>
                </c:pt>
                <c:pt idx="27">
                  <c:v>2013</c:v>
                </c:pt>
                <c:pt idx="28">
                  <c:v>2015</c:v>
                </c:pt>
                <c:pt idx="29">
                  <c:v>2017</c:v>
                </c:pt>
                <c:pt idx="30">
                  <c:v>2019</c:v>
                </c:pt>
                <c:pt idx="31">
                  <c:v>2021</c:v>
                </c:pt>
                <c:pt idx="32">
                  <c:v>2023</c:v>
                </c:pt>
                <c:pt idx="33">
                  <c:v>2025</c:v>
                </c:pt>
              </c:numCache>
            </c:numRef>
          </c:xVal>
          <c:yVal>
            <c:numRef>
              <c:f>'SR and retrospective'!$L$4:$L$37</c:f>
              <c:numCache>
                <c:formatCode>General</c:formatCode>
                <c:ptCount val="34"/>
                <c:pt idx="0">
                  <c:v>6460055</c:v>
                </c:pt>
                <c:pt idx="1">
                  <c:v>5559197.9936379986</c:v>
                </c:pt>
                <c:pt idx="2">
                  <c:v>15639912.10001885</c:v>
                </c:pt>
                <c:pt idx="3">
                  <c:v>4736237.8509931518</c:v>
                </c:pt>
                <c:pt idx="4">
                  <c:v>33548111.714024208</c:v>
                </c:pt>
                <c:pt idx="5">
                  <c:v>9625122.1950250082</c:v>
                </c:pt>
                <c:pt idx="6">
                  <c:v>22412526.908048883</c:v>
                </c:pt>
                <c:pt idx="7">
                  <c:v>15848709.4170055</c:v>
                </c:pt>
                <c:pt idx="8">
                  <c:v>10945654.21652215</c:v>
                </c:pt>
                <c:pt idx="9">
                  <c:v>21229297.261717342</c:v>
                </c:pt>
                <c:pt idx="10">
                  <c:v>26556163.524571165</c:v>
                </c:pt>
                <c:pt idx="11">
                  <c:v>26864009.173176356</c:v>
                </c:pt>
                <c:pt idx="12">
                  <c:v>19163942.676959991</c:v>
                </c:pt>
                <c:pt idx="13">
                  <c:v>22010515.758480642</c:v>
                </c:pt>
                <c:pt idx="14">
                  <c:v>7263431.1502807802</c:v>
                </c:pt>
                <c:pt idx="15">
                  <c:v>20241222.867413379</c:v>
                </c:pt>
                <c:pt idx="16">
                  <c:v>21311256.107786242</c:v>
                </c:pt>
                <c:pt idx="17">
                  <c:v>15874122.032734141</c:v>
                </c:pt>
                <c:pt idx="18">
                  <c:v>11143808.264864068</c:v>
                </c:pt>
                <c:pt idx="19">
                  <c:v>7045118.6992713008</c:v>
                </c:pt>
                <c:pt idx="20">
                  <c:v>4824348.6879325099</c:v>
                </c:pt>
                <c:pt idx="21">
                  <c:v>23705307.679554671</c:v>
                </c:pt>
                <c:pt idx="22">
                  <c:v>29123497.036421612</c:v>
                </c:pt>
                <c:pt idx="23">
                  <c:v>13729127.933575574</c:v>
                </c:pt>
                <c:pt idx="24">
                  <c:v>7232326.5235965215</c:v>
                </c:pt>
                <c:pt idx="25">
                  <c:v>15791824.632154884</c:v>
                </c:pt>
                <c:pt idx="26">
                  <c:v>19419483.582849223</c:v>
                </c:pt>
                <c:pt idx="27">
                  <c:v>14565904.583321922</c:v>
                </c:pt>
                <c:pt idx="28">
                  <c:v>5012323.5839166064</c:v>
                </c:pt>
                <c:pt idx="29">
                  <c:v>3077313.163495014</c:v>
                </c:pt>
                <c:pt idx="30">
                  <c:v>8281850.4135448569</c:v>
                </c:pt>
                <c:pt idx="31">
                  <c:v>6406315.9962689718</c:v>
                </c:pt>
                <c:pt idx="32">
                  <c:v>8119258.059990094</c:v>
                </c:pt>
                <c:pt idx="33">
                  <c:v>14858927.657050552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0F-4BE2-9A6B-CB7B3D16E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797231"/>
        <c:axId val="1068576575"/>
      </c:scatterChart>
      <c:valAx>
        <c:axId val="106279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76575"/>
        <c:crosses val="autoZero"/>
        <c:crossBetween val="midCat"/>
      </c:valAx>
      <c:valAx>
        <c:axId val="106857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797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 versus run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'SR and retrospective'!$K$3</c:f>
              <c:strCache>
                <c:ptCount val="1"/>
                <c:pt idx="0">
                  <c:v>historical Ut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325E17E-B215-4478-8A17-DF6AFA83A7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070-4537-A3E4-35A27DC5D0B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D099441-CC7F-4578-89F8-C489D57106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070-4537-A3E4-35A27DC5D0B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992B60E-4426-4C68-8F16-67C57635DF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070-4537-A3E4-35A27DC5D0B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4ECAB87-9010-47C5-B078-126DA18421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070-4537-A3E4-35A27DC5D0B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AC658E6-AFE8-464F-BB32-3D977BC983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070-4537-A3E4-35A27DC5D0B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0372691-B779-423E-B001-5B19CB71BD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070-4537-A3E4-35A27DC5D0B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8714AC4-FFCA-4B66-8C8D-FFC8684E88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070-4537-A3E4-35A27DC5D0B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1AE81CB-2762-44FC-809C-218FEC510D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070-4537-A3E4-35A27DC5D0B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5557F37-26D2-4381-80FF-35ABE7D905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070-4537-A3E4-35A27DC5D0B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081CCF7-E6AD-40DF-B568-6692CB0F35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070-4537-A3E4-35A27DC5D0B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B52AFC3-7CEC-463B-BDDD-F8DBC3F662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070-4537-A3E4-35A27DC5D0B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EB297CB-9398-41E4-965C-3A486CBC2E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070-4537-A3E4-35A27DC5D0B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E278436-4AB2-4FB8-93F1-98ACDCAEAE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070-4537-A3E4-35A27DC5D0B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EEE8F17-E88A-412D-9BA3-404112CC56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070-4537-A3E4-35A27DC5D0B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6943277-1255-4BA3-962A-85E67B0017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070-4537-A3E4-35A27DC5D0B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F13E0B4-5B86-4F7E-BEA3-3FAFF0FF73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070-4537-A3E4-35A27DC5D0B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5B75C8F-EDEC-4B16-A1F0-04A99B3CBC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070-4537-A3E4-35A27DC5D0B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782BA1E-BB3E-44B2-AE68-B578AFE2A9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070-4537-A3E4-35A27DC5D0B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6113E64-B81E-4586-A671-4FD2319AC4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070-4537-A3E4-35A27DC5D0B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5322688-62F6-4E2A-9236-7B31F7DDA8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070-4537-A3E4-35A27DC5D0B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052DDB3-2720-4F47-8C24-36D91D473E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070-4537-A3E4-35A27DC5D0B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9411F42-E556-484F-A187-3E05500C3E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070-4537-A3E4-35A27DC5D0B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7BDC718-98BC-4598-A7F9-E4DCFC5FD8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070-4537-A3E4-35A27DC5D0B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798401C-ACB9-4F23-8C77-6D1A789DA5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070-4537-A3E4-35A27DC5D0B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754CDE9-3A38-4975-998B-4D169CCF14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070-4537-A3E4-35A27DC5D0B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E950AB7-85C4-439F-8EFD-DB7682DFFE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070-4537-A3E4-35A27DC5D0B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CDF189F-6FF8-4548-AB8B-6ECE4A584E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070-4537-A3E4-35A27DC5D0B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DFD9C63-DAED-4355-99DF-A660802D03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070-4537-A3E4-35A27DC5D0B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0F61FC09-6FE0-4EE4-85EC-2B9DE0CA37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070-4537-A3E4-35A27DC5D0B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2CBB0CA-5769-4041-8276-811EB073DB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070-4537-A3E4-35A27DC5D0B2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8F08A1C1-AE77-45DC-AC82-9484B621DD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070-4537-A3E4-35A27DC5D0B2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EF392494-49A6-449A-8C27-FB05D277C3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070-4537-A3E4-35A27DC5D0B2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F119C33B-B930-4CE5-A9E4-7C14425331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070-4537-A3E4-35A27DC5D0B2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0C58BD3-24A3-4CA7-BCA7-825F7AC930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070-4537-A3E4-35A27DC5D0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'SR and retrospective'!$G$4:$G$37</c:f>
              <c:numCache>
                <c:formatCode>General</c:formatCode>
                <c:ptCount val="34"/>
                <c:pt idx="0">
                  <c:v>6460055</c:v>
                </c:pt>
                <c:pt idx="1">
                  <c:v>1889246</c:v>
                </c:pt>
                <c:pt idx="2">
                  <c:v>5482350</c:v>
                </c:pt>
                <c:pt idx="3">
                  <c:v>2319887</c:v>
                </c:pt>
                <c:pt idx="4">
                  <c:v>12962791</c:v>
                </c:pt>
                <c:pt idx="5">
                  <c:v>3931461</c:v>
                </c:pt>
                <c:pt idx="6">
                  <c:v>9763328</c:v>
                </c:pt>
                <c:pt idx="7">
                  <c:v>6803984</c:v>
                </c:pt>
                <c:pt idx="8">
                  <c:v>4893955</c:v>
                </c:pt>
                <c:pt idx="9">
                  <c:v>8209485</c:v>
                </c:pt>
                <c:pt idx="10">
                  <c:v>14404120</c:v>
                </c:pt>
                <c:pt idx="11">
                  <c:v>18684689</c:v>
                </c:pt>
                <c:pt idx="12">
                  <c:v>15346097</c:v>
                </c:pt>
                <c:pt idx="13">
                  <c:v>19038024</c:v>
                </c:pt>
                <c:pt idx="14">
                  <c:v>7171773</c:v>
                </c:pt>
                <c:pt idx="15">
                  <c:v>16484275</c:v>
                </c:pt>
                <c:pt idx="16">
                  <c:v>22173639</c:v>
                </c:pt>
                <c:pt idx="17">
                  <c:v>16983498</c:v>
                </c:pt>
                <c:pt idx="18">
                  <c:v>12903708</c:v>
                </c:pt>
                <c:pt idx="19">
                  <c:v>8175964</c:v>
                </c:pt>
                <c:pt idx="20">
                  <c:v>3608265</c:v>
                </c:pt>
                <c:pt idx="21">
                  <c:v>21261774</c:v>
                </c:pt>
                <c:pt idx="22">
                  <c:v>24250000</c:v>
                </c:pt>
                <c:pt idx="23">
                  <c:v>9870000</c:v>
                </c:pt>
                <c:pt idx="24">
                  <c:v>8490000</c:v>
                </c:pt>
                <c:pt idx="25">
                  <c:v>19993043</c:v>
                </c:pt>
                <c:pt idx="26">
                  <c:v>20645120</c:v>
                </c:pt>
                <c:pt idx="27">
                  <c:v>15897819</c:v>
                </c:pt>
                <c:pt idx="28">
                  <c:v>5865236</c:v>
                </c:pt>
                <c:pt idx="29">
                  <c:v>3563091</c:v>
                </c:pt>
                <c:pt idx="30">
                  <c:v>8858203</c:v>
                </c:pt>
                <c:pt idx="31">
                  <c:v>8107514</c:v>
                </c:pt>
                <c:pt idx="32">
                  <c:v>10513292</c:v>
                </c:pt>
                <c:pt idx="33" formatCode="0.00E+00">
                  <c:v>19250000</c:v>
                </c:pt>
              </c:numCache>
            </c:numRef>
          </c:xVal>
          <c:yVal>
            <c:numRef>
              <c:f>'SR and retrospective'!$K$4:$K$37</c:f>
              <c:numCache>
                <c:formatCode>General</c:formatCode>
                <c:ptCount val="34"/>
                <c:pt idx="0">
                  <c:v>0.83312835571833366</c:v>
                </c:pt>
                <c:pt idx="1">
                  <c:v>0.42169468666335669</c:v>
                </c:pt>
                <c:pt idx="2">
                  <c:v>0.64357656844236499</c:v>
                </c:pt>
                <c:pt idx="3">
                  <c:v>0.48527708461662139</c:v>
                </c:pt>
                <c:pt idx="4">
                  <c:v>0.85873266027354755</c:v>
                </c:pt>
                <c:pt idx="5">
                  <c:v>0.61059946925583131</c:v>
                </c:pt>
                <c:pt idx="6">
                  <c:v>0.81512943127589277</c:v>
                </c:pt>
                <c:pt idx="7">
                  <c:v>0.74217149834567508</c:v>
                </c:pt>
                <c:pt idx="8">
                  <c:v>0.72065762762428343</c:v>
                </c:pt>
                <c:pt idx="9">
                  <c:v>0.70913997650278915</c:v>
                </c:pt>
                <c:pt idx="10">
                  <c:v>0.75280308689458297</c:v>
                </c:pt>
                <c:pt idx="11">
                  <c:v>0.75978535152498394</c:v>
                </c:pt>
                <c:pt idx="12">
                  <c:v>0.69818247597418415</c:v>
                </c:pt>
                <c:pt idx="13">
                  <c:v>0.66062917033826618</c:v>
                </c:pt>
                <c:pt idx="14">
                  <c:v>0.55052662709765077</c:v>
                </c:pt>
                <c:pt idx="15">
                  <c:v>0.56387520834249616</c:v>
                </c:pt>
                <c:pt idx="16">
                  <c:v>0.41629630571689202</c:v>
                </c:pt>
                <c:pt idx="17">
                  <c:v>0.36595305631384067</c:v>
                </c:pt>
                <c:pt idx="18">
                  <c:v>0.44399051807433954</c:v>
                </c:pt>
                <c:pt idx="19">
                  <c:v>0.65238252027528498</c:v>
                </c:pt>
                <c:pt idx="20">
                  <c:v>4.5252496698551796E-2</c:v>
                </c:pt>
                <c:pt idx="21">
                  <c:v>6.8110685401886029E-2</c:v>
                </c:pt>
                <c:pt idx="22">
                  <c:v>8.5318350515463923E-2</c:v>
                </c:pt>
                <c:pt idx="23">
                  <c:v>0.10743424518743667</c:v>
                </c:pt>
                <c:pt idx="24">
                  <c:v>9.893380447585394E-2</c:v>
                </c:pt>
                <c:pt idx="25">
                  <c:v>0.22828976059322234</c:v>
                </c:pt>
                <c:pt idx="26">
                  <c:v>0.38074915524831049</c:v>
                </c:pt>
                <c:pt idx="27">
                  <c:v>0.41221560013986824</c:v>
                </c:pt>
                <c:pt idx="28">
                  <c:v>8.4606996206120264E-2</c:v>
                </c:pt>
                <c:pt idx="29">
                  <c:v>4.7972953820152223E-2</c:v>
                </c:pt>
                <c:pt idx="30">
                  <c:v>6.2177848035318221E-2</c:v>
                </c:pt>
                <c:pt idx="31">
                  <c:v>3.4544374514801947E-2</c:v>
                </c:pt>
                <c:pt idx="32">
                  <c:v>9.2384668855388014E-2</c:v>
                </c:pt>
                <c:pt idx="33" formatCode="0.00E+00">
                  <c:v>6.4935064935064929E-2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'SR and retrospective'!$D$4:$D$37</c15:f>
                <c15:dlblRangeCache>
                  <c:ptCount val="34"/>
                  <c:pt idx="0">
                    <c:v>1959</c:v>
                  </c:pt>
                  <c:pt idx="1">
                    <c:v>1961</c:v>
                  </c:pt>
                  <c:pt idx="2">
                    <c:v>1963</c:v>
                  </c:pt>
                  <c:pt idx="3">
                    <c:v>1965</c:v>
                  </c:pt>
                  <c:pt idx="4">
                    <c:v>1967</c:v>
                  </c:pt>
                  <c:pt idx="5">
                    <c:v>1969</c:v>
                  </c:pt>
                  <c:pt idx="6">
                    <c:v>1971</c:v>
                  </c:pt>
                  <c:pt idx="7">
                    <c:v>1973</c:v>
                  </c:pt>
                  <c:pt idx="8">
                    <c:v>1975</c:v>
                  </c:pt>
                  <c:pt idx="9">
                    <c:v>1977</c:v>
                  </c:pt>
                  <c:pt idx="10">
                    <c:v>1979</c:v>
                  </c:pt>
                  <c:pt idx="11">
                    <c:v>1981</c:v>
                  </c:pt>
                  <c:pt idx="12">
                    <c:v>1983</c:v>
                  </c:pt>
                  <c:pt idx="13">
                    <c:v>1985</c:v>
                  </c:pt>
                  <c:pt idx="14">
                    <c:v>1987</c:v>
                  </c:pt>
                  <c:pt idx="15">
                    <c:v>1989</c:v>
                  </c:pt>
                  <c:pt idx="16">
                    <c:v>1991</c:v>
                  </c:pt>
                  <c:pt idx="17">
                    <c:v>1993</c:v>
                  </c:pt>
                  <c:pt idx="18">
                    <c:v>1995</c:v>
                  </c:pt>
                  <c:pt idx="19">
                    <c:v>1997</c:v>
                  </c:pt>
                  <c:pt idx="20">
                    <c:v>1999</c:v>
                  </c:pt>
                  <c:pt idx="21">
                    <c:v>2001</c:v>
                  </c:pt>
                  <c:pt idx="22">
                    <c:v>2003</c:v>
                  </c:pt>
                  <c:pt idx="23">
                    <c:v>2005</c:v>
                  </c:pt>
                  <c:pt idx="24">
                    <c:v>2007</c:v>
                  </c:pt>
                  <c:pt idx="25">
                    <c:v>2009</c:v>
                  </c:pt>
                  <c:pt idx="26">
                    <c:v>2011</c:v>
                  </c:pt>
                  <c:pt idx="27">
                    <c:v>2013</c:v>
                  </c:pt>
                  <c:pt idx="28">
                    <c:v>2015</c:v>
                  </c:pt>
                  <c:pt idx="29">
                    <c:v>2017</c:v>
                  </c:pt>
                  <c:pt idx="30">
                    <c:v>2019</c:v>
                  </c:pt>
                  <c:pt idx="31">
                    <c:v>2021</c:v>
                  </c:pt>
                  <c:pt idx="32">
                    <c:v>2023</c:v>
                  </c:pt>
                  <c:pt idx="33">
                    <c:v>2025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070-4537-A3E4-35A27DC5D0B2}"/>
            </c:ext>
          </c:extLst>
        </c:ser>
        <c:ser>
          <c:idx val="1"/>
          <c:order val="1"/>
          <c:tx>
            <c:v>Umsy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'SR and retrospective'!$AC$4:$AC$5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25000000</c:v>
                </c:pt>
              </c:numCache>
            </c:numRef>
          </c:xVal>
          <c:yVal>
            <c:numRef>
              <c:f>'SR and retrospective'!$AD$4:$AD$5</c:f>
              <c:numCache>
                <c:formatCode>General</c:formatCode>
                <c:ptCount val="2"/>
                <c:pt idx="0">
                  <c:v>0.55518848417565259</c:v>
                </c:pt>
                <c:pt idx="1">
                  <c:v>0.55518848417565259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8070-4537-A3E4-35A27DC5D0B2}"/>
            </c:ext>
          </c:extLst>
        </c:ser>
        <c:ser>
          <c:idx val="2"/>
          <c:order val="2"/>
          <c:tx>
            <c:v>Smsy</c:v>
          </c:tx>
          <c:spPr>
            <a:ln w="254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'SR and retrospective'!$AE$4:$AE$15</c:f>
              <c:numCache>
                <c:formatCode>General</c:formatCode>
                <c:ptCount val="12"/>
                <c:pt idx="0">
                  <c:v>0</c:v>
                </c:pt>
                <c:pt idx="1">
                  <c:v>5801057.7296948181</c:v>
                </c:pt>
                <c:pt idx="2">
                  <c:v>7801057.7296948181</c:v>
                </c:pt>
                <c:pt idx="3">
                  <c:v>9801057.7296948172</c:v>
                </c:pt>
                <c:pt idx="4">
                  <c:v>11801057.729694817</c:v>
                </c:pt>
                <c:pt idx="5">
                  <c:v>13801057.729694817</c:v>
                </c:pt>
                <c:pt idx="6">
                  <c:v>15801057.729694817</c:v>
                </c:pt>
                <c:pt idx="7">
                  <c:v>17801057.729694817</c:v>
                </c:pt>
                <c:pt idx="8">
                  <c:v>19801057.729694817</c:v>
                </c:pt>
                <c:pt idx="9">
                  <c:v>21801057.729694817</c:v>
                </c:pt>
                <c:pt idx="10">
                  <c:v>23801057.729694817</c:v>
                </c:pt>
                <c:pt idx="11">
                  <c:v>25801057.729694817</c:v>
                </c:pt>
              </c:numCache>
            </c:numRef>
          </c:xVal>
          <c:yVal>
            <c:numRef>
              <c:f>'SR and retrospective'!$AF$4:$AF$15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0.25637549026037537</c:v>
                </c:pt>
                <c:pt idx="3">
                  <c:v>0.40811921634549436</c:v>
                </c:pt>
                <c:pt idx="4">
                  <c:v>0.50842900165654581</c:v>
                </c:pt>
                <c:pt idx="5">
                  <c:v>0.57966571524347232</c:v>
                </c:pt>
                <c:pt idx="6">
                  <c:v>0.63286902504046105</c:v>
                </c:pt>
                <c:pt idx="7">
                  <c:v>0.67411724529055439</c:v>
                </c:pt>
                <c:pt idx="8">
                  <c:v>0.70703293688219426</c:v>
                </c:pt>
                <c:pt idx="9">
                  <c:v>0.73390934505928562</c:v>
                </c:pt>
                <c:pt idx="10">
                  <c:v>0.75626891058470624</c:v>
                </c:pt>
                <c:pt idx="11">
                  <c:v>0.7751620189191587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8070-4537-A3E4-35A27DC5D0B2}"/>
            </c:ext>
          </c:extLst>
        </c:ser>
        <c:ser>
          <c:idx val="3"/>
          <c:order val="3"/>
          <c:tx>
            <c:v>Max Util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'SR and retrospective'!$AG$4:$AG$16</c:f>
              <c:numCache>
                <c:formatCode>General</c:formatCode>
                <c:ptCount val="13"/>
                <c:pt idx="0">
                  <c:v>0</c:v>
                </c:pt>
                <c:pt idx="1">
                  <c:v>3950146.0615187064</c:v>
                </c:pt>
                <c:pt idx="2">
                  <c:v>5950146.0615187064</c:v>
                </c:pt>
                <c:pt idx="3">
                  <c:v>7950146.0615187064</c:v>
                </c:pt>
                <c:pt idx="4">
                  <c:v>9950146.0615187064</c:v>
                </c:pt>
                <c:pt idx="5">
                  <c:v>11950146.061518706</c:v>
                </c:pt>
                <c:pt idx="6">
                  <c:v>13950146.061518706</c:v>
                </c:pt>
                <c:pt idx="7">
                  <c:v>15950146.061518706</c:v>
                </c:pt>
                <c:pt idx="8">
                  <c:v>17950146.061518706</c:v>
                </c:pt>
                <c:pt idx="9">
                  <c:v>19950146.061518706</c:v>
                </c:pt>
                <c:pt idx="10">
                  <c:v>21950146.061518706</c:v>
                </c:pt>
                <c:pt idx="11">
                  <c:v>23950146.061518706</c:v>
                </c:pt>
                <c:pt idx="12">
                  <c:v>25950146.061518706</c:v>
                </c:pt>
              </c:numCache>
            </c:numRef>
          </c:xVal>
          <c:yVal>
            <c:numRef>
              <c:f>'SR and retrospective'!$AH$4:$AH$16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0.28520909105059056</c:v>
                </c:pt>
                <c:pt idx="3">
                  <c:v>0.4269193890759333</c:v>
                </c:pt>
                <c:pt idx="4">
                  <c:v>0.51166155933744573</c:v>
                </c:pt>
                <c:pt idx="5">
                  <c:v>0.5680384962954439</c:v>
                </c:pt>
                <c:pt idx="6">
                  <c:v>0.60825017255742297</c:v>
                </c:pt>
                <c:pt idx="7">
                  <c:v>0.63837750824800299</c:v>
                </c:pt>
                <c:pt idx="8">
                  <c:v>0.66179128615753136</c:v>
                </c:pt>
                <c:pt idx="9">
                  <c:v>0.68051060662552953</c:v>
                </c:pt>
                <c:pt idx="10">
                  <c:v>0.69581868410397585</c:v>
                </c:pt>
                <c:pt idx="11">
                  <c:v>0.70857010452669889</c:v>
                </c:pt>
                <c:pt idx="12">
                  <c:v>0.71935599914583015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8070-4537-A3E4-35A27DC5D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320703"/>
        <c:axId val="1068581983"/>
      </c:scatterChart>
      <c:valAx>
        <c:axId val="118832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81983"/>
        <c:crosses val="autoZero"/>
        <c:crossBetween val="midCat"/>
      </c:valAx>
      <c:valAx>
        <c:axId val="106858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Exploitation rate (Catch/Run)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320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Utility vs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'SR and retrospective'!$Z$1</c:f>
              <c:strCache>
                <c:ptCount val="1"/>
                <c:pt idx="0">
                  <c:v>Utility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BB000B5-F3FD-49AD-B8B5-5BB69F63F4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B70-41C4-AAEE-7085B25AFE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0EE2FF4-FE5C-497C-BEB4-2BFB50D79A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B70-41C4-AAEE-7085B25AFEE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CD7589A-7262-4887-AF4D-5633BF9C53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B70-41C4-AAEE-7085B25AFEE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19FBB33-7CAF-4BB7-AE56-29E2DF6D16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B70-41C4-AAEE-7085B25AFE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'SR and retrospective'!$Y$2:$Y$5</c:f>
              <c:numCache>
                <c:formatCode>General</c:formatCode>
                <c:ptCount val="4"/>
                <c:pt idx="0">
                  <c:v>0.52580833997040088</c:v>
                </c:pt>
                <c:pt idx="1">
                  <c:v>0.79000489786454575</c:v>
                </c:pt>
                <c:pt idx="2">
                  <c:v>1</c:v>
                </c:pt>
                <c:pt idx="3">
                  <c:v>0.97805521430398379</c:v>
                </c:pt>
              </c:numCache>
            </c:numRef>
          </c:xVal>
          <c:yVal>
            <c:numRef>
              <c:f>'SR and retrospective'!$Z$2:$Z$5</c:f>
              <c:numCache>
                <c:formatCode>General</c:formatCode>
                <c:ptCount val="4"/>
                <c:pt idx="0">
                  <c:v>0.68017079876766129</c:v>
                </c:pt>
                <c:pt idx="1">
                  <c:v>0.91290467034680711</c:v>
                </c:pt>
                <c:pt idx="2">
                  <c:v>0.97018885878488781</c:v>
                </c:pt>
                <c:pt idx="3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'SR and retrospective'!$X$2:$X$5</c15:f>
                <c15:dlblRangeCache>
                  <c:ptCount val="4"/>
                  <c:pt idx="0">
                    <c:v>Historical</c:v>
                  </c:pt>
                  <c:pt idx="1">
                    <c:v>Umsy</c:v>
                  </c:pt>
                  <c:pt idx="2">
                    <c:v>Smsy</c:v>
                  </c:pt>
                  <c:pt idx="3">
                    <c:v>Max util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B70-41C4-AAEE-7085B25AF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579679"/>
        <c:axId val="1068578239"/>
      </c:scatterChart>
      <c:valAx>
        <c:axId val="125857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Yield/Max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78239"/>
        <c:crosses val="autoZero"/>
        <c:crossBetween val="midCat"/>
      </c:valAx>
      <c:valAx>
        <c:axId val="106857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Utility/Max Utility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57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 and retrospective catch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'SR and retrospective'!$E$3</c:f>
              <c:strCache>
                <c:ptCount val="1"/>
                <c:pt idx="0">
                  <c:v>catch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'SR and retrospective'!$D$4:$D$37</c:f>
              <c:numCache>
                <c:formatCode>General</c:formatCode>
                <c:ptCount val="34"/>
                <c:pt idx="0">
                  <c:v>1959</c:v>
                </c:pt>
                <c:pt idx="1">
                  <c:v>1961</c:v>
                </c:pt>
                <c:pt idx="2">
                  <c:v>1963</c:v>
                </c:pt>
                <c:pt idx="3">
                  <c:v>1965</c:v>
                </c:pt>
                <c:pt idx="4">
                  <c:v>1967</c:v>
                </c:pt>
                <c:pt idx="5">
                  <c:v>1969</c:v>
                </c:pt>
                <c:pt idx="6">
                  <c:v>1971</c:v>
                </c:pt>
                <c:pt idx="7">
                  <c:v>1973</c:v>
                </c:pt>
                <c:pt idx="8">
                  <c:v>1975</c:v>
                </c:pt>
                <c:pt idx="9">
                  <c:v>1977</c:v>
                </c:pt>
                <c:pt idx="10">
                  <c:v>1979</c:v>
                </c:pt>
                <c:pt idx="11">
                  <c:v>1981</c:v>
                </c:pt>
                <c:pt idx="12">
                  <c:v>1983</c:v>
                </c:pt>
                <c:pt idx="13">
                  <c:v>1985</c:v>
                </c:pt>
                <c:pt idx="14">
                  <c:v>1987</c:v>
                </c:pt>
                <c:pt idx="15">
                  <c:v>1989</c:v>
                </c:pt>
                <c:pt idx="16">
                  <c:v>1991</c:v>
                </c:pt>
                <c:pt idx="17">
                  <c:v>1993</c:v>
                </c:pt>
                <c:pt idx="18">
                  <c:v>1995</c:v>
                </c:pt>
                <c:pt idx="19">
                  <c:v>1997</c:v>
                </c:pt>
                <c:pt idx="20">
                  <c:v>1999</c:v>
                </c:pt>
                <c:pt idx="21">
                  <c:v>2001</c:v>
                </c:pt>
                <c:pt idx="22">
                  <c:v>2003</c:v>
                </c:pt>
                <c:pt idx="23">
                  <c:v>2005</c:v>
                </c:pt>
                <c:pt idx="24">
                  <c:v>2007</c:v>
                </c:pt>
                <c:pt idx="25">
                  <c:v>2009</c:v>
                </c:pt>
                <c:pt idx="26">
                  <c:v>2011</c:v>
                </c:pt>
                <c:pt idx="27">
                  <c:v>2013</c:v>
                </c:pt>
                <c:pt idx="28">
                  <c:v>2015</c:v>
                </c:pt>
                <c:pt idx="29">
                  <c:v>2017</c:v>
                </c:pt>
                <c:pt idx="30">
                  <c:v>2019</c:v>
                </c:pt>
                <c:pt idx="31">
                  <c:v>2021</c:v>
                </c:pt>
                <c:pt idx="32">
                  <c:v>2023</c:v>
                </c:pt>
                <c:pt idx="33">
                  <c:v>2025</c:v>
                </c:pt>
              </c:numCache>
            </c:numRef>
          </c:xVal>
          <c:yVal>
            <c:numRef>
              <c:f>'SR and retrospective'!$E$4:$E$37</c:f>
              <c:numCache>
                <c:formatCode>General</c:formatCode>
                <c:ptCount val="34"/>
                <c:pt idx="0">
                  <c:v>5382055</c:v>
                </c:pt>
                <c:pt idx="1">
                  <c:v>796685</c:v>
                </c:pt>
                <c:pt idx="2">
                  <c:v>3528312</c:v>
                </c:pt>
                <c:pt idx="3">
                  <c:v>1125788</c:v>
                </c:pt>
                <c:pt idx="4">
                  <c:v>11131572</c:v>
                </c:pt>
                <c:pt idx="5">
                  <c:v>2400548</c:v>
                </c:pt>
                <c:pt idx="6">
                  <c:v>7958376</c:v>
                </c:pt>
                <c:pt idx="7">
                  <c:v>5049723</c:v>
                </c:pt>
                <c:pt idx="8">
                  <c:v>3526866</c:v>
                </c:pt>
                <c:pt idx="9">
                  <c:v>5821674</c:v>
                </c:pt>
                <c:pt idx="10">
                  <c:v>10843466</c:v>
                </c:pt>
                <c:pt idx="11">
                  <c:v>14196353</c:v>
                </c:pt>
                <c:pt idx="12">
                  <c:v>10714376</c:v>
                </c:pt>
                <c:pt idx="13">
                  <c:v>12577074</c:v>
                </c:pt>
                <c:pt idx="14">
                  <c:v>3948252</c:v>
                </c:pt>
                <c:pt idx="15">
                  <c:v>9295074</c:v>
                </c:pt>
                <c:pt idx="16">
                  <c:v>9230804</c:v>
                </c:pt>
                <c:pt idx="17">
                  <c:v>6215163</c:v>
                </c:pt>
                <c:pt idx="18">
                  <c:v>5729124</c:v>
                </c:pt>
                <c:pt idx="19">
                  <c:v>5333856</c:v>
                </c:pt>
                <c:pt idx="20">
                  <c:v>163283</c:v>
                </c:pt>
                <c:pt idx="21">
                  <c:v>1448154</c:v>
                </c:pt>
                <c:pt idx="22">
                  <c:v>2068970</c:v>
                </c:pt>
                <c:pt idx="23">
                  <c:v>1060376</c:v>
                </c:pt>
                <c:pt idx="24">
                  <c:v>839948</c:v>
                </c:pt>
                <c:pt idx="25">
                  <c:v>4564207</c:v>
                </c:pt>
                <c:pt idx="26">
                  <c:v>7860612</c:v>
                </c:pt>
                <c:pt idx="27">
                  <c:v>6553329</c:v>
                </c:pt>
                <c:pt idx="28">
                  <c:v>496240</c:v>
                </c:pt>
                <c:pt idx="29">
                  <c:v>170932</c:v>
                </c:pt>
                <c:pt idx="30">
                  <c:v>550784</c:v>
                </c:pt>
                <c:pt idx="31">
                  <c:v>280069</c:v>
                </c:pt>
                <c:pt idx="32">
                  <c:v>971267</c:v>
                </c:pt>
                <c:pt idx="33" formatCode="0.00E+00">
                  <c:v>1250000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D-45B2-A2AD-B650A30F34AF}"/>
            </c:ext>
          </c:extLst>
        </c:ser>
        <c:ser>
          <c:idx val="1"/>
          <c:order val="1"/>
          <c:tx>
            <c:strRef>
              <c:f>'SR and retrospective'!$P$3</c:f>
              <c:strCache>
                <c:ptCount val="1"/>
                <c:pt idx="0">
                  <c:v>retro 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'SR and retrospective'!$D$4:$D$37</c:f>
              <c:numCache>
                <c:formatCode>General</c:formatCode>
                <c:ptCount val="34"/>
                <c:pt idx="0">
                  <c:v>1959</c:v>
                </c:pt>
                <c:pt idx="1">
                  <c:v>1961</c:v>
                </c:pt>
                <c:pt idx="2">
                  <c:v>1963</c:v>
                </c:pt>
                <c:pt idx="3">
                  <c:v>1965</c:v>
                </c:pt>
                <c:pt idx="4">
                  <c:v>1967</c:v>
                </c:pt>
                <c:pt idx="5">
                  <c:v>1969</c:v>
                </c:pt>
                <c:pt idx="6">
                  <c:v>1971</c:v>
                </c:pt>
                <c:pt idx="7">
                  <c:v>1973</c:v>
                </c:pt>
                <c:pt idx="8">
                  <c:v>1975</c:v>
                </c:pt>
                <c:pt idx="9">
                  <c:v>1977</c:v>
                </c:pt>
                <c:pt idx="10">
                  <c:v>1979</c:v>
                </c:pt>
                <c:pt idx="11">
                  <c:v>1981</c:v>
                </c:pt>
                <c:pt idx="12">
                  <c:v>1983</c:v>
                </c:pt>
                <c:pt idx="13">
                  <c:v>1985</c:v>
                </c:pt>
                <c:pt idx="14">
                  <c:v>1987</c:v>
                </c:pt>
                <c:pt idx="15">
                  <c:v>1989</c:v>
                </c:pt>
                <c:pt idx="16">
                  <c:v>1991</c:v>
                </c:pt>
                <c:pt idx="17">
                  <c:v>1993</c:v>
                </c:pt>
                <c:pt idx="18">
                  <c:v>1995</c:v>
                </c:pt>
                <c:pt idx="19">
                  <c:v>1997</c:v>
                </c:pt>
                <c:pt idx="20">
                  <c:v>1999</c:v>
                </c:pt>
                <c:pt idx="21">
                  <c:v>2001</c:v>
                </c:pt>
                <c:pt idx="22">
                  <c:v>2003</c:v>
                </c:pt>
                <c:pt idx="23">
                  <c:v>2005</c:v>
                </c:pt>
                <c:pt idx="24">
                  <c:v>2007</c:v>
                </c:pt>
                <c:pt idx="25">
                  <c:v>2009</c:v>
                </c:pt>
                <c:pt idx="26">
                  <c:v>2011</c:v>
                </c:pt>
                <c:pt idx="27">
                  <c:v>2013</c:v>
                </c:pt>
                <c:pt idx="28">
                  <c:v>2015</c:v>
                </c:pt>
                <c:pt idx="29">
                  <c:v>2017</c:v>
                </c:pt>
                <c:pt idx="30">
                  <c:v>2019</c:v>
                </c:pt>
                <c:pt idx="31">
                  <c:v>2021</c:v>
                </c:pt>
                <c:pt idx="32">
                  <c:v>2023</c:v>
                </c:pt>
                <c:pt idx="33">
                  <c:v>2025</c:v>
                </c:pt>
              </c:numCache>
            </c:numRef>
          </c:xVal>
          <c:yVal>
            <c:numRef>
              <c:f>'SR and retrospective'!$P$4:$P$37</c:f>
              <c:numCache>
                <c:formatCode>General</c:formatCode>
                <c:ptCount val="34"/>
                <c:pt idx="0">
                  <c:v>2129702.5987027837</c:v>
                </c:pt>
                <c:pt idx="1">
                  <c:v>1365309.3260649107</c:v>
                </c:pt>
                <c:pt idx="2">
                  <c:v>9918975.4372066204</c:v>
                </c:pt>
                <c:pt idx="3">
                  <c:v>667012.9346906282</c:v>
                </c:pt>
                <c:pt idx="4">
                  <c:v>25114402.917182356</c:v>
                </c:pt>
                <c:pt idx="5">
                  <c:v>4815318.6889790893</c:v>
                </c:pt>
                <c:pt idx="6">
                  <c:v>15665660.161713813</c:v>
                </c:pt>
                <c:pt idx="7">
                  <c:v>10096143.692903459</c:v>
                </c:pt>
                <c:pt idx="8">
                  <c:v>5935813.713613092</c:v>
                </c:pt>
                <c:pt idx="9">
                  <c:v>14661668.656675696</c:v>
                </c:pt>
                <c:pt idx="10">
                  <c:v>19181609.897972852</c:v>
                </c:pt>
                <c:pt idx="11">
                  <c:v>19442822.433528233</c:v>
                </c:pt>
                <c:pt idx="12">
                  <c:v>12909178.37347763</c:v>
                </c:pt>
                <c:pt idx="13">
                  <c:v>15324546.515391238</c:v>
                </c:pt>
                <c:pt idx="14">
                  <c:v>2811381.6224940158</c:v>
                </c:pt>
                <c:pt idx="15">
                  <c:v>13823269.871365935</c:v>
                </c:pt>
                <c:pt idx="16">
                  <c:v>14731212.202572318</c:v>
                </c:pt>
                <c:pt idx="17">
                  <c:v>10117706.751597483</c:v>
                </c:pt>
                <c:pt idx="18">
                  <c:v>6103950.9656173885</c:v>
                </c:pt>
                <c:pt idx="19">
                  <c:v>2626139.6054966217</c:v>
                </c:pt>
                <c:pt idx="20">
                  <c:v>741776.55480713025</c:v>
                </c:pt>
                <c:pt idx="21">
                  <c:v>16762607.754678998</c:v>
                </c:pt>
                <c:pt idx="22">
                  <c:v>21360038.273638561</c:v>
                </c:pt>
                <c:pt idx="23">
                  <c:v>8297640.9168806728</c:v>
                </c:pt>
                <c:pt idx="24">
                  <c:v>2784988.7907599565</c:v>
                </c:pt>
                <c:pt idx="25">
                  <c:v>10047875.936147189</c:v>
                </c:pt>
                <c:pt idx="26">
                  <c:v>13126009.399895847</c:v>
                </c:pt>
                <c:pt idx="27">
                  <c:v>9007660.8614994269</c:v>
                </c:pt>
                <c:pt idx="28">
                  <c:v>901276.61408436019</c:v>
                </c:pt>
                <c:pt idx="29">
                  <c:v>0</c:v>
                </c:pt>
                <c:pt idx="30">
                  <c:v>3675528.5715282951</c:v>
                </c:pt>
                <c:pt idx="31">
                  <c:v>2084104.0934570432</c:v>
                </c:pt>
                <c:pt idx="32">
                  <c:v>3537566.0532130664</c:v>
                </c:pt>
                <c:pt idx="33">
                  <c:v>9256296.1773198266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D-45B2-A2AD-B650A30F3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524864"/>
        <c:axId val="642504976"/>
      </c:scatterChart>
      <c:valAx>
        <c:axId val="33752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504976"/>
        <c:crosses val="autoZero"/>
        <c:crossBetween val="midCat"/>
      </c:valAx>
      <c:valAx>
        <c:axId val="64250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24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548640</xdr:colOff>
      <xdr:row>39</xdr:row>
      <xdr:rowOff>15875</xdr:rowOff>
    </xdr:from>
    <xdr:to>
      <xdr:col>7</xdr:col>
      <xdr:colOff>255270</xdr:colOff>
      <xdr:row>54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E32EFC-EB78-426C-A0A4-35BC8D0BE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111760</xdr:colOff>
      <xdr:row>39</xdr:row>
      <xdr:rowOff>80645</xdr:rowOff>
    </xdr:from>
    <xdr:to>
      <xdr:col>18</xdr:col>
      <xdr:colOff>421640</xdr:colOff>
      <xdr:row>54</xdr:row>
      <xdr:rowOff>80645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47481A-F3F1-4FD7-BACB-8AA980E11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342900</xdr:colOff>
      <xdr:row>39</xdr:row>
      <xdr:rowOff>116204</xdr:rowOff>
    </xdr:from>
    <xdr:to>
      <xdr:col>8</xdr:col>
      <xdr:colOff>857250</xdr:colOff>
      <xdr:row>56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E94315-1461-4CF5-9F8A-E954E6252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77470</xdr:colOff>
      <xdr:row>39</xdr:row>
      <xdr:rowOff>118110</xdr:rowOff>
    </xdr:from>
    <xdr:to>
      <xdr:col>15</xdr:col>
      <xdr:colOff>17780</xdr:colOff>
      <xdr:row>54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53735F-5CF8-49C8-AB7C-416B525CA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982980</xdr:colOff>
      <xdr:row>39</xdr:row>
      <xdr:rowOff>81915</xdr:rowOff>
    </xdr:from>
    <xdr:to>
      <xdr:col>10</xdr:col>
      <xdr:colOff>67310</xdr:colOff>
      <xdr:row>54</xdr:row>
      <xdr:rowOff>81915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33811-8A51-4E55-A260-7E4CB4DB6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204470</xdr:colOff>
      <xdr:row>43</xdr:row>
      <xdr:rowOff>118744</xdr:rowOff>
    </xdr:from>
    <xdr:to>
      <xdr:col>9</xdr:col>
      <xdr:colOff>264160</xdr:colOff>
      <xdr:row>62</xdr:row>
      <xdr:rowOff>5079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28B49D-91C0-4EE1-BD4C-B45BD551D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742950</xdr:colOff>
      <xdr:row>6</xdr:row>
      <xdr:rowOff>32385</xdr:rowOff>
    </xdr:from>
    <xdr:to>
      <xdr:col>21</xdr:col>
      <xdr:colOff>152400</xdr:colOff>
      <xdr:row>21</xdr:row>
      <xdr:rowOff>32385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07FF6C-4A69-4D39-A9DA-602C63040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18</xdr:col>
      <xdr:colOff>184150</xdr:colOff>
      <xdr:row>21</xdr:row>
      <xdr:rowOff>0</xdr:rowOff>
    </xdr:from>
    <xdr:to>
      <xdr:col>28</xdr:col>
      <xdr:colOff>45720</xdr:colOff>
      <xdr:row>82</xdr:row>
      <xdr:rowOff>85050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C0DEFDC-AE4A-40C9-A53B-88C183AE8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3867150"/>
          <a:ext cx="6535420" cy="1131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49530</xdr:colOff>
      <xdr:row>38</xdr:row>
      <xdr:rowOff>102870</xdr:rowOff>
    </xdr:from>
    <xdr:to>
      <xdr:col>14</xdr:col>
      <xdr:colOff>608330</xdr:colOff>
      <xdr:row>53</xdr:row>
      <xdr:rowOff>102870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F1522BC-AFED-4CD9-89AB-39F28DC80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lters, Carl" refreshedDate="45793.27375763889" createdVersion="6" refreshedVersion="6" minRefreshableVersion="3" recordCount="34" xr:uid="{00000000-000A-0000-FFFF-FFFF04000000}">
  <cacheSource type="worksheet">
    <worksheetSource ref="A1:D1048576" sheet="pink_run_size_2025-05-16"/>
  </cacheSource>
  <cacheFields count="4">
    <cacheField name="Year" numFmtId="0">
      <sharedItems containsString="0" containsBlank="1" containsNumber="1" containsInteger="1" minValue="1959" maxValue="2023" count="34">
        <n v="1959"/>
        <n v="1961"/>
        <n v="1963"/>
        <n v="1965"/>
        <n v="1967"/>
        <n v="1969"/>
        <n v="1971"/>
        <n v="1973"/>
        <n v="1975"/>
        <n v="1977"/>
        <n v="1979"/>
        <n v="1981"/>
        <n v="1983"/>
        <n v="1985"/>
        <n v="1987"/>
        <n v="1989"/>
        <n v="1991"/>
        <n v="1993"/>
        <n v="1995"/>
        <n v="1997"/>
        <n v="1999"/>
        <n v="2001"/>
        <n v="2003"/>
        <n v="2005"/>
        <n v="2007"/>
        <n v="2009"/>
        <n v="2011"/>
        <n v="2013"/>
        <n v="2015"/>
        <n v="2017"/>
        <n v="2019"/>
        <n v="2021"/>
        <n v="2023"/>
        <m/>
      </sharedItems>
    </cacheField>
    <cacheField name="Catch" numFmtId="0">
      <sharedItems containsString="0" containsBlank="1" containsNumber="1" containsInteger="1" minValue="163283" maxValue="14196353" count="34">
        <n v="5382055"/>
        <n v="796685"/>
        <n v="3528312"/>
        <n v="1125788"/>
        <n v="11131572"/>
        <n v="2400548"/>
        <n v="7958376"/>
        <n v="5049723"/>
        <n v="3526866"/>
        <n v="5821674"/>
        <n v="10843466"/>
        <n v="14196353"/>
        <n v="10714376"/>
        <n v="12577074"/>
        <n v="3948252"/>
        <n v="9295074"/>
        <n v="9230804"/>
        <n v="6215163"/>
        <n v="5729124"/>
        <n v="5333856"/>
        <n v="163283"/>
        <n v="1448154"/>
        <n v="2068970"/>
        <n v="1060376"/>
        <n v="839948"/>
        <n v="4564207"/>
        <n v="7860612"/>
        <n v="6553329"/>
        <n v="496240"/>
        <n v="170932"/>
        <n v="550784"/>
        <n v="280069"/>
        <n v="971267"/>
        <m/>
      </sharedItems>
    </cacheField>
    <cacheField name="Escapement" numFmtId="0">
      <sharedItems containsString="0" containsBlank="1" containsNumber="1" containsInteger="1" minValue="1078000" maxValue="22181030" count="34">
        <n v="1078000"/>
        <n v="1092561"/>
        <n v="1954038"/>
        <n v="1194099"/>
        <n v="1831219"/>
        <n v="1530913"/>
        <n v="1804952"/>
        <n v="1754261"/>
        <n v="1367089"/>
        <n v="2387811"/>
        <n v="3560654"/>
        <n v="4488336"/>
        <n v="4631721"/>
        <n v="6460950"/>
        <n v="3223521"/>
        <n v="7189201"/>
        <n v="12942835"/>
        <n v="10768335"/>
        <n v="7174584"/>
        <n v="2842108"/>
        <n v="3444982"/>
        <n v="19813620"/>
        <n v="22181030"/>
        <n v="8809624"/>
        <n v="7650052"/>
        <n v="15428836"/>
        <n v="12784508"/>
        <n v="9344490"/>
        <n v="5368996"/>
        <n v="3392159"/>
        <n v="8307419"/>
        <n v="7827445"/>
        <n v="9542025"/>
        <m/>
      </sharedItems>
    </cacheField>
    <cacheField name="Run Size" numFmtId="0">
      <sharedItems containsString="0" containsBlank="1" containsNumber="1" containsInteger="1" minValue="1889246" maxValue="242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">
  <r>
    <x v="0"/>
    <x v="0"/>
    <x v="0"/>
    <n v="6460055"/>
  </r>
  <r>
    <x v="1"/>
    <x v="1"/>
    <x v="1"/>
    <n v="1889246"/>
  </r>
  <r>
    <x v="2"/>
    <x v="2"/>
    <x v="2"/>
    <n v="5482350"/>
  </r>
  <r>
    <x v="3"/>
    <x v="3"/>
    <x v="3"/>
    <n v="2319887"/>
  </r>
  <r>
    <x v="4"/>
    <x v="4"/>
    <x v="4"/>
    <n v="12962791"/>
  </r>
  <r>
    <x v="5"/>
    <x v="5"/>
    <x v="5"/>
    <n v="3931461"/>
  </r>
  <r>
    <x v="6"/>
    <x v="6"/>
    <x v="6"/>
    <n v="9763328"/>
  </r>
  <r>
    <x v="7"/>
    <x v="7"/>
    <x v="7"/>
    <n v="6803984"/>
  </r>
  <r>
    <x v="8"/>
    <x v="8"/>
    <x v="8"/>
    <n v="4893955"/>
  </r>
  <r>
    <x v="9"/>
    <x v="9"/>
    <x v="9"/>
    <n v="8209485"/>
  </r>
  <r>
    <x v="10"/>
    <x v="10"/>
    <x v="10"/>
    <n v="14404120"/>
  </r>
  <r>
    <x v="11"/>
    <x v="11"/>
    <x v="11"/>
    <n v="18684689"/>
  </r>
  <r>
    <x v="12"/>
    <x v="12"/>
    <x v="12"/>
    <n v="15346097"/>
  </r>
  <r>
    <x v="13"/>
    <x v="13"/>
    <x v="13"/>
    <n v="19038024"/>
  </r>
  <r>
    <x v="14"/>
    <x v="14"/>
    <x v="14"/>
    <n v="7171773"/>
  </r>
  <r>
    <x v="15"/>
    <x v="15"/>
    <x v="15"/>
    <n v="16484275"/>
  </r>
  <r>
    <x v="16"/>
    <x v="16"/>
    <x v="16"/>
    <n v="22173639"/>
  </r>
  <r>
    <x v="17"/>
    <x v="17"/>
    <x v="17"/>
    <n v="16983498"/>
  </r>
  <r>
    <x v="18"/>
    <x v="18"/>
    <x v="18"/>
    <n v="12903708"/>
  </r>
  <r>
    <x v="19"/>
    <x v="19"/>
    <x v="19"/>
    <n v="8175964"/>
  </r>
  <r>
    <x v="20"/>
    <x v="20"/>
    <x v="20"/>
    <n v="3608265"/>
  </r>
  <r>
    <x v="21"/>
    <x v="21"/>
    <x v="21"/>
    <n v="21261774"/>
  </r>
  <r>
    <x v="22"/>
    <x v="22"/>
    <x v="22"/>
    <n v="24250000"/>
  </r>
  <r>
    <x v="23"/>
    <x v="23"/>
    <x v="23"/>
    <n v="9870000"/>
  </r>
  <r>
    <x v="24"/>
    <x v="24"/>
    <x v="24"/>
    <n v="8490000"/>
  </r>
  <r>
    <x v="25"/>
    <x v="25"/>
    <x v="25"/>
    <n v="19993043"/>
  </r>
  <r>
    <x v="26"/>
    <x v="26"/>
    <x v="26"/>
    <n v="20645120"/>
  </r>
  <r>
    <x v="27"/>
    <x v="27"/>
    <x v="27"/>
    <n v="15897819"/>
  </r>
  <r>
    <x v="28"/>
    <x v="28"/>
    <x v="28"/>
    <n v="5865236"/>
  </r>
  <r>
    <x v="29"/>
    <x v="29"/>
    <x v="29"/>
    <n v="3563091"/>
  </r>
  <r>
    <x v="30"/>
    <x v="30"/>
    <x v="30"/>
    <n v="8858203"/>
  </r>
  <r>
    <x v="31"/>
    <x v="31"/>
    <x v="31"/>
    <n v="8107514"/>
  </r>
  <r>
    <x v="32"/>
    <x v="32"/>
    <x v="32"/>
    <n v="10513292"/>
  </r>
  <r>
    <x v="33"/>
    <x v="33"/>
    <x v="3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38" firstHeaderRow="0" firstDataRow="1" firstDataCol="1"/>
  <pivotFields count="4">
    <pivotField axis="axisRow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dataField="1" showAll="0">
      <items count="35">
        <item x="20"/>
        <item x="29"/>
        <item x="31"/>
        <item x="28"/>
        <item x="30"/>
        <item x="1"/>
        <item x="24"/>
        <item x="32"/>
        <item x="23"/>
        <item x="3"/>
        <item x="21"/>
        <item x="22"/>
        <item x="5"/>
        <item x="8"/>
        <item x="2"/>
        <item x="14"/>
        <item x="25"/>
        <item x="7"/>
        <item x="19"/>
        <item x="0"/>
        <item x="18"/>
        <item x="9"/>
        <item x="17"/>
        <item x="27"/>
        <item x="26"/>
        <item x="6"/>
        <item x="16"/>
        <item x="15"/>
        <item x="12"/>
        <item x="10"/>
        <item x="4"/>
        <item x="13"/>
        <item x="11"/>
        <item x="33"/>
        <item t="default"/>
      </items>
    </pivotField>
    <pivotField dataField="1" showAll="0">
      <items count="35">
        <item x="0"/>
        <item x="1"/>
        <item x="3"/>
        <item x="8"/>
        <item x="5"/>
        <item x="7"/>
        <item x="6"/>
        <item x="4"/>
        <item x="2"/>
        <item x="9"/>
        <item x="19"/>
        <item x="14"/>
        <item x="29"/>
        <item x="20"/>
        <item x="10"/>
        <item x="11"/>
        <item x="12"/>
        <item x="28"/>
        <item x="13"/>
        <item x="18"/>
        <item x="15"/>
        <item x="24"/>
        <item x="31"/>
        <item x="30"/>
        <item x="23"/>
        <item x="27"/>
        <item x="32"/>
        <item x="17"/>
        <item x="26"/>
        <item x="16"/>
        <item x="25"/>
        <item x="21"/>
        <item x="22"/>
        <item x="33"/>
        <item t="default"/>
      </items>
    </pivotField>
    <pivotField showAll="0"/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tch" fld="1" baseField="0" baseItem="0"/>
    <dataField name="Sum of Escapeme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"/>
  <sheetViews>
    <sheetView topLeftCell="U1" workbookViewId="0">
      <selection activeCell="AD5" sqref="AD5"/>
    </sheetView>
  </sheetViews>
  <sheetFormatPr defaultRowHeight="14.5" x14ac:dyDescent="0.35"/>
  <cols>
    <col min="1" max="1" width="12.08984375" bestFit="1" customWidth="1"/>
    <col min="2" max="2" width="11.26953125" bestFit="1" customWidth="1"/>
    <col min="3" max="3" width="16.6328125" bestFit="1" customWidth="1"/>
    <col min="4" max="4" width="7.6328125" bestFit="1" customWidth="1"/>
    <col min="5" max="6" width="8.08984375" bestFit="1" customWidth="1"/>
    <col min="7" max="7" width="8.6328125" bestFit="1" customWidth="1"/>
    <col min="8" max="8" width="8.08984375" bestFit="1" customWidth="1"/>
    <col min="9" max="9" width="12.1796875" bestFit="1" customWidth="1"/>
    <col min="10" max="10" width="7.6328125" bestFit="1" customWidth="1"/>
    <col min="11" max="11" width="11.54296875" bestFit="1" customWidth="1"/>
    <col min="12" max="12" width="14.26953125" bestFit="1" customWidth="1"/>
    <col min="13" max="13" width="7.6328125" bestFit="1" customWidth="1"/>
    <col min="14" max="14" width="14.26953125" bestFit="1" customWidth="1"/>
    <col min="15" max="15" width="9.6328125" bestFit="1" customWidth="1"/>
    <col min="16" max="16" width="12.26953125" bestFit="1" customWidth="1"/>
    <col min="17" max="17" width="9.6328125" bestFit="1" customWidth="1"/>
    <col min="18" max="18" width="8.6328125" bestFit="1" customWidth="1"/>
    <col min="19" max="19" width="7.6328125" bestFit="1" customWidth="1"/>
    <col min="20" max="20" width="8.6328125" bestFit="1" customWidth="1"/>
    <col min="21" max="21" width="11.6328125" bestFit="1" customWidth="1"/>
    <col min="22" max="22" width="12" bestFit="1" customWidth="1"/>
    <col min="23" max="24" width="7.6328125" bestFit="1" customWidth="1"/>
    <col min="25" max="25" width="14.26953125" bestFit="1" customWidth="1"/>
    <col min="26" max="26" width="10.81640625" bestFit="1" customWidth="1"/>
    <col min="27" max="28" width="7.6328125" bestFit="1" customWidth="1"/>
    <col min="29" max="34" width="8.6328125" bestFit="1" customWidth="1"/>
    <col min="35" max="35" width="6.453125" bestFit="1" customWidth="1"/>
    <col min="36" max="36" width="10.1796875" bestFit="1" customWidth="1"/>
    <col min="37" max="37" width="12.1796875" bestFit="1" customWidth="1"/>
    <col min="38" max="38" width="9.453125" bestFit="1" customWidth="1"/>
    <col min="39" max="39" width="12.1796875" bestFit="1" customWidth="1"/>
    <col min="40" max="40" width="9.453125" bestFit="1" customWidth="1"/>
    <col min="41" max="41" width="12.1796875" bestFit="1" customWidth="1"/>
    <col min="42" max="42" width="9.453125" bestFit="1" customWidth="1"/>
    <col min="43" max="43" width="12.1796875" bestFit="1" customWidth="1"/>
    <col min="44" max="44" width="9.453125" bestFit="1" customWidth="1"/>
    <col min="45" max="45" width="12.1796875" bestFit="1" customWidth="1"/>
    <col min="46" max="46" width="9.453125" bestFit="1" customWidth="1"/>
    <col min="47" max="47" width="12.1796875" bestFit="1" customWidth="1"/>
    <col min="48" max="48" width="9.453125" bestFit="1" customWidth="1"/>
    <col min="49" max="49" width="12.1796875" bestFit="1" customWidth="1"/>
    <col min="50" max="50" width="9.453125" bestFit="1" customWidth="1"/>
    <col min="51" max="51" width="12.1796875" bestFit="1" customWidth="1"/>
    <col min="52" max="52" width="9.453125" bestFit="1" customWidth="1"/>
    <col min="53" max="53" width="12.1796875" bestFit="1" customWidth="1"/>
    <col min="54" max="54" width="9.453125" bestFit="1" customWidth="1"/>
    <col min="55" max="55" width="12.1796875" bestFit="1" customWidth="1"/>
    <col min="56" max="56" width="9.453125" bestFit="1" customWidth="1"/>
    <col min="57" max="57" width="12.1796875" bestFit="1" customWidth="1"/>
    <col min="58" max="58" width="10.453125" bestFit="1" customWidth="1"/>
    <col min="59" max="59" width="13.26953125" bestFit="1" customWidth="1"/>
    <col min="60" max="60" width="10.453125" bestFit="1" customWidth="1"/>
    <col min="61" max="61" width="13.26953125" bestFit="1" customWidth="1"/>
    <col min="62" max="62" width="10.453125" bestFit="1" customWidth="1"/>
    <col min="63" max="63" width="13.26953125" bestFit="1" customWidth="1"/>
    <col min="64" max="64" width="10.453125" bestFit="1" customWidth="1"/>
    <col min="65" max="65" width="13.26953125" bestFit="1" customWidth="1"/>
    <col min="66" max="66" width="10.453125" bestFit="1" customWidth="1"/>
    <col min="67" max="67" width="13.26953125" bestFit="1" customWidth="1"/>
    <col min="68" max="68" width="8.1796875" bestFit="1" customWidth="1"/>
    <col min="69" max="69" width="10.90625" bestFit="1" customWidth="1"/>
    <col min="70" max="70" width="10.1796875" bestFit="1" customWidth="1"/>
  </cols>
  <sheetData>
    <row r="1" spans="1:34" x14ac:dyDescent="0.35">
      <c r="H1" t="s">
        <v>13</v>
      </c>
      <c r="I1">
        <f>INTERCEPT(I4:I36,F4:F36)</f>
        <v>1.3751048290890804</v>
      </c>
      <c r="K1" t="s">
        <v>15</v>
      </c>
      <c r="L1">
        <f>STDEV(J4:J35)</f>
        <v>0.61479220941793289</v>
      </c>
      <c r="O1" t="s">
        <v>25</v>
      </c>
      <c r="P1">
        <f>0.5*ra-0.07*ra^2</f>
        <v>0.55518848417565259</v>
      </c>
      <c r="R1" t="s">
        <v>27</v>
      </c>
      <c r="S1" s="7">
        <v>4</v>
      </c>
      <c r="U1">
        <f>retroC</f>
        <v>309025196.36515653</v>
      </c>
      <c r="V1">
        <f>retroUtil</f>
        <v>466570.79507862643</v>
      </c>
      <c r="X1" t="s">
        <v>29</v>
      </c>
      <c r="Y1" t="s">
        <v>30</v>
      </c>
      <c r="Z1" t="s">
        <v>31</v>
      </c>
      <c r="AC1" t="s">
        <v>35</v>
      </c>
      <c r="AD1">
        <v>0.84851787491200081</v>
      </c>
    </row>
    <row r="2" spans="1:34" x14ac:dyDescent="0.35">
      <c r="H2" t="s">
        <v>14</v>
      </c>
      <c r="I2">
        <f>SLOPE(I4:I36,F4:F36)</f>
        <v>-9.57046990471615E-8</v>
      </c>
      <c r="K2" t="s">
        <v>20</v>
      </c>
      <c r="L2" s="6">
        <f>SUM(E4:E37)</f>
        <v>163083312</v>
      </c>
      <c r="M2" t="s">
        <v>21</v>
      </c>
      <c r="N2" s="6">
        <f>SUM(P4:P37)</f>
        <v>309025196.36515653</v>
      </c>
      <c r="O2" t="s">
        <v>26</v>
      </c>
      <c r="P2" s="6">
        <f>-ra/rb*(0.5-0.07*ra)</f>
        <v>5801057.7296948181</v>
      </c>
      <c r="R2" t="s">
        <v>33</v>
      </c>
      <c r="V2" s="9"/>
      <c r="X2" t="s">
        <v>32</v>
      </c>
      <c r="Y2">
        <f>Y9/Y$13</f>
        <v>0.52580833997040088</v>
      </c>
      <c r="Z2">
        <f>Z9/Z$13</f>
        <v>0.68017079876766129</v>
      </c>
      <c r="AC2" t="s">
        <v>36</v>
      </c>
      <c r="AD2">
        <v>3950146.0615187064</v>
      </c>
    </row>
    <row r="3" spans="1:34" x14ac:dyDescent="0.35">
      <c r="A3" s="1" t="s">
        <v>3</v>
      </c>
      <c r="B3" t="s">
        <v>6</v>
      </c>
      <c r="C3" t="s">
        <v>7</v>
      </c>
      <c r="D3" t="s">
        <v>0</v>
      </c>
      <c r="E3" t="s">
        <v>8</v>
      </c>
      <c r="F3" t="s">
        <v>9</v>
      </c>
      <c r="G3" t="s">
        <v>19</v>
      </c>
      <c r="H3" t="s">
        <v>10</v>
      </c>
      <c r="I3" t="s">
        <v>11</v>
      </c>
      <c r="J3" t="s">
        <v>12</v>
      </c>
      <c r="K3" t="s">
        <v>23</v>
      </c>
      <c r="L3" t="s">
        <v>22</v>
      </c>
      <c r="M3" t="s">
        <v>24</v>
      </c>
      <c r="N3" t="s">
        <v>16</v>
      </c>
      <c r="O3" t="s">
        <v>17</v>
      </c>
      <c r="P3" t="s">
        <v>18</v>
      </c>
      <c r="Q3" t="s">
        <v>39</v>
      </c>
      <c r="R3" t="s">
        <v>28</v>
      </c>
      <c r="S3">
        <f>SUMPRODUCT(P4:P37^0.6)</f>
        <v>466570.79507862643</v>
      </c>
      <c r="X3" t="s">
        <v>25</v>
      </c>
      <c r="Y3">
        <f t="shared" ref="Y3:Z5" si="0">Y10/Y$13</f>
        <v>0.79000489786454575</v>
      </c>
      <c r="Z3">
        <f t="shared" si="0"/>
        <v>0.91290467034680711</v>
      </c>
    </row>
    <row r="4" spans="1:34" x14ac:dyDescent="0.35">
      <c r="A4" s="2">
        <v>1959</v>
      </c>
      <c r="B4" s="3">
        <v>5382055</v>
      </c>
      <c r="C4" s="3">
        <v>1078000</v>
      </c>
      <c r="D4">
        <f>A4</f>
        <v>1959</v>
      </c>
      <c r="E4">
        <f t="shared" ref="E4:F4" si="1">B4</f>
        <v>5382055</v>
      </c>
      <c r="F4">
        <f t="shared" si="1"/>
        <v>1078000</v>
      </c>
      <c r="G4">
        <f>E4+F4</f>
        <v>6460055</v>
      </c>
      <c r="H4">
        <f>G5</f>
        <v>1889246</v>
      </c>
      <c r="I4">
        <f>LN(H4/F4)</f>
        <v>0.56107033518735361</v>
      </c>
      <c r="J4">
        <f t="shared" ref="J4:J36" si="2">I4-(ra+rb*F4)</f>
        <v>-0.71086482832888676</v>
      </c>
      <c r="K4">
        <f>E4/G4</f>
        <v>0.83312835571833366</v>
      </c>
      <c r="L4">
        <f>G4</f>
        <v>6460055</v>
      </c>
      <c r="M4">
        <f t="shared" ref="M4:M37" si="3">CHOOSE(policy,K4,Umsy,MAX(0,L4-Smsy)/L4,MAX(0,cutil*(L4-Sutil)/L4))</f>
        <v>0.32967251806722747</v>
      </c>
      <c r="N4">
        <f>L4*(1-M4)</f>
        <v>4330352.4012972163</v>
      </c>
      <c r="O4">
        <f t="shared" ref="O4:O37" si="4">N4*EXP(ra+rb*N4+J4)</f>
        <v>5559197.9936379986</v>
      </c>
      <c r="P4">
        <f>L4-N4</f>
        <v>2129702.5987027837</v>
      </c>
      <c r="Q4">
        <f t="shared" ref="Q4:Q17" si="5">H4*N4/F4*EXP(-rb*(F4-N4))</f>
        <v>5559197.9936379977</v>
      </c>
      <c r="X4" t="s">
        <v>26</v>
      </c>
      <c r="Y4">
        <f t="shared" si="0"/>
        <v>1</v>
      </c>
      <c r="Z4">
        <f t="shared" si="0"/>
        <v>0.97018885878488781</v>
      </c>
      <c r="AC4">
        <v>0</v>
      </c>
      <c r="AD4">
        <f>Umsy</f>
        <v>0.55518848417565259</v>
      </c>
      <c r="AE4">
        <v>0</v>
      </c>
      <c r="AF4">
        <v>0</v>
      </c>
      <c r="AG4">
        <v>0</v>
      </c>
      <c r="AH4">
        <v>0</v>
      </c>
    </row>
    <row r="5" spans="1:34" x14ac:dyDescent="0.35">
      <c r="A5" s="2">
        <v>1961</v>
      </c>
      <c r="B5" s="3">
        <v>796685</v>
      </c>
      <c r="C5" s="3">
        <v>1092561</v>
      </c>
      <c r="D5">
        <f t="shared" ref="D5:D36" si="6">A5</f>
        <v>1961</v>
      </c>
      <c r="E5">
        <f t="shared" ref="E5:E36" si="7">B5</f>
        <v>796685</v>
      </c>
      <c r="F5">
        <f t="shared" ref="F5:F36" si="8">C5</f>
        <v>1092561</v>
      </c>
      <c r="G5">
        <f t="shared" ref="G5:G35" si="9">E5+F5</f>
        <v>1889246</v>
      </c>
      <c r="H5">
        <f t="shared" ref="H5:H35" si="10">G6</f>
        <v>5482350</v>
      </c>
      <c r="I5">
        <f t="shared" ref="I5:I35" si="11">LN(H5/F5)</f>
        <v>1.6130093594853452</v>
      </c>
      <c r="J5">
        <f t="shared" si="2"/>
        <v>0.34246775209193059</v>
      </c>
      <c r="K5">
        <f t="shared" ref="K5:K36" si="12">E5/G5</f>
        <v>0.42169468666335669</v>
      </c>
      <c r="L5">
        <f>O4</f>
        <v>5559197.9936379986</v>
      </c>
      <c r="M5">
        <f t="shared" si="3"/>
        <v>0.24559465729182237</v>
      </c>
      <c r="N5">
        <f>L5*(1-M5)</f>
        <v>4193888.6675730878</v>
      </c>
      <c r="O5">
        <f t="shared" si="4"/>
        <v>15639912.10001885</v>
      </c>
      <c r="P5">
        <f>L5-N5</f>
        <v>1365309.3260649107</v>
      </c>
      <c r="Q5">
        <f t="shared" si="5"/>
        <v>15639912.100018848</v>
      </c>
      <c r="X5" t="s">
        <v>34</v>
      </c>
      <c r="Y5">
        <f t="shared" si="0"/>
        <v>0.97805521430398379</v>
      </c>
      <c r="Z5">
        <f t="shared" si="0"/>
        <v>1</v>
      </c>
      <c r="AC5" s="4">
        <v>25000000</v>
      </c>
      <c r="AD5">
        <f>Umsy</f>
        <v>0.55518848417565259</v>
      </c>
      <c r="AE5">
        <f>Smsy</f>
        <v>5801057.7296948181</v>
      </c>
      <c r="AF5">
        <v>0</v>
      </c>
      <c r="AG5">
        <f>Sutil</f>
        <v>3950146.0615187064</v>
      </c>
      <c r="AH5">
        <v>0</v>
      </c>
    </row>
    <row r="6" spans="1:34" x14ac:dyDescent="0.35">
      <c r="A6" s="2">
        <v>1963</v>
      </c>
      <c r="B6" s="3">
        <v>3528312</v>
      </c>
      <c r="C6" s="3">
        <v>1954038</v>
      </c>
      <c r="D6">
        <f t="shared" si="6"/>
        <v>1963</v>
      </c>
      <c r="E6">
        <f t="shared" si="7"/>
        <v>3528312</v>
      </c>
      <c r="F6">
        <f t="shared" si="8"/>
        <v>1954038</v>
      </c>
      <c r="G6">
        <f t="shared" si="9"/>
        <v>5482350</v>
      </c>
      <c r="H6">
        <f t="shared" si="10"/>
        <v>2319887</v>
      </c>
      <c r="I6">
        <f t="shared" si="11"/>
        <v>0.17162047687633733</v>
      </c>
      <c r="J6">
        <f t="shared" si="2"/>
        <v>-1.0164737334960257</v>
      </c>
      <c r="K6">
        <f t="shared" si="12"/>
        <v>0.64357656844236499</v>
      </c>
      <c r="L6">
        <f t="shared" ref="L6:L37" si="13">O5</f>
        <v>15639912.10001885</v>
      </c>
      <c r="M6">
        <f t="shared" si="3"/>
        <v>0.63420915499868225</v>
      </c>
      <c r="N6">
        <f t="shared" ref="N6:N36" si="14">L6*(1-M6)</f>
        <v>5720936.6628122292</v>
      </c>
      <c r="O6">
        <f t="shared" si="4"/>
        <v>4736237.8509931518</v>
      </c>
      <c r="P6">
        <f t="shared" ref="P6:P36" si="15">L6-N6</f>
        <v>9918975.4372066204</v>
      </c>
      <c r="Q6">
        <f t="shared" si="5"/>
        <v>4736237.8509931518</v>
      </c>
      <c r="X6" t="s">
        <v>37</v>
      </c>
      <c r="AE6">
        <f>AE5+2000000</f>
        <v>7801057.7296948181</v>
      </c>
      <c r="AF6">
        <f t="shared" ref="AF6:AF16" si="16">(AE6-Smsy)/AE6</f>
        <v>0.25637549026037537</v>
      </c>
      <c r="AG6">
        <f>AG5+2000000</f>
        <v>5950146.0615187064</v>
      </c>
      <c r="AH6">
        <f t="shared" ref="AH6:AH16" si="17">cutil*(AG6-Sutil)/AG6</f>
        <v>0.28520909105059056</v>
      </c>
    </row>
    <row r="7" spans="1:34" x14ac:dyDescent="0.35">
      <c r="A7" s="2">
        <v>1965</v>
      </c>
      <c r="B7" s="3">
        <v>1125788</v>
      </c>
      <c r="C7" s="3">
        <v>1194099</v>
      </c>
      <c r="D7">
        <f t="shared" si="6"/>
        <v>1965</v>
      </c>
      <c r="E7">
        <f t="shared" si="7"/>
        <v>1125788</v>
      </c>
      <c r="F7">
        <f t="shared" si="8"/>
        <v>1194099</v>
      </c>
      <c r="G7">
        <f t="shared" si="9"/>
        <v>2319887</v>
      </c>
      <c r="H7">
        <f t="shared" si="10"/>
        <v>12962791</v>
      </c>
      <c r="I7">
        <f t="shared" si="11"/>
        <v>2.3846910965708026</v>
      </c>
      <c r="J7">
        <f t="shared" si="2"/>
        <v>1.1238671529092388</v>
      </c>
      <c r="K7">
        <f t="shared" si="12"/>
        <v>0.48527708461662139</v>
      </c>
      <c r="L7">
        <f t="shared" si="13"/>
        <v>4736237.8509931518</v>
      </c>
      <c r="M7">
        <f t="shared" si="3"/>
        <v>0.14083180694794731</v>
      </c>
      <c r="N7">
        <f t="shared" si="14"/>
        <v>4069224.9163025236</v>
      </c>
      <c r="O7">
        <f t="shared" si="4"/>
        <v>33548111.714024208</v>
      </c>
      <c r="P7">
        <f t="shared" si="15"/>
        <v>667012.9346906282</v>
      </c>
      <c r="Q7">
        <f t="shared" si="5"/>
        <v>33548111.714024212</v>
      </c>
      <c r="AE7">
        <f t="shared" ref="AE7:AE14" si="18">AE6+2000000</f>
        <v>9801057.7296948172</v>
      </c>
      <c r="AF7">
        <f t="shared" si="16"/>
        <v>0.40811921634549436</v>
      </c>
      <c r="AG7">
        <f t="shared" ref="AG7:AG16" si="19">AG6+2000000</f>
        <v>7950146.0615187064</v>
      </c>
      <c r="AH7">
        <f t="shared" si="17"/>
        <v>0.4269193890759333</v>
      </c>
    </row>
    <row r="8" spans="1:34" x14ac:dyDescent="0.35">
      <c r="A8" s="2">
        <v>1967</v>
      </c>
      <c r="B8" s="3">
        <v>11131572</v>
      </c>
      <c r="C8" s="3">
        <v>1831219</v>
      </c>
      <c r="D8">
        <f t="shared" si="6"/>
        <v>1967</v>
      </c>
      <c r="E8">
        <f t="shared" si="7"/>
        <v>11131572</v>
      </c>
      <c r="F8">
        <f t="shared" si="8"/>
        <v>1831219</v>
      </c>
      <c r="G8">
        <f t="shared" si="9"/>
        <v>12962791</v>
      </c>
      <c r="H8">
        <f t="shared" si="10"/>
        <v>3931461</v>
      </c>
      <c r="I8">
        <f t="shared" si="11"/>
        <v>0.76402924721001253</v>
      </c>
      <c r="J8">
        <f t="shared" si="2"/>
        <v>-0.43581931859462375</v>
      </c>
      <c r="K8">
        <f t="shared" si="12"/>
        <v>0.85873266027354755</v>
      </c>
      <c r="L8">
        <f t="shared" si="13"/>
        <v>33548111.714024208</v>
      </c>
      <c r="M8">
        <f t="shared" si="3"/>
        <v>0.74860853961815432</v>
      </c>
      <c r="N8">
        <f t="shared" si="14"/>
        <v>8433708.7968418505</v>
      </c>
      <c r="O8">
        <f t="shared" si="4"/>
        <v>9625122.1950250082</v>
      </c>
      <c r="P8">
        <f t="shared" si="15"/>
        <v>25114402.917182356</v>
      </c>
      <c r="Q8">
        <f t="shared" si="5"/>
        <v>9625122.1950250082</v>
      </c>
      <c r="X8" t="s">
        <v>29</v>
      </c>
      <c r="Y8" t="s">
        <v>30</v>
      </c>
      <c r="Z8" t="s">
        <v>31</v>
      </c>
      <c r="AE8">
        <f t="shared" si="18"/>
        <v>11801057.729694817</v>
      </c>
      <c r="AF8">
        <f t="shared" si="16"/>
        <v>0.50842900165654581</v>
      </c>
      <c r="AG8">
        <f t="shared" si="19"/>
        <v>9950146.0615187064</v>
      </c>
      <c r="AH8">
        <f t="shared" si="17"/>
        <v>0.51166155933744573</v>
      </c>
    </row>
    <row r="9" spans="1:34" x14ac:dyDescent="0.35">
      <c r="A9" s="2">
        <v>1969</v>
      </c>
      <c r="B9" s="3">
        <v>2400548</v>
      </c>
      <c r="C9" s="3">
        <v>1530913</v>
      </c>
      <c r="D9">
        <f t="shared" si="6"/>
        <v>1969</v>
      </c>
      <c r="E9">
        <f t="shared" si="7"/>
        <v>2400548</v>
      </c>
      <c r="F9">
        <f t="shared" si="8"/>
        <v>1530913</v>
      </c>
      <c r="G9">
        <f t="shared" si="9"/>
        <v>3931461</v>
      </c>
      <c r="H9">
        <f t="shared" si="10"/>
        <v>9763328</v>
      </c>
      <c r="I9">
        <f t="shared" si="11"/>
        <v>1.85276903645313</v>
      </c>
      <c r="J9">
        <f t="shared" si="2"/>
        <v>0.62417977529643665</v>
      </c>
      <c r="K9">
        <f t="shared" si="12"/>
        <v>0.61059946925583131</v>
      </c>
      <c r="L9">
        <f t="shared" si="13"/>
        <v>9625122.1950250082</v>
      </c>
      <c r="M9">
        <f t="shared" si="3"/>
        <v>0.50028649937223768</v>
      </c>
      <c r="N9">
        <f t="shared" si="14"/>
        <v>4809803.5060459189</v>
      </c>
      <c r="O9">
        <f t="shared" si="4"/>
        <v>22412526.908048883</v>
      </c>
      <c r="P9">
        <f t="shared" si="15"/>
        <v>4815318.6889790893</v>
      </c>
      <c r="Q9">
        <f t="shared" si="5"/>
        <v>22412526.908048883</v>
      </c>
      <c r="X9" t="s">
        <v>32</v>
      </c>
      <c r="Y9" s="6">
        <v>163833312</v>
      </c>
      <c r="Z9" s="6">
        <v>314125.32339131803</v>
      </c>
      <c r="AE9">
        <f t="shared" si="18"/>
        <v>13801057.729694817</v>
      </c>
      <c r="AF9">
        <f t="shared" si="16"/>
        <v>0.57966571524347232</v>
      </c>
      <c r="AG9">
        <f t="shared" si="19"/>
        <v>11950146.061518706</v>
      </c>
      <c r="AH9">
        <f t="shared" si="17"/>
        <v>0.5680384962954439</v>
      </c>
    </row>
    <row r="10" spans="1:34" x14ac:dyDescent="0.35">
      <c r="A10" s="2">
        <v>1971</v>
      </c>
      <c r="B10" s="3">
        <v>7958376</v>
      </c>
      <c r="C10" s="3">
        <v>1804952</v>
      </c>
      <c r="D10">
        <f t="shared" si="6"/>
        <v>1971</v>
      </c>
      <c r="E10">
        <f t="shared" si="7"/>
        <v>7958376</v>
      </c>
      <c r="F10">
        <f t="shared" si="8"/>
        <v>1804952</v>
      </c>
      <c r="G10">
        <f t="shared" si="9"/>
        <v>9763328</v>
      </c>
      <c r="H10">
        <f t="shared" si="10"/>
        <v>6803984</v>
      </c>
      <c r="I10">
        <f t="shared" si="11"/>
        <v>1.3269743243394778</v>
      </c>
      <c r="J10">
        <f t="shared" si="2"/>
        <v>0.12461188320496963</v>
      </c>
      <c r="K10">
        <f t="shared" si="12"/>
        <v>0.81512943127589277</v>
      </c>
      <c r="L10">
        <f t="shared" si="13"/>
        <v>22412526.908048883</v>
      </c>
      <c r="M10">
        <f t="shared" si="3"/>
        <v>0.69896893937862459</v>
      </c>
      <c r="N10">
        <f t="shared" si="14"/>
        <v>6746866.7463350706</v>
      </c>
      <c r="O10">
        <f t="shared" si="4"/>
        <v>15848709.4170055</v>
      </c>
      <c r="P10">
        <f t="shared" si="15"/>
        <v>15665660.161713813</v>
      </c>
      <c r="Q10">
        <f t="shared" si="5"/>
        <v>15848709.417005496</v>
      </c>
      <c r="X10" t="s">
        <v>25</v>
      </c>
      <c r="Y10" s="6">
        <v>246152655.01619121</v>
      </c>
      <c r="Z10" s="6">
        <v>421609.50649116532</v>
      </c>
      <c r="AE10">
        <f t="shared" si="18"/>
        <v>15801057.729694817</v>
      </c>
      <c r="AF10">
        <f t="shared" si="16"/>
        <v>0.63286902504046105</v>
      </c>
      <c r="AG10">
        <f t="shared" si="19"/>
        <v>13950146.061518706</v>
      </c>
      <c r="AH10">
        <f t="shared" si="17"/>
        <v>0.60825017255742297</v>
      </c>
    </row>
    <row r="11" spans="1:34" x14ac:dyDescent="0.35">
      <c r="A11" s="2">
        <v>1973</v>
      </c>
      <c r="B11" s="3">
        <v>5049723</v>
      </c>
      <c r="C11" s="3">
        <v>1754261</v>
      </c>
      <c r="D11">
        <f t="shared" si="6"/>
        <v>1973</v>
      </c>
      <c r="E11">
        <f t="shared" si="7"/>
        <v>5049723</v>
      </c>
      <c r="F11">
        <f t="shared" si="8"/>
        <v>1754261</v>
      </c>
      <c r="G11">
        <f t="shared" si="9"/>
        <v>6803984</v>
      </c>
      <c r="H11">
        <f t="shared" si="10"/>
        <v>4893955</v>
      </c>
      <c r="I11">
        <f t="shared" si="11"/>
        <v>1.0259530844290714</v>
      </c>
      <c r="J11">
        <f t="shared" si="2"/>
        <v>-0.18126072360483647</v>
      </c>
      <c r="K11">
        <f t="shared" si="12"/>
        <v>0.74217149834567508</v>
      </c>
      <c r="L11">
        <f t="shared" si="13"/>
        <v>15848709.4170055</v>
      </c>
      <c r="M11">
        <f t="shared" si="3"/>
        <v>0.63703254487525662</v>
      </c>
      <c r="N11">
        <f t="shared" si="14"/>
        <v>5752565.7241020417</v>
      </c>
      <c r="O11">
        <f t="shared" si="4"/>
        <v>10945654.21652215</v>
      </c>
      <c r="P11">
        <f t="shared" si="15"/>
        <v>10096143.692903459</v>
      </c>
      <c r="Q11">
        <f t="shared" si="5"/>
        <v>10945654.216522153</v>
      </c>
      <c r="X11" t="s">
        <v>26</v>
      </c>
      <c r="Y11" s="6">
        <v>311583707.49543953</v>
      </c>
      <c r="Z11" s="6">
        <v>448065.23533298518</v>
      </c>
      <c r="AE11">
        <f t="shared" si="18"/>
        <v>17801057.729694817</v>
      </c>
      <c r="AF11">
        <f t="shared" si="16"/>
        <v>0.67411724529055439</v>
      </c>
      <c r="AG11">
        <f t="shared" si="19"/>
        <v>15950146.061518706</v>
      </c>
      <c r="AH11">
        <f t="shared" si="17"/>
        <v>0.63837750824800299</v>
      </c>
    </row>
    <row r="12" spans="1:34" x14ac:dyDescent="0.35">
      <c r="A12" s="2">
        <v>1975</v>
      </c>
      <c r="B12" s="3">
        <v>3526866</v>
      </c>
      <c r="C12" s="3">
        <v>1367089</v>
      </c>
      <c r="D12">
        <f t="shared" si="6"/>
        <v>1975</v>
      </c>
      <c r="E12">
        <f t="shared" si="7"/>
        <v>3526866</v>
      </c>
      <c r="F12">
        <f t="shared" si="8"/>
        <v>1367089</v>
      </c>
      <c r="G12">
        <f t="shared" si="9"/>
        <v>4893955</v>
      </c>
      <c r="H12">
        <f t="shared" si="10"/>
        <v>8209485</v>
      </c>
      <c r="I12">
        <f t="shared" si="11"/>
        <v>1.7926065314226114</v>
      </c>
      <c r="J12">
        <f t="shared" si="2"/>
        <v>0.54833854364921608</v>
      </c>
      <c r="K12">
        <f t="shared" si="12"/>
        <v>0.72065762762428343</v>
      </c>
      <c r="L12">
        <f t="shared" si="13"/>
        <v>10945654.21652215</v>
      </c>
      <c r="M12">
        <f t="shared" si="3"/>
        <v>0.54229866906019675</v>
      </c>
      <c r="N12">
        <f t="shared" si="14"/>
        <v>5009840.5029090578</v>
      </c>
      <c r="O12">
        <f t="shared" si="4"/>
        <v>21229297.261717342</v>
      </c>
      <c r="P12">
        <f t="shared" si="15"/>
        <v>5935813.713613092</v>
      </c>
      <c r="Q12">
        <f t="shared" si="5"/>
        <v>21229297.261717334</v>
      </c>
      <c r="X12" t="s">
        <v>34</v>
      </c>
      <c r="Y12" s="6">
        <v>304746069.80808192</v>
      </c>
      <c r="Z12" s="6">
        <v>461833.00424018898</v>
      </c>
      <c r="AE12">
        <f t="shared" si="18"/>
        <v>19801057.729694817</v>
      </c>
      <c r="AF12">
        <f t="shared" si="16"/>
        <v>0.70703293688219426</v>
      </c>
      <c r="AG12">
        <f t="shared" si="19"/>
        <v>17950146.061518706</v>
      </c>
      <c r="AH12">
        <f t="shared" si="17"/>
        <v>0.66179128615753136</v>
      </c>
    </row>
    <row r="13" spans="1:34" x14ac:dyDescent="0.35">
      <c r="A13" s="2">
        <v>1977</v>
      </c>
      <c r="B13" s="3">
        <v>5821674</v>
      </c>
      <c r="C13" s="3">
        <v>2387811</v>
      </c>
      <c r="D13">
        <f t="shared" si="6"/>
        <v>1977</v>
      </c>
      <c r="E13">
        <f t="shared" si="7"/>
        <v>5821674</v>
      </c>
      <c r="F13">
        <f t="shared" si="8"/>
        <v>2387811</v>
      </c>
      <c r="G13">
        <f t="shared" si="9"/>
        <v>8209485</v>
      </c>
      <c r="H13">
        <f t="shared" si="10"/>
        <v>14404120</v>
      </c>
      <c r="I13">
        <f t="shared" si="11"/>
        <v>1.7971372301015636</v>
      </c>
      <c r="J13">
        <f t="shared" si="2"/>
        <v>0.65055713414898486</v>
      </c>
      <c r="K13">
        <f t="shared" si="12"/>
        <v>0.70913997650278915</v>
      </c>
      <c r="L13">
        <f t="shared" si="13"/>
        <v>21229297.261717342</v>
      </c>
      <c r="M13">
        <f t="shared" si="3"/>
        <v>0.69063372545614077</v>
      </c>
      <c r="N13">
        <f t="shared" si="14"/>
        <v>6567628.6050416464</v>
      </c>
      <c r="O13">
        <f t="shared" si="4"/>
        <v>26556163.524571165</v>
      </c>
      <c r="P13">
        <f t="shared" si="15"/>
        <v>14661668.656675696</v>
      </c>
      <c r="Q13">
        <f t="shared" si="5"/>
        <v>26556163.524571169</v>
      </c>
      <c r="Y13">
        <f>MAX(Y9:Y12)</f>
        <v>311583707.49543953</v>
      </c>
      <c r="Z13">
        <f>MAX(Z9:Z12)</f>
        <v>461833.00424018898</v>
      </c>
      <c r="AE13">
        <f t="shared" si="18"/>
        <v>21801057.729694817</v>
      </c>
      <c r="AF13">
        <f t="shared" si="16"/>
        <v>0.73390934505928562</v>
      </c>
      <c r="AG13">
        <f t="shared" si="19"/>
        <v>19950146.061518706</v>
      </c>
      <c r="AH13">
        <f t="shared" si="17"/>
        <v>0.68051060662552953</v>
      </c>
    </row>
    <row r="14" spans="1:34" x14ac:dyDescent="0.35">
      <c r="A14" s="2">
        <v>1979</v>
      </c>
      <c r="B14" s="3">
        <v>10843466</v>
      </c>
      <c r="C14" s="3">
        <v>3560654</v>
      </c>
      <c r="D14">
        <f t="shared" si="6"/>
        <v>1979</v>
      </c>
      <c r="E14">
        <f t="shared" si="7"/>
        <v>10843466</v>
      </c>
      <c r="F14">
        <f t="shared" si="8"/>
        <v>3560654</v>
      </c>
      <c r="G14">
        <f t="shared" si="9"/>
        <v>14404120</v>
      </c>
      <c r="H14">
        <f t="shared" si="10"/>
        <v>18684689</v>
      </c>
      <c r="I14">
        <f t="shared" si="11"/>
        <v>1.6577601825749047</v>
      </c>
      <c r="J14">
        <f t="shared" si="2"/>
        <v>0.62342667296689602</v>
      </c>
      <c r="K14">
        <f t="shared" si="12"/>
        <v>0.75280308689458297</v>
      </c>
      <c r="L14">
        <f t="shared" si="13"/>
        <v>26556163.524571165</v>
      </c>
      <c r="M14">
        <f t="shared" si="3"/>
        <v>0.72230350141597122</v>
      </c>
      <c r="N14">
        <f t="shared" si="14"/>
        <v>7374553.6265983135</v>
      </c>
      <c r="O14">
        <f t="shared" si="4"/>
        <v>26864009.173176356</v>
      </c>
      <c r="P14">
        <f t="shared" si="15"/>
        <v>19181609.897972852</v>
      </c>
      <c r="Q14">
        <f t="shared" si="5"/>
        <v>26864009.173176356</v>
      </c>
      <c r="AE14">
        <f t="shared" si="18"/>
        <v>23801057.729694817</v>
      </c>
      <c r="AF14">
        <f t="shared" si="16"/>
        <v>0.75626891058470624</v>
      </c>
      <c r="AG14">
        <f t="shared" si="19"/>
        <v>21950146.061518706</v>
      </c>
      <c r="AH14">
        <f t="shared" si="17"/>
        <v>0.69581868410397585</v>
      </c>
    </row>
    <row r="15" spans="1:34" x14ac:dyDescent="0.35">
      <c r="A15" s="2">
        <v>1981</v>
      </c>
      <c r="B15" s="3">
        <v>14196353</v>
      </c>
      <c r="C15" s="3">
        <v>4488336</v>
      </c>
      <c r="D15">
        <f t="shared" si="6"/>
        <v>1981</v>
      </c>
      <c r="E15">
        <f t="shared" si="7"/>
        <v>14196353</v>
      </c>
      <c r="F15">
        <f t="shared" si="8"/>
        <v>4488336</v>
      </c>
      <c r="G15">
        <f t="shared" si="9"/>
        <v>18684689</v>
      </c>
      <c r="H15">
        <f t="shared" si="10"/>
        <v>15346097</v>
      </c>
      <c r="I15">
        <f t="shared" si="11"/>
        <v>1.2293791428726557</v>
      </c>
      <c r="J15">
        <f t="shared" si="2"/>
        <v>0.28382915988611601</v>
      </c>
      <c r="K15">
        <f t="shared" si="12"/>
        <v>0.75978535152498394</v>
      </c>
      <c r="L15">
        <f t="shared" si="13"/>
        <v>26864009.173176356</v>
      </c>
      <c r="M15">
        <f t="shared" si="3"/>
        <v>0.72374984345009241</v>
      </c>
      <c r="N15">
        <f t="shared" si="14"/>
        <v>7421186.7396481214</v>
      </c>
      <c r="O15">
        <f t="shared" si="4"/>
        <v>19163942.676959991</v>
      </c>
      <c r="P15">
        <f t="shared" si="15"/>
        <v>19442822.433528233</v>
      </c>
      <c r="Q15">
        <f t="shared" si="5"/>
        <v>19163942.676959988</v>
      </c>
      <c r="X15" s="8" t="s">
        <v>38</v>
      </c>
      <c r="Y15" s="8"/>
      <c r="Z15" s="8"/>
      <c r="AA15" s="8"/>
      <c r="AE15">
        <f>AE14+2000000</f>
        <v>25801057.729694817</v>
      </c>
      <c r="AF15">
        <f t="shared" si="16"/>
        <v>0.7751620189191587</v>
      </c>
      <c r="AG15">
        <f t="shared" si="19"/>
        <v>23950146.061518706</v>
      </c>
      <c r="AH15">
        <f t="shared" si="17"/>
        <v>0.70857010452669889</v>
      </c>
    </row>
    <row r="16" spans="1:34" x14ac:dyDescent="0.35">
      <c r="A16" s="2">
        <v>1983</v>
      </c>
      <c r="B16" s="3">
        <v>10714376</v>
      </c>
      <c r="C16" s="3">
        <v>4631721</v>
      </c>
      <c r="D16">
        <f t="shared" si="6"/>
        <v>1983</v>
      </c>
      <c r="E16">
        <f t="shared" si="7"/>
        <v>10714376</v>
      </c>
      <c r="F16">
        <f t="shared" si="8"/>
        <v>4631721</v>
      </c>
      <c r="G16">
        <f t="shared" si="9"/>
        <v>15346097</v>
      </c>
      <c r="H16">
        <f t="shared" si="10"/>
        <v>19038024</v>
      </c>
      <c r="I16">
        <f t="shared" si="11"/>
        <v>1.4135097371689578</v>
      </c>
      <c r="J16">
        <f t="shared" si="2"/>
        <v>0.48168237245529533</v>
      </c>
      <c r="K16">
        <f t="shared" si="12"/>
        <v>0.69818247597418415</v>
      </c>
      <c r="L16">
        <f t="shared" si="13"/>
        <v>19163942.676959991</v>
      </c>
      <c r="M16">
        <f t="shared" si="3"/>
        <v>0.67361808533260725</v>
      </c>
      <c r="N16">
        <f t="shared" si="14"/>
        <v>6254764.3034823621</v>
      </c>
      <c r="O16">
        <f t="shared" si="4"/>
        <v>22010515.758480642</v>
      </c>
      <c r="P16">
        <f t="shared" si="15"/>
        <v>12909178.37347763</v>
      </c>
      <c r="Q16">
        <f t="shared" si="5"/>
        <v>22010515.758480638</v>
      </c>
      <c r="X16" s="8" t="s">
        <v>44</v>
      </c>
      <c r="Y16" s="8"/>
      <c r="Z16" s="8"/>
      <c r="AA16" s="8"/>
      <c r="AE16">
        <f>AE15+2000000</f>
        <v>27801057.729694817</v>
      </c>
      <c r="AF16">
        <f t="shared" si="16"/>
        <v>0.79133679782627109</v>
      </c>
      <c r="AG16">
        <f t="shared" si="19"/>
        <v>25950146.061518706</v>
      </c>
      <c r="AH16">
        <f t="shared" si="17"/>
        <v>0.71935599914583015</v>
      </c>
    </row>
    <row r="17" spans="1:27" x14ac:dyDescent="0.35">
      <c r="A17" s="2">
        <v>1985</v>
      </c>
      <c r="B17" s="3">
        <v>12577074</v>
      </c>
      <c r="C17" s="3">
        <v>6460950</v>
      </c>
      <c r="D17">
        <f t="shared" si="6"/>
        <v>1985</v>
      </c>
      <c r="E17">
        <f t="shared" si="7"/>
        <v>12577074</v>
      </c>
      <c r="F17">
        <f t="shared" si="8"/>
        <v>6460950</v>
      </c>
      <c r="G17">
        <f t="shared" si="9"/>
        <v>19038024</v>
      </c>
      <c r="H17">
        <f t="shared" si="10"/>
        <v>7171773</v>
      </c>
      <c r="I17">
        <f t="shared" si="11"/>
        <v>0.1043765385715632</v>
      </c>
      <c r="J17">
        <f t="shared" si="2"/>
        <v>-0.65238501520875913</v>
      </c>
      <c r="K17">
        <f t="shared" si="12"/>
        <v>0.66062917033826618</v>
      </c>
      <c r="L17">
        <f t="shared" si="13"/>
        <v>22010515.758480642</v>
      </c>
      <c r="M17">
        <f t="shared" si="3"/>
        <v>0.69623750227146297</v>
      </c>
      <c r="N17">
        <f t="shared" si="14"/>
        <v>6685969.2430894049</v>
      </c>
      <c r="O17">
        <f t="shared" si="4"/>
        <v>7263431.1502807802</v>
      </c>
      <c r="P17">
        <f t="shared" si="15"/>
        <v>15324546.515391238</v>
      </c>
      <c r="Q17">
        <f t="shared" si="5"/>
        <v>7263431.1502807811</v>
      </c>
      <c r="X17" s="8" t="s">
        <v>45</v>
      </c>
      <c r="Y17" s="8"/>
      <c r="Z17" s="8"/>
      <c r="AA17" s="8"/>
    </row>
    <row r="18" spans="1:27" x14ac:dyDescent="0.35">
      <c r="A18" s="2">
        <v>1987</v>
      </c>
      <c r="B18" s="3">
        <v>3948252</v>
      </c>
      <c r="C18" s="3">
        <v>3223521</v>
      </c>
      <c r="D18">
        <f t="shared" si="6"/>
        <v>1987</v>
      </c>
      <c r="E18">
        <f t="shared" si="7"/>
        <v>3948252</v>
      </c>
      <c r="F18">
        <f t="shared" si="8"/>
        <v>3223521</v>
      </c>
      <c r="G18">
        <f t="shared" si="9"/>
        <v>7171773</v>
      </c>
      <c r="H18">
        <f t="shared" si="10"/>
        <v>16484275</v>
      </c>
      <c r="I18">
        <f t="shared" si="11"/>
        <v>1.6319326557760858</v>
      </c>
      <c r="J18">
        <f t="shared" si="2"/>
        <v>0.56533393386421049</v>
      </c>
      <c r="K18">
        <f t="shared" si="12"/>
        <v>0.55052662709765077</v>
      </c>
      <c r="L18">
        <f t="shared" si="13"/>
        <v>7263431.1502807802</v>
      </c>
      <c r="M18">
        <f t="shared" si="3"/>
        <v>0.38705971934288058</v>
      </c>
      <c r="N18">
        <f t="shared" si="14"/>
        <v>4452049.5277867643</v>
      </c>
      <c r="O18">
        <f t="shared" si="4"/>
        <v>20241222.867413379</v>
      </c>
      <c r="P18">
        <f t="shared" si="15"/>
        <v>2811381.6224940158</v>
      </c>
      <c r="X18" s="8" t="s">
        <v>46</v>
      </c>
      <c r="Y18" s="8"/>
      <c r="Z18" s="8"/>
      <c r="AA18" s="8"/>
    </row>
    <row r="19" spans="1:27" x14ac:dyDescent="0.35">
      <c r="A19" s="2">
        <v>1989</v>
      </c>
      <c r="B19" s="3">
        <v>9295074</v>
      </c>
      <c r="C19" s="3">
        <v>7189201</v>
      </c>
      <c r="D19">
        <f t="shared" si="6"/>
        <v>1989</v>
      </c>
      <c r="E19">
        <f t="shared" si="7"/>
        <v>9295074</v>
      </c>
      <c r="F19">
        <f t="shared" si="8"/>
        <v>7189201</v>
      </c>
      <c r="G19">
        <f t="shared" si="9"/>
        <v>16484275</v>
      </c>
      <c r="H19">
        <f t="shared" si="10"/>
        <v>22173639</v>
      </c>
      <c r="I19">
        <f t="shared" si="11"/>
        <v>1.1263241118960534</v>
      </c>
      <c r="J19">
        <f t="shared" si="2"/>
        <v>0.43925960090152549</v>
      </c>
      <c r="K19">
        <f t="shared" si="12"/>
        <v>0.56387520834249616</v>
      </c>
      <c r="L19">
        <f t="shared" si="13"/>
        <v>20241222.867413379</v>
      </c>
      <c r="M19">
        <f t="shared" si="3"/>
        <v>0.68292661772032581</v>
      </c>
      <c r="N19">
        <f t="shared" si="14"/>
        <v>6417952.9960474456</v>
      </c>
      <c r="O19">
        <f t="shared" si="4"/>
        <v>21311256.107786242</v>
      </c>
      <c r="P19">
        <f t="shared" si="15"/>
        <v>13823269.871365935</v>
      </c>
    </row>
    <row r="20" spans="1:27" x14ac:dyDescent="0.35">
      <c r="A20" s="2">
        <v>1991</v>
      </c>
      <c r="B20" s="3">
        <v>9230804</v>
      </c>
      <c r="C20" s="3">
        <v>12942835</v>
      </c>
      <c r="D20">
        <f t="shared" si="6"/>
        <v>1991</v>
      </c>
      <c r="E20">
        <f t="shared" si="7"/>
        <v>9230804</v>
      </c>
      <c r="F20">
        <f t="shared" si="8"/>
        <v>12942835</v>
      </c>
      <c r="G20">
        <f t="shared" si="9"/>
        <v>22173639</v>
      </c>
      <c r="H20">
        <f t="shared" si="10"/>
        <v>16983498</v>
      </c>
      <c r="I20">
        <f t="shared" si="11"/>
        <v>0.27169981355841716</v>
      </c>
      <c r="J20">
        <f t="shared" si="2"/>
        <v>0.13528511296140538</v>
      </c>
      <c r="K20">
        <f t="shared" si="12"/>
        <v>0.41629630571689202</v>
      </c>
      <c r="L20">
        <f t="shared" si="13"/>
        <v>21311256.107786242</v>
      </c>
      <c r="M20">
        <f t="shared" si="3"/>
        <v>0.69124091644650398</v>
      </c>
      <c r="N20">
        <f t="shared" si="14"/>
        <v>6580043.9052139241</v>
      </c>
      <c r="O20">
        <f t="shared" si="4"/>
        <v>15874122.032734141</v>
      </c>
      <c r="P20">
        <f t="shared" si="15"/>
        <v>14731212.202572318</v>
      </c>
    </row>
    <row r="21" spans="1:27" x14ac:dyDescent="0.35">
      <c r="A21" s="2">
        <v>1993</v>
      </c>
      <c r="B21" s="3">
        <v>6215163</v>
      </c>
      <c r="C21" s="3">
        <v>10768335</v>
      </c>
      <c r="D21">
        <f t="shared" si="6"/>
        <v>1993</v>
      </c>
      <c r="E21">
        <f t="shared" si="7"/>
        <v>6215163</v>
      </c>
      <c r="F21">
        <f t="shared" si="8"/>
        <v>10768335</v>
      </c>
      <c r="G21">
        <f t="shared" si="9"/>
        <v>16983498</v>
      </c>
      <c r="H21">
        <f t="shared" si="10"/>
        <v>12903708</v>
      </c>
      <c r="I21">
        <f t="shared" si="11"/>
        <v>0.18090482880778486</v>
      </c>
      <c r="J21">
        <f t="shared" si="2"/>
        <v>-0.16361973986727979</v>
      </c>
      <c r="K21">
        <f t="shared" si="12"/>
        <v>0.36595305631384067</v>
      </c>
      <c r="L21">
        <f t="shared" si="13"/>
        <v>15874122.032734141</v>
      </c>
      <c r="M21">
        <f t="shared" si="3"/>
        <v>0.63737110819317666</v>
      </c>
      <c r="N21">
        <f t="shared" si="14"/>
        <v>5756415.281136659</v>
      </c>
      <c r="O21">
        <f t="shared" si="4"/>
        <v>11143808.264864068</v>
      </c>
      <c r="P21">
        <f t="shared" si="15"/>
        <v>10117706.751597483</v>
      </c>
    </row>
    <row r="22" spans="1:27" x14ac:dyDescent="0.35">
      <c r="A22" s="2">
        <v>1995</v>
      </c>
      <c r="B22" s="3">
        <v>5729124</v>
      </c>
      <c r="C22" s="3">
        <v>7174584</v>
      </c>
      <c r="D22">
        <f t="shared" si="6"/>
        <v>1995</v>
      </c>
      <c r="E22">
        <f t="shared" si="7"/>
        <v>5729124</v>
      </c>
      <c r="F22">
        <f t="shared" si="8"/>
        <v>7174584</v>
      </c>
      <c r="G22">
        <f t="shared" si="9"/>
        <v>12903708</v>
      </c>
      <c r="H22">
        <f t="shared" si="10"/>
        <v>8175964</v>
      </c>
      <c r="I22">
        <f t="shared" si="11"/>
        <v>0.13065384944978378</v>
      </c>
      <c r="J22">
        <f t="shared" si="2"/>
        <v>-0.55780957713071644</v>
      </c>
      <c r="K22">
        <f t="shared" si="12"/>
        <v>0.44399051807433954</v>
      </c>
      <c r="L22">
        <f t="shared" si="13"/>
        <v>11143808.264864068</v>
      </c>
      <c r="M22">
        <f t="shared" si="3"/>
        <v>0.5477437174563452</v>
      </c>
      <c r="N22">
        <f t="shared" si="14"/>
        <v>5039857.29924668</v>
      </c>
      <c r="O22">
        <f t="shared" si="4"/>
        <v>7045118.6992713008</v>
      </c>
      <c r="P22">
        <f t="shared" si="15"/>
        <v>6103950.9656173885</v>
      </c>
    </row>
    <row r="23" spans="1:27" x14ac:dyDescent="0.35">
      <c r="A23" s="2">
        <v>1997</v>
      </c>
      <c r="B23" s="3">
        <v>5333856</v>
      </c>
      <c r="C23" s="3">
        <v>2842108</v>
      </c>
      <c r="D23">
        <f t="shared" si="6"/>
        <v>1997</v>
      </c>
      <c r="E23">
        <f t="shared" si="7"/>
        <v>5333856</v>
      </c>
      <c r="F23">
        <f t="shared" si="8"/>
        <v>2842108</v>
      </c>
      <c r="G23">
        <f t="shared" si="9"/>
        <v>8175964</v>
      </c>
      <c r="H23">
        <f t="shared" si="10"/>
        <v>3608265</v>
      </c>
      <c r="I23">
        <f t="shared" si="11"/>
        <v>0.23868101703644934</v>
      </c>
      <c r="J23">
        <f t="shared" si="2"/>
        <v>-0.86442072125310099</v>
      </c>
      <c r="K23">
        <f t="shared" si="12"/>
        <v>0.65238252027528498</v>
      </c>
      <c r="L23">
        <f t="shared" si="13"/>
        <v>7045118.6992713008</v>
      </c>
      <c r="M23">
        <f t="shared" si="3"/>
        <v>0.37276016453324645</v>
      </c>
      <c r="N23">
        <f t="shared" si="14"/>
        <v>4418979.0937746791</v>
      </c>
      <c r="O23">
        <f t="shared" si="4"/>
        <v>4824348.6879325099</v>
      </c>
      <c r="P23">
        <f t="shared" si="15"/>
        <v>2626139.6054966217</v>
      </c>
      <c r="T23" t="s">
        <v>43</v>
      </c>
    </row>
    <row r="24" spans="1:27" x14ac:dyDescent="0.35">
      <c r="A24" s="2">
        <v>1999</v>
      </c>
      <c r="B24" s="3">
        <v>163283</v>
      </c>
      <c r="C24" s="3">
        <v>3444982</v>
      </c>
      <c r="D24">
        <f t="shared" si="6"/>
        <v>1999</v>
      </c>
      <c r="E24">
        <f t="shared" si="7"/>
        <v>163283</v>
      </c>
      <c r="F24">
        <f t="shared" si="8"/>
        <v>3444982</v>
      </c>
      <c r="G24">
        <f t="shared" si="9"/>
        <v>3608265</v>
      </c>
      <c r="H24">
        <f t="shared" si="10"/>
        <v>21261774</v>
      </c>
      <c r="I24">
        <f t="shared" si="11"/>
        <v>1.8199921330299718</v>
      </c>
      <c r="J24">
        <f t="shared" si="2"/>
        <v>0.77458826947378001</v>
      </c>
      <c r="K24">
        <f t="shared" si="12"/>
        <v>4.5252496698551796E-2</v>
      </c>
      <c r="L24">
        <f t="shared" si="13"/>
        <v>4824348.6879325099</v>
      </c>
      <c r="M24">
        <f t="shared" si="3"/>
        <v>0.15375682870157983</v>
      </c>
      <c r="N24">
        <f t="shared" si="14"/>
        <v>4082572.1331253797</v>
      </c>
      <c r="O24">
        <f t="shared" si="4"/>
        <v>23705307.679554671</v>
      </c>
      <c r="P24">
        <f t="shared" si="15"/>
        <v>741776.55480713025</v>
      </c>
      <c r="T24" t="s">
        <v>40</v>
      </c>
      <c r="U24">
        <f>SUM(E24:E36)</f>
        <v>27028171</v>
      </c>
    </row>
    <row r="25" spans="1:27" x14ac:dyDescent="0.35">
      <c r="A25" s="2">
        <v>2001</v>
      </c>
      <c r="B25" s="3">
        <v>1448154</v>
      </c>
      <c r="C25" s="3">
        <v>19813620</v>
      </c>
      <c r="D25">
        <f t="shared" si="6"/>
        <v>2001</v>
      </c>
      <c r="E25">
        <f t="shared" si="7"/>
        <v>1448154</v>
      </c>
      <c r="F25">
        <f t="shared" si="8"/>
        <v>19813620</v>
      </c>
      <c r="G25">
        <f t="shared" si="9"/>
        <v>21261774</v>
      </c>
      <c r="H25">
        <f t="shared" si="10"/>
        <v>24250000</v>
      </c>
      <c r="I25">
        <f t="shared" si="11"/>
        <v>0.20204703737529697</v>
      </c>
      <c r="J25">
        <f t="shared" si="2"/>
        <v>0.72319874742103663</v>
      </c>
      <c r="K25">
        <f t="shared" si="12"/>
        <v>6.8110685401886029E-2</v>
      </c>
      <c r="L25">
        <f t="shared" si="13"/>
        <v>23705307.679554671</v>
      </c>
      <c r="M25">
        <f t="shared" si="3"/>
        <v>0.7071246651287465</v>
      </c>
      <c r="N25">
        <f t="shared" si="14"/>
        <v>6942699.924875672</v>
      </c>
      <c r="O25">
        <f t="shared" si="4"/>
        <v>29123497.036421612</v>
      </c>
      <c r="P25">
        <f t="shared" si="15"/>
        <v>16762607.754678998</v>
      </c>
      <c r="T25" t="s">
        <v>41</v>
      </c>
      <c r="U25">
        <f>SUM(P24:P36)</f>
        <v>92327073.820590556</v>
      </c>
    </row>
    <row r="26" spans="1:27" x14ac:dyDescent="0.35">
      <c r="A26" s="2">
        <v>2003</v>
      </c>
      <c r="B26" s="3">
        <v>2068970</v>
      </c>
      <c r="C26" s="3">
        <v>22181030</v>
      </c>
      <c r="D26">
        <f t="shared" si="6"/>
        <v>2003</v>
      </c>
      <c r="E26">
        <f t="shared" si="7"/>
        <v>2068970</v>
      </c>
      <c r="F26">
        <f t="shared" si="8"/>
        <v>22181030</v>
      </c>
      <c r="G26">
        <f t="shared" si="9"/>
        <v>24250000</v>
      </c>
      <c r="H26">
        <f t="shared" si="10"/>
        <v>9870000</v>
      </c>
      <c r="I26">
        <f t="shared" si="11"/>
        <v>-0.80973756563125143</v>
      </c>
      <c r="J26">
        <f t="shared" si="2"/>
        <v>-6.201359401427109E-2</v>
      </c>
      <c r="K26">
        <f t="shared" si="12"/>
        <v>8.5318350515463923E-2</v>
      </c>
      <c r="L26">
        <f t="shared" si="13"/>
        <v>29123497.036421612</v>
      </c>
      <c r="M26">
        <f t="shared" si="3"/>
        <v>0.73342971988995231</v>
      </c>
      <c r="N26">
        <f t="shared" si="14"/>
        <v>7763458.7627830524</v>
      </c>
      <c r="O26">
        <f t="shared" si="4"/>
        <v>13729127.933575574</v>
      </c>
      <c r="P26">
        <f t="shared" si="15"/>
        <v>21360038.273638561</v>
      </c>
      <c r="T26" t="s">
        <v>42</v>
      </c>
      <c r="U26">
        <f>U25-U24</f>
        <v>65298902.820590556</v>
      </c>
    </row>
    <row r="27" spans="1:27" x14ac:dyDescent="0.35">
      <c r="A27" s="2">
        <v>2005</v>
      </c>
      <c r="B27" s="3">
        <v>1060376</v>
      </c>
      <c r="C27" s="3">
        <v>8809624</v>
      </c>
      <c r="D27">
        <f t="shared" si="6"/>
        <v>2005</v>
      </c>
      <c r="E27">
        <f t="shared" si="7"/>
        <v>1060376</v>
      </c>
      <c r="F27">
        <f t="shared" si="8"/>
        <v>8809624</v>
      </c>
      <c r="G27">
        <f t="shared" si="9"/>
        <v>9870000</v>
      </c>
      <c r="H27">
        <f t="shared" si="10"/>
        <v>8490000</v>
      </c>
      <c r="I27">
        <f t="shared" si="11"/>
        <v>-3.6955759939947062E-2</v>
      </c>
      <c r="J27">
        <f t="shared" si="2"/>
        <v>-0.56893817539037639</v>
      </c>
      <c r="K27">
        <f t="shared" si="12"/>
        <v>0.10743424518743667</v>
      </c>
      <c r="L27">
        <f t="shared" si="13"/>
        <v>13729127.933575574</v>
      </c>
      <c r="M27">
        <f t="shared" si="3"/>
        <v>0.60438222711787781</v>
      </c>
      <c r="N27">
        <f t="shared" si="14"/>
        <v>5431487.0166949015</v>
      </c>
      <c r="O27">
        <f t="shared" si="4"/>
        <v>7232326.5235965215</v>
      </c>
      <c r="P27">
        <f t="shared" si="15"/>
        <v>8297640.9168806728</v>
      </c>
    </row>
    <row r="28" spans="1:27" x14ac:dyDescent="0.35">
      <c r="A28" s="2">
        <v>2007</v>
      </c>
      <c r="B28" s="3">
        <v>839948</v>
      </c>
      <c r="C28" s="3">
        <v>7650052</v>
      </c>
      <c r="D28">
        <f t="shared" si="6"/>
        <v>2007</v>
      </c>
      <c r="E28">
        <f t="shared" si="7"/>
        <v>839948</v>
      </c>
      <c r="F28">
        <f t="shared" si="8"/>
        <v>7650052</v>
      </c>
      <c r="G28">
        <f t="shared" si="9"/>
        <v>8490000</v>
      </c>
      <c r="H28">
        <f t="shared" si="10"/>
        <v>19993043</v>
      </c>
      <c r="I28">
        <f t="shared" si="11"/>
        <v>0.96067191783918293</v>
      </c>
      <c r="J28">
        <f t="shared" si="2"/>
        <v>0.31771301310523847</v>
      </c>
      <c r="K28">
        <f t="shared" si="12"/>
        <v>9.893380447585394E-2</v>
      </c>
      <c r="L28">
        <f t="shared" si="13"/>
        <v>7232326.5235965215</v>
      </c>
      <c r="M28">
        <f t="shared" si="3"/>
        <v>0.38507509052218863</v>
      </c>
      <c r="N28">
        <f t="shared" si="14"/>
        <v>4447337.732836565</v>
      </c>
      <c r="O28">
        <f t="shared" si="4"/>
        <v>15791824.632154884</v>
      </c>
      <c r="P28">
        <f t="shared" si="15"/>
        <v>2784988.7907599565</v>
      </c>
    </row>
    <row r="29" spans="1:27" x14ac:dyDescent="0.35">
      <c r="A29" s="2">
        <v>2009</v>
      </c>
      <c r="B29" s="3">
        <v>4564207</v>
      </c>
      <c r="C29" s="3">
        <v>15428836</v>
      </c>
      <c r="D29">
        <f t="shared" si="6"/>
        <v>2009</v>
      </c>
      <c r="E29">
        <f t="shared" si="7"/>
        <v>4564207</v>
      </c>
      <c r="F29">
        <f t="shared" si="8"/>
        <v>15428836</v>
      </c>
      <c r="G29">
        <f t="shared" si="9"/>
        <v>19993043</v>
      </c>
      <c r="H29">
        <f t="shared" si="10"/>
        <v>20645120</v>
      </c>
      <c r="I29">
        <f t="shared" si="11"/>
        <v>0.29124074579654452</v>
      </c>
      <c r="J29">
        <f t="shared" si="2"/>
        <v>0.39274802273547521</v>
      </c>
      <c r="K29">
        <f t="shared" si="12"/>
        <v>0.22828976059322234</v>
      </c>
      <c r="L29">
        <f t="shared" si="13"/>
        <v>15791824.632154884</v>
      </c>
      <c r="M29">
        <f t="shared" si="3"/>
        <v>0.63627073946147916</v>
      </c>
      <c r="N29">
        <f t="shared" si="14"/>
        <v>5743948.696007695</v>
      </c>
      <c r="O29">
        <f t="shared" si="4"/>
        <v>19419483.582849223</v>
      </c>
      <c r="P29">
        <f t="shared" si="15"/>
        <v>10047875.936147189</v>
      </c>
    </row>
    <row r="30" spans="1:27" x14ac:dyDescent="0.35">
      <c r="A30" s="2">
        <v>2011</v>
      </c>
      <c r="B30" s="3">
        <v>7860612</v>
      </c>
      <c r="C30" s="3">
        <v>12784508</v>
      </c>
      <c r="D30">
        <f t="shared" si="6"/>
        <v>2011</v>
      </c>
      <c r="E30">
        <f t="shared" si="7"/>
        <v>7860612</v>
      </c>
      <c r="F30">
        <f t="shared" si="8"/>
        <v>12784508</v>
      </c>
      <c r="G30">
        <f t="shared" si="9"/>
        <v>20645120</v>
      </c>
      <c r="H30">
        <f t="shared" si="10"/>
        <v>15897819</v>
      </c>
      <c r="I30">
        <f t="shared" si="11"/>
        <v>0.21794780460034338</v>
      </c>
      <c r="J30">
        <f t="shared" si="2"/>
        <v>6.6380466117291564E-2</v>
      </c>
      <c r="K30">
        <f t="shared" si="12"/>
        <v>0.38074915524831049</v>
      </c>
      <c r="L30">
        <f t="shared" si="13"/>
        <v>19419483.582849223</v>
      </c>
      <c r="M30">
        <f t="shared" si="3"/>
        <v>0.67591959095598164</v>
      </c>
      <c r="N30">
        <f t="shared" si="14"/>
        <v>6293474.1829533754</v>
      </c>
      <c r="O30">
        <f t="shared" si="4"/>
        <v>14565904.583321922</v>
      </c>
      <c r="P30">
        <f t="shared" si="15"/>
        <v>13126009.399895847</v>
      </c>
    </row>
    <row r="31" spans="1:27" x14ac:dyDescent="0.35">
      <c r="A31" s="2">
        <v>2013</v>
      </c>
      <c r="B31" s="3">
        <v>6553329</v>
      </c>
      <c r="C31" s="3">
        <v>9344490</v>
      </c>
      <c r="D31">
        <f t="shared" si="6"/>
        <v>2013</v>
      </c>
      <c r="E31">
        <f t="shared" si="7"/>
        <v>6553329</v>
      </c>
      <c r="F31">
        <f t="shared" si="8"/>
        <v>9344490</v>
      </c>
      <c r="G31">
        <f t="shared" si="9"/>
        <v>15897819</v>
      </c>
      <c r="H31">
        <f t="shared" si="10"/>
        <v>5865236</v>
      </c>
      <c r="I31">
        <f t="shared" si="11"/>
        <v>-0.46574414477937098</v>
      </c>
      <c r="J31">
        <f t="shared" si="2"/>
        <v>-0.94653737066924115</v>
      </c>
      <c r="K31">
        <f t="shared" si="12"/>
        <v>0.41221560013986824</v>
      </c>
      <c r="L31">
        <f t="shared" si="13"/>
        <v>14565904.583321922</v>
      </c>
      <c r="M31">
        <f t="shared" si="3"/>
        <v>0.6184072406881802</v>
      </c>
      <c r="N31">
        <f t="shared" si="14"/>
        <v>5558243.7218224946</v>
      </c>
      <c r="O31">
        <f t="shared" si="4"/>
        <v>5012323.5839166064</v>
      </c>
      <c r="P31">
        <f t="shared" si="15"/>
        <v>9007660.8614994269</v>
      </c>
    </row>
    <row r="32" spans="1:27" x14ac:dyDescent="0.35">
      <c r="A32" s="2">
        <v>2015</v>
      </c>
      <c r="B32" s="3">
        <v>496240</v>
      </c>
      <c r="C32" s="3">
        <v>5368996</v>
      </c>
      <c r="D32">
        <f t="shared" si="6"/>
        <v>2015</v>
      </c>
      <c r="E32">
        <f t="shared" si="7"/>
        <v>496240</v>
      </c>
      <c r="F32">
        <f t="shared" si="8"/>
        <v>5368996</v>
      </c>
      <c r="G32">
        <f t="shared" si="9"/>
        <v>5865236</v>
      </c>
      <c r="H32">
        <f t="shared" si="10"/>
        <v>3563091</v>
      </c>
      <c r="I32">
        <f t="shared" si="11"/>
        <v>-0.41001249984985999</v>
      </c>
      <c r="J32">
        <f t="shared" si="2"/>
        <v>-1.2712791825735263</v>
      </c>
      <c r="K32">
        <f t="shared" si="12"/>
        <v>8.4606996206120264E-2</v>
      </c>
      <c r="L32">
        <f t="shared" si="13"/>
        <v>5012323.5839166064</v>
      </c>
      <c r="M32">
        <f t="shared" si="3"/>
        <v>0.17981213682539365</v>
      </c>
      <c r="N32">
        <f t="shared" si="14"/>
        <v>4111046.9698322462</v>
      </c>
      <c r="O32">
        <f t="shared" si="4"/>
        <v>3077313.163495014</v>
      </c>
      <c r="P32">
        <f t="shared" si="15"/>
        <v>901276.61408436019</v>
      </c>
    </row>
    <row r="33" spans="1:16" x14ac:dyDescent="0.35">
      <c r="A33" s="2">
        <v>2017</v>
      </c>
      <c r="B33" s="3">
        <v>170932</v>
      </c>
      <c r="C33" s="3">
        <v>3392159</v>
      </c>
      <c r="D33">
        <f t="shared" si="6"/>
        <v>2017</v>
      </c>
      <c r="E33">
        <f t="shared" si="7"/>
        <v>170932</v>
      </c>
      <c r="F33">
        <f t="shared" si="8"/>
        <v>3392159</v>
      </c>
      <c r="G33">
        <f t="shared" si="9"/>
        <v>3563091</v>
      </c>
      <c r="H33">
        <f t="shared" si="10"/>
        <v>8858203</v>
      </c>
      <c r="I33">
        <f t="shared" si="11"/>
        <v>0.95987733054440605</v>
      </c>
      <c r="J33">
        <f t="shared" si="2"/>
        <v>-9.0581942329554077E-2</v>
      </c>
      <c r="K33">
        <f t="shared" si="12"/>
        <v>4.7972953820152223E-2</v>
      </c>
      <c r="L33">
        <f t="shared" si="13"/>
        <v>3077313.163495014</v>
      </c>
      <c r="M33">
        <f t="shared" si="3"/>
        <v>0</v>
      </c>
      <c r="N33">
        <f t="shared" si="14"/>
        <v>3077313.163495014</v>
      </c>
      <c r="O33">
        <f t="shared" si="4"/>
        <v>8281850.4135448569</v>
      </c>
      <c r="P33">
        <f t="shared" si="15"/>
        <v>0</v>
      </c>
    </row>
    <row r="34" spans="1:16" x14ac:dyDescent="0.35">
      <c r="A34" s="2">
        <v>2019</v>
      </c>
      <c r="B34" s="3">
        <v>550784</v>
      </c>
      <c r="C34" s="3">
        <v>8307419</v>
      </c>
      <c r="D34">
        <f t="shared" si="6"/>
        <v>2019</v>
      </c>
      <c r="E34">
        <f t="shared" si="7"/>
        <v>550784</v>
      </c>
      <c r="F34">
        <f t="shared" si="8"/>
        <v>8307419</v>
      </c>
      <c r="G34">
        <f t="shared" si="9"/>
        <v>8858203</v>
      </c>
      <c r="H34">
        <f t="shared" si="10"/>
        <v>8107514</v>
      </c>
      <c r="I34">
        <f t="shared" si="11"/>
        <v>-2.4357684979357377E-2</v>
      </c>
      <c r="J34">
        <f t="shared" si="2"/>
        <v>-0.60440347881476642</v>
      </c>
      <c r="K34">
        <f t="shared" si="12"/>
        <v>6.2177848035318221E-2</v>
      </c>
      <c r="L34">
        <f t="shared" si="13"/>
        <v>8281850.4135448569</v>
      </c>
      <c r="M34">
        <f t="shared" si="3"/>
        <v>0.44380523530309318</v>
      </c>
      <c r="N34">
        <f t="shared" si="14"/>
        <v>4606321.8420165619</v>
      </c>
      <c r="O34">
        <f t="shared" si="4"/>
        <v>6406315.9962689718</v>
      </c>
      <c r="P34">
        <f t="shared" si="15"/>
        <v>3675528.5715282951</v>
      </c>
    </row>
    <row r="35" spans="1:16" x14ac:dyDescent="0.35">
      <c r="A35" s="2">
        <v>2021</v>
      </c>
      <c r="B35" s="3">
        <v>280069</v>
      </c>
      <c r="C35" s="3">
        <v>7827445</v>
      </c>
      <c r="D35">
        <f t="shared" si="6"/>
        <v>2021</v>
      </c>
      <c r="E35">
        <f t="shared" si="7"/>
        <v>280069</v>
      </c>
      <c r="F35">
        <f t="shared" si="8"/>
        <v>7827445</v>
      </c>
      <c r="G35">
        <f t="shared" si="9"/>
        <v>8107514</v>
      </c>
      <c r="H35">
        <f t="shared" si="10"/>
        <v>10513292</v>
      </c>
      <c r="I35">
        <f t="shared" si="11"/>
        <v>0.29500421365888313</v>
      </c>
      <c r="J35">
        <f t="shared" si="2"/>
        <v>-0.3309773473969882</v>
      </c>
      <c r="K35">
        <f t="shared" si="12"/>
        <v>3.4544374514801947E-2</v>
      </c>
      <c r="L35">
        <f t="shared" si="13"/>
        <v>6406315.9962689718</v>
      </c>
      <c r="M35">
        <f t="shared" si="3"/>
        <v>0.32532021440572428</v>
      </c>
      <c r="N35">
        <f t="shared" si="14"/>
        <v>4322211.9028119287</v>
      </c>
      <c r="O35">
        <f t="shared" si="4"/>
        <v>8119258.059990094</v>
      </c>
      <c r="P35">
        <f t="shared" si="15"/>
        <v>2084104.0934570432</v>
      </c>
    </row>
    <row r="36" spans="1:16" x14ac:dyDescent="0.35">
      <c r="A36" s="2">
        <v>2023</v>
      </c>
      <c r="B36" s="3">
        <v>971267</v>
      </c>
      <c r="C36" s="3">
        <v>9542025</v>
      </c>
      <c r="D36">
        <f t="shared" si="6"/>
        <v>2023</v>
      </c>
      <c r="E36">
        <f t="shared" si="7"/>
        <v>971267</v>
      </c>
      <c r="F36">
        <f t="shared" si="8"/>
        <v>9542025</v>
      </c>
      <c r="G36">
        <f>E36+F36</f>
        <v>10513292</v>
      </c>
      <c r="H36" s="4">
        <f>G37</f>
        <v>19250000</v>
      </c>
      <c r="I36">
        <f>LN(H36/F36)</f>
        <v>0.70180533364750208</v>
      </c>
      <c r="J36">
        <f t="shared" si="2"/>
        <v>0.23991713548391291</v>
      </c>
      <c r="K36">
        <f t="shared" si="12"/>
        <v>9.2384668855388014E-2</v>
      </c>
      <c r="L36">
        <f t="shared" si="13"/>
        <v>8119258.059990094</v>
      </c>
      <c r="M36">
        <f t="shared" si="3"/>
        <v>0.43570065479817777</v>
      </c>
      <c r="N36">
        <f t="shared" si="14"/>
        <v>4581692.0067770276</v>
      </c>
      <c r="O36">
        <f t="shared" si="4"/>
        <v>14858927.657050552</v>
      </c>
      <c r="P36">
        <f t="shared" si="15"/>
        <v>3537566.0532130664</v>
      </c>
    </row>
    <row r="37" spans="1:16" x14ac:dyDescent="0.35">
      <c r="A37" s="2" t="s">
        <v>4</v>
      </c>
      <c r="B37" s="3"/>
      <c r="C37" s="3"/>
      <c r="D37">
        <v>2025</v>
      </c>
      <c r="E37" s="5">
        <v>1250000</v>
      </c>
      <c r="F37" s="5">
        <v>18000000</v>
      </c>
      <c r="G37" s="5">
        <f>E37+F37</f>
        <v>19250000</v>
      </c>
      <c r="K37" s="4">
        <f>E37/G37</f>
        <v>6.4935064935064929E-2</v>
      </c>
      <c r="L37">
        <f t="shared" si="13"/>
        <v>14858927.657050552</v>
      </c>
      <c r="M37">
        <f t="shared" si="3"/>
        <v>0.62294510014171312</v>
      </c>
      <c r="N37">
        <f t="shared" ref="N37" si="20">L37*(1-M37)</f>
        <v>5602631.4797307253</v>
      </c>
      <c r="O37">
        <f t="shared" si="4"/>
        <v>12963569.325366432</v>
      </c>
      <c r="P37">
        <f t="shared" ref="P37" si="21">L37-N37</f>
        <v>9256296.1773198266</v>
      </c>
    </row>
    <row r="38" spans="1:16" x14ac:dyDescent="0.35">
      <c r="A38" s="2" t="s">
        <v>5</v>
      </c>
      <c r="B38" s="3">
        <v>161833312</v>
      </c>
      <c r="C38" s="3">
        <v>213172374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tabSelected="1" topLeftCell="A20" workbookViewId="0">
      <selection activeCell="K27" sqref="K2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1959</v>
      </c>
      <c r="B2">
        <v>5382055</v>
      </c>
      <c r="C2">
        <v>1078000</v>
      </c>
    </row>
    <row r="3" spans="1:3" x14ac:dyDescent="0.35">
      <c r="A3">
        <v>1961</v>
      </c>
      <c r="B3">
        <v>796685</v>
      </c>
      <c r="C3">
        <v>1092561</v>
      </c>
    </row>
    <row r="4" spans="1:3" x14ac:dyDescent="0.35">
      <c r="A4">
        <v>1963</v>
      </c>
      <c r="B4">
        <v>3528312</v>
      </c>
      <c r="C4">
        <v>1954038</v>
      </c>
    </row>
    <row r="5" spans="1:3" x14ac:dyDescent="0.35">
      <c r="A5">
        <v>1965</v>
      </c>
      <c r="B5">
        <v>1125788</v>
      </c>
      <c r="C5">
        <v>1194099</v>
      </c>
    </row>
    <row r="6" spans="1:3" x14ac:dyDescent="0.35">
      <c r="A6">
        <v>1967</v>
      </c>
      <c r="B6">
        <v>11131572</v>
      </c>
      <c r="C6">
        <v>1831219</v>
      </c>
    </row>
    <row r="7" spans="1:3" x14ac:dyDescent="0.35">
      <c r="A7">
        <v>1969</v>
      </c>
      <c r="B7">
        <v>2400548</v>
      </c>
      <c r="C7">
        <v>1530913</v>
      </c>
    </row>
    <row r="8" spans="1:3" x14ac:dyDescent="0.35">
      <c r="A8">
        <v>1971</v>
      </c>
      <c r="B8">
        <v>7958376</v>
      </c>
      <c r="C8">
        <v>1804952</v>
      </c>
    </row>
    <row r="9" spans="1:3" x14ac:dyDescent="0.35">
      <c r="A9">
        <v>1973</v>
      </c>
      <c r="B9">
        <v>5049723</v>
      </c>
      <c r="C9">
        <v>1754261</v>
      </c>
    </row>
    <row r="10" spans="1:3" x14ac:dyDescent="0.35">
      <c r="A10">
        <v>1975</v>
      </c>
      <c r="B10">
        <v>3526866</v>
      </c>
      <c r="C10">
        <v>1367089</v>
      </c>
    </row>
    <row r="11" spans="1:3" x14ac:dyDescent="0.35">
      <c r="A11">
        <v>1977</v>
      </c>
      <c r="B11">
        <v>5821674</v>
      </c>
      <c r="C11">
        <v>2387811</v>
      </c>
    </row>
    <row r="12" spans="1:3" x14ac:dyDescent="0.35">
      <c r="A12">
        <v>1979</v>
      </c>
      <c r="B12">
        <v>10843466</v>
      </c>
      <c r="C12">
        <v>3560654</v>
      </c>
    </row>
    <row r="13" spans="1:3" x14ac:dyDescent="0.35">
      <c r="A13">
        <v>1981</v>
      </c>
      <c r="B13">
        <v>14196353</v>
      </c>
      <c r="C13">
        <v>4488336</v>
      </c>
    </row>
    <row r="14" spans="1:3" x14ac:dyDescent="0.35">
      <c r="A14">
        <v>1983</v>
      </c>
      <c r="B14">
        <v>10714376</v>
      </c>
      <c r="C14">
        <v>4631721</v>
      </c>
    </row>
    <row r="15" spans="1:3" x14ac:dyDescent="0.35">
      <c r="A15">
        <v>1985</v>
      </c>
      <c r="B15">
        <v>12577074</v>
      </c>
      <c r="C15">
        <v>6460950</v>
      </c>
    </row>
    <row r="16" spans="1:3" x14ac:dyDescent="0.35">
      <c r="A16">
        <v>1987</v>
      </c>
      <c r="B16">
        <v>3948252</v>
      </c>
      <c r="C16">
        <v>3223521</v>
      </c>
    </row>
    <row r="17" spans="1:3" x14ac:dyDescent="0.35">
      <c r="A17">
        <v>1989</v>
      </c>
      <c r="B17">
        <v>9295074</v>
      </c>
      <c r="C17">
        <v>7189201</v>
      </c>
    </row>
    <row r="18" spans="1:3" x14ac:dyDescent="0.35">
      <c r="A18">
        <v>1991</v>
      </c>
      <c r="B18">
        <v>9230804</v>
      </c>
      <c r="C18">
        <v>12942835</v>
      </c>
    </row>
    <row r="19" spans="1:3" x14ac:dyDescent="0.35">
      <c r="A19">
        <v>1993</v>
      </c>
      <c r="B19">
        <v>6215163</v>
      </c>
      <c r="C19">
        <v>10768335</v>
      </c>
    </row>
    <row r="20" spans="1:3" x14ac:dyDescent="0.35">
      <c r="A20">
        <v>1995</v>
      </c>
      <c r="B20">
        <v>5729124</v>
      </c>
      <c r="C20">
        <v>7174584</v>
      </c>
    </row>
    <row r="21" spans="1:3" x14ac:dyDescent="0.35">
      <c r="A21">
        <v>1997</v>
      </c>
      <c r="B21">
        <v>5333856</v>
      </c>
      <c r="C21">
        <v>2842108</v>
      </c>
    </row>
    <row r="22" spans="1:3" x14ac:dyDescent="0.35">
      <c r="A22">
        <v>1999</v>
      </c>
      <c r="B22">
        <v>163283</v>
      </c>
      <c r="C22">
        <v>3444982</v>
      </c>
    </row>
    <row r="23" spans="1:3" x14ac:dyDescent="0.35">
      <c r="A23">
        <v>2001</v>
      </c>
      <c r="B23">
        <v>1448154</v>
      </c>
      <c r="C23">
        <v>19813620</v>
      </c>
    </row>
    <row r="24" spans="1:3" x14ac:dyDescent="0.35">
      <c r="A24">
        <v>2003</v>
      </c>
      <c r="B24">
        <v>2068970</v>
      </c>
      <c r="C24">
        <v>22181030</v>
      </c>
    </row>
    <row r="25" spans="1:3" x14ac:dyDescent="0.35">
      <c r="A25">
        <v>2005</v>
      </c>
      <c r="B25">
        <v>1060376</v>
      </c>
      <c r="C25">
        <v>8809624</v>
      </c>
    </row>
    <row r="26" spans="1:3" x14ac:dyDescent="0.35">
      <c r="A26">
        <v>2007</v>
      </c>
      <c r="B26">
        <v>839948</v>
      </c>
      <c r="C26">
        <v>7650052</v>
      </c>
    </row>
    <row r="27" spans="1:3" x14ac:dyDescent="0.35">
      <c r="A27">
        <v>2009</v>
      </c>
      <c r="B27">
        <v>4564207</v>
      </c>
      <c r="C27">
        <v>15428836</v>
      </c>
    </row>
    <row r="28" spans="1:3" x14ac:dyDescent="0.35">
      <c r="A28">
        <v>2011</v>
      </c>
      <c r="B28">
        <v>7860612</v>
      </c>
      <c r="C28">
        <v>12784508</v>
      </c>
    </row>
    <row r="29" spans="1:3" x14ac:dyDescent="0.35">
      <c r="A29">
        <v>2013</v>
      </c>
      <c r="B29">
        <v>6553329</v>
      </c>
      <c r="C29">
        <v>9344490</v>
      </c>
    </row>
    <row r="30" spans="1:3" x14ac:dyDescent="0.35">
      <c r="A30">
        <v>2015</v>
      </c>
      <c r="B30">
        <v>496240</v>
      </c>
      <c r="C30">
        <v>5368996</v>
      </c>
    </row>
    <row r="31" spans="1:3" x14ac:dyDescent="0.35">
      <c r="A31">
        <v>2017</v>
      </c>
      <c r="B31">
        <v>170932</v>
      </c>
      <c r="C31">
        <v>3392159</v>
      </c>
    </row>
    <row r="32" spans="1:3" x14ac:dyDescent="0.35">
      <c r="A32">
        <v>2019</v>
      </c>
      <c r="B32">
        <v>550784</v>
      </c>
      <c r="C32">
        <v>8307419</v>
      </c>
    </row>
    <row r="33" spans="1:3" x14ac:dyDescent="0.35">
      <c r="A33">
        <v>2021</v>
      </c>
      <c r="B33">
        <v>280069</v>
      </c>
      <c r="C33">
        <v>7827445</v>
      </c>
    </row>
    <row r="34" spans="1:3" x14ac:dyDescent="0.35">
      <c r="A34">
        <v>2023</v>
      </c>
      <c r="B34">
        <v>971267</v>
      </c>
      <c r="C34">
        <v>9542025</v>
      </c>
    </row>
    <row r="35" spans="1:3" x14ac:dyDescent="0.35">
      <c r="A35">
        <v>2025</v>
      </c>
      <c r="B35">
        <v>1250000</v>
      </c>
      <c r="C35">
        <v>18000000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SR and retrospective</vt:lpstr>
      <vt:lpstr>pink_run_size_2025-05-16</vt:lpstr>
      <vt:lpstr>cutil</vt:lpstr>
      <vt:lpstr>policy</vt:lpstr>
      <vt:lpstr>ra</vt:lpstr>
      <vt:lpstr>rb</vt:lpstr>
      <vt:lpstr>retroC</vt:lpstr>
      <vt:lpstr>retroUtil</vt:lpstr>
      <vt:lpstr>Smsy</vt:lpstr>
      <vt:lpstr>Sutil</vt:lpstr>
      <vt:lpstr>Umsy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Walters, Carl</dc:creator>
  <cp:lastModifiedBy>Oleynik, Haley</cp:lastModifiedBy>
  <dcterms:created xsi:type="dcterms:W3CDTF">2025-05-16T13:35:05Z</dcterms:created>
  <dcterms:modified xsi:type="dcterms:W3CDTF">2026-01-29T19:28:00Z</dcterms:modified>
</cp:coreProperties>
</file>