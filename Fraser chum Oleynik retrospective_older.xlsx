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alters\Dropbox\Backups\Documents\Models\"/>
    </mc:Choice>
  </mc:AlternateContent>
  <xr:revisionPtr revIDLastSave="0" documentId="13_ncr:1_{BEBCDF80-0AA3-4ABB-B8E8-BC4EEFFC0479}" xr6:coauthVersionLast="36" xr6:coauthVersionMax="47" xr10:uidLastSave="{00000000-0000-0000-0000-000000000000}"/>
  <bookViews>
    <workbookView xWindow="-108" yWindow="-108" windowWidth="19422" windowHeight="11502" activeTab="1" xr2:uid="{848D9274-A22E-48FB-A236-0E21D922D889}"/>
  </bookViews>
  <sheets>
    <sheet name="Orig data" sheetId="1" r:id="rId1"/>
    <sheet name="policy compare" sheetId="2" r:id="rId2"/>
  </sheets>
  <definedNames>
    <definedName name="aa">'Orig data'!$B$1</definedName>
    <definedName name="ar">#REF!</definedName>
    <definedName name="bb">'Orig data'!$B$2</definedName>
    <definedName name="br">#REF!</definedName>
    <definedName name="cslope">'Orig data'!$AT$3</definedName>
    <definedName name="negLL">#REF!</definedName>
    <definedName name="nlim">'Orig data'!$AV$3</definedName>
    <definedName name="retroU">'Orig data'!$AN$2</definedName>
    <definedName name="retroUtil">'Orig data'!$AX$1</definedName>
    <definedName name="retroY">'Orig data'!$AN$3</definedName>
    <definedName name="rho">#REF!</definedName>
    <definedName name="sige">#REF!</definedName>
    <definedName name="sigev">#REF!</definedName>
    <definedName name="sigr">#REF!</definedName>
    <definedName name="solver_adj" localSheetId="0" hidden="1">'Orig data'!$AV$3,'Orig data'!$AT$3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'Orig data'!$AX$1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umethod">'Orig data'!$AR$2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" i="1" l="1"/>
  <c r="R3" i="2" s="1"/>
  <c r="AJ7" i="1"/>
  <c r="R4" i="2" s="1"/>
  <c r="AJ8" i="1"/>
  <c r="R5" i="2" s="1"/>
  <c r="AJ9" i="1"/>
  <c r="R6" i="2" s="1"/>
  <c r="AJ10" i="1"/>
  <c r="AJ11" i="1"/>
  <c r="AJ12" i="1"/>
  <c r="AJ13" i="1"/>
  <c r="AJ14" i="1"/>
  <c r="R11" i="2" s="1"/>
  <c r="AJ15" i="1"/>
  <c r="R12" i="2" s="1"/>
  <c r="AJ16" i="1"/>
  <c r="R13" i="2" s="1"/>
  <c r="AJ17" i="1"/>
  <c r="R14" i="2" s="1"/>
  <c r="AJ18" i="1"/>
  <c r="R15" i="2" s="1"/>
  <c r="AJ19" i="1"/>
  <c r="R16" i="2" s="1"/>
  <c r="AJ20" i="1"/>
  <c r="R17" i="2" s="1"/>
  <c r="AJ21" i="1"/>
  <c r="R18" i="2" s="1"/>
  <c r="AJ22" i="1"/>
  <c r="R19" i="2" s="1"/>
  <c r="AJ23" i="1"/>
  <c r="R20" i="2" s="1"/>
  <c r="AJ24" i="1"/>
  <c r="R21" i="2" s="1"/>
  <c r="AJ25" i="1"/>
  <c r="R22" i="2" s="1"/>
  <c r="AJ26" i="1"/>
  <c r="AJ27" i="1"/>
  <c r="AJ28" i="1"/>
  <c r="AJ29" i="1"/>
  <c r="AJ30" i="1"/>
  <c r="R27" i="2" s="1"/>
  <c r="AJ31" i="1"/>
  <c r="R28" i="2" s="1"/>
  <c r="AJ32" i="1"/>
  <c r="R29" i="2" s="1"/>
  <c r="AJ33" i="1"/>
  <c r="R30" i="2" s="1"/>
  <c r="AJ34" i="1"/>
  <c r="R31" i="2" s="1"/>
  <c r="AJ35" i="1"/>
  <c r="R32" i="2" s="1"/>
  <c r="AJ36" i="1"/>
  <c r="R33" i="2" s="1"/>
  <c r="AJ37" i="1"/>
  <c r="R34" i="2" s="1"/>
  <c r="AJ38" i="1"/>
  <c r="R35" i="2" s="1"/>
  <c r="AJ39" i="1"/>
  <c r="R36" i="2" s="1"/>
  <c r="AJ40" i="1"/>
  <c r="R37" i="2" s="1"/>
  <c r="AJ41" i="1"/>
  <c r="R38" i="2" s="1"/>
  <c r="AJ42" i="1"/>
  <c r="AJ43" i="1"/>
  <c r="AJ44" i="1"/>
  <c r="AJ45" i="1"/>
  <c r="AJ46" i="1"/>
  <c r="R43" i="2" s="1"/>
  <c r="AJ47" i="1"/>
  <c r="R44" i="2" s="1"/>
  <c r="AJ48" i="1"/>
  <c r="R45" i="2" s="1"/>
  <c r="AJ49" i="1"/>
  <c r="R46" i="2" s="1"/>
  <c r="AJ50" i="1"/>
  <c r="R47" i="2" s="1"/>
  <c r="AJ51" i="1"/>
  <c r="R48" i="2" s="1"/>
  <c r="AJ52" i="1"/>
  <c r="R49" i="2" s="1"/>
  <c r="AJ53" i="1"/>
  <c r="R50" i="2" s="1"/>
  <c r="AJ54" i="1"/>
  <c r="R51" i="2" s="1"/>
  <c r="AJ55" i="1"/>
  <c r="R52" i="2" s="1"/>
  <c r="AJ56" i="1"/>
  <c r="R53" i="2" s="1"/>
  <c r="AJ57" i="1"/>
  <c r="R54" i="2" s="1"/>
  <c r="AJ58" i="1"/>
  <c r="AJ59" i="1"/>
  <c r="AJ60" i="1"/>
  <c r="AJ61" i="1"/>
  <c r="AJ62" i="1"/>
  <c r="R59" i="2" s="1"/>
  <c r="AJ63" i="1"/>
  <c r="R60" i="2" s="1"/>
  <c r="AJ64" i="1"/>
  <c r="R61" i="2" s="1"/>
  <c r="AJ65" i="1"/>
  <c r="R62" i="2" s="1"/>
  <c r="AJ66" i="1"/>
  <c r="R63" i="2" s="1"/>
  <c r="AJ67" i="1"/>
  <c r="R64" i="2" s="1"/>
  <c r="AJ68" i="1"/>
  <c r="R65" i="2" s="1"/>
  <c r="AJ69" i="1"/>
  <c r="R66" i="2" s="1"/>
  <c r="AJ70" i="1"/>
  <c r="R67" i="2" s="1"/>
  <c r="AJ71" i="1"/>
  <c r="R68" i="2" s="1"/>
  <c r="AJ72" i="1"/>
  <c r="R69" i="2" s="1"/>
  <c r="AJ73" i="1"/>
  <c r="R70" i="2" s="1"/>
  <c r="AJ74" i="1"/>
  <c r="AJ75" i="1"/>
  <c r="F6" i="2"/>
  <c r="F11" i="2" s="1"/>
  <c r="E6" i="2"/>
  <c r="E13" i="2" s="1"/>
  <c r="R73" i="2"/>
  <c r="R71" i="2"/>
  <c r="R72" i="2"/>
  <c r="R2" i="2"/>
  <c r="R7" i="2"/>
  <c r="R8" i="2"/>
  <c r="R9" i="2"/>
  <c r="R10" i="2"/>
  <c r="R23" i="2"/>
  <c r="R24" i="2"/>
  <c r="R25" i="2"/>
  <c r="R26" i="2"/>
  <c r="R39" i="2"/>
  <c r="R40" i="2"/>
  <c r="R41" i="2"/>
  <c r="R42" i="2"/>
  <c r="R55" i="2"/>
  <c r="R56" i="2"/>
  <c r="R57" i="2"/>
  <c r="R58" i="2"/>
  <c r="R1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3" i="2"/>
  <c r="O4" i="2"/>
  <c r="O5" i="2"/>
  <c r="O6" i="2"/>
  <c r="O7" i="2"/>
  <c r="O8" i="2"/>
  <c r="O9" i="2" s="1"/>
  <c r="O10" i="2" s="1"/>
  <c r="O11" i="2" s="1"/>
  <c r="O12" i="2" s="1"/>
  <c r="O13" i="2" s="1"/>
  <c r="O14" i="2" s="1"/>
  <c r="O15" i="2" s="1"/>
  <c r="O16" i="2" s="1"/>
  <c r="O3" i="2"/>
  <c r="M4" i="2"/>
  <c r="M5" i="2"/>
  <c r="M6" i="2"/>
  <c r="M7" i="2"/>
  <c r="M8" i="2"/>
  <c r="M9" i="2"/>
  <c r="M10" i="2"/>
  <c r="M11" i="2"/>
  <c r="M12" i="2"/>
  <c r="M13" i="2"/>
  <c r="M14" i="2"/>
  <c r="M15" i="2"/>
  <c r="L11" i="2"/>
  <c r="L12" i="2"/>
  <c r="L13" i="2" s="1"/>
  <c r="L14" i="2" s="1"/>
  <c r="L15" i="2" s="1"/>
  <c r="L4" i="2"/>
  <c r="L5" i="2"/>
  <c r="L6" i="2"/>
  <c r="L7" i="2"/>
  <c r="L8" i="2"/>
  <c r="L9" i="2" s="1"/>
  <c r="L10" i="2" s="1"/>
  <c r="M3" i="2"/>
  <c r="L3" i="2"/>
  <c r="AL6" i="1"/>
  <c r="AL7" i="1"/>
  <c r="AL8" i="1"/>
  <c r="AL5" i="1"/>
  <c r="E12" i="2" l="1"/>
  <c r="E11" i="2"/>
  <c r="F10" i="2"/>
  <c r="E10" i="2"/>
  <c r="F13" i="2"/>
  <c r="F12" i="2"/>
  <c r="AM6" i="1"/>
  <c r="AO6" i="1" s="1"/>
  <c r="AM7" i="1"/>
  <c r="AO7" i="1" s="1"/>
  <c r="AM5" i="1"/>
  <c r="AO5" i="1" s="1"/>
  <c r="AP3" i="1"/>
  <c r="G72" i="1"/>
  <c r="G73" i="1"/>
  <c r="G74" i="1"/>
  <c r="G75" i="1"/>
  <c r="G76" i="1"/>
  <c r="AJ76" i="1"/>
  <c r="AM8" i="1"/>
  <c r="AO8" i="1" s="1"/>
  <c r="AK6" i="1"/>
  <c r="AK7" i="1"/>
  <c r="AK8" i="1"/>
  <c r="AK5" i="1"/>
  <c r="AJ5" i="1"/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5" i="1"/>
  <c r="V9" i="1"/>
  <c r="U5" i="1"/>
  <c r="U6" i="1"/>
  <c r="AE6" i="1" l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5" i="1"/>
  <c r="AF54" i="1"/>
  <c r="AG54" i="1"/>
  <c r="AH54" i="1"/>
  <c r="AF55" i="1"/>
  <c r="AG55" i="1"/>
  <c r="AH55" i="1"/>
  <c r="AF56" i="1"/>
  <c r="AG56" i="1"/>
  <c r="AH56" i="1"/>
  <c r="AF57" i="1"/>
  <c r="AG57" i="1"/>
  <c r="AH57" i="1"/>
  <c r="AF58" i="1"/>
  <c r="AG58" i="1"/>
  <c r="AH58" i="1"/>
  <c r="AF59" i="1"/>
  <c r="AG59" i="1"/>
  <c r="AH59" i="1"/>
  <c r="AF60" i="1"/>
  <c r="AG60" i="1"/>
  <c r="AH60" i="1"/>
  <c r="AF61" i="1"/>
  <c r="AG61" i="1"/>
  <c r="AH61" i="1"/>
  <c r="AF62" i="1"/>
  <c r="AG62" i="1"/>
  <c r="AH62" i="1"/>
  <c r="AF63" i="1"/>
  <c r="AG63" i="1"/>
  <c r="AH63" i="1"/>
  <c r="AF64" i="1"/>
  <c r="AG64" i="1"/>
  <c r="AH64" i="1"/>
  <c r="AF65" i="1"/>
  <c r="AG65" i="1"/>
  <c r="AH65" i="1"/>
  <c r="AF66" i="1"/>
  <c r="AG66" i="1"/>
  <c r="AH66" i="1"/>
  <c r="AF67" i="1"/>
  <c r="AG67" i="1"/>
  <c r="AH67" i="1"/>
  <c r="AF68" i="1"/>
  <c r="AG68" i="1"/>
  <c r="AH68" i="1"/>
  <c r="AF69" i="1"/>
  <c r="AG69" i="1"/>
  <c r="AH69" i="1"/>
  <c r="AC44" i="1"/>
  <c r="Z42" i="1"/>
  <c r="W51" i="1" l="1"/>
  <c r="X51" i="1"/>
  <c r="U54" i="1"/>
  <c r="V71" i="1" l="1"/>
  <c r="U71" i="1"/>
  <c r="U51" i="1"/>
  <c r="D51" i="1" l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50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7" i="1"/>
  <c r="G6" i="1"/>
  <c r="G5" i="1"/>
  <c r="C43" i="1"/>
  <c r="C44" i="1"/>
  <c r="C45" i="1"/>
  <c r="C46" i="1"/>
  <c r="C47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5" i="1"/>
  <c r="B5" i="1"/>
  <c r="H58" i="1"/>
  <c r="H54" i="1"/>
  <c r="H55" i="1"/>
  <c r="H56" i="1"/>
  <c r="H57" i="1"/>
  <c r="H59" i="1"/>
  <c r="H60" i="1"/>
  <c r="H61" i="1"/>
  <c r="H62" i="1"/>
  <c r="H63" i="1"/>
  <c r="H64" i="1"/>
  <c r="H65" i="1"/>
  <c r="H66" i="1"/>
  <c r="H67" i="1"/>
  <c r="H68" i="1"/>
  <c r="H69" i="1"/>
  <c r="D48" i="1"/>
  <c r="D49" i="1"/>
  <c r="D50" i="1"/>
  <c r="D4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5" i="1"/>
  <c r="X45" i="1"/>
  <c r="AB51" i="1" l="1"/>
  <c r="T51" i="1"/>
  <c r="T52" i="1"/>
  <c r="T53" i="1"/>
  <c r="T54" i="1"/>
  <c r="T55" i="1"/>
  <c r="AA51" i="1" s="1"/>
  <c r="T56" i="1"/>
  <c r="T57" i="1"/>
  <c r="AB52" i="1" s="1"/>
  <c r="T58" i="1"/>
  <c r="AC52" i="1" s="1"/>
  <c r="T59" i="1"/>
  <c r="AA55" i="1" s="1"/>
  <c r="T60" i="1"/>
  <c r="AB55" i="1" s="1"/>
  <c r="T61" i="1"/>
  <c r="AC55" i="1" s="1"/>
  <c r="T62" i="1"/>
  <c r="AB57" i="1" s="1"/>
  <c r="T63" i="1"/>
  <c r="AA59" i="1" s="1"/>
  <c r="T64" i="1"/>
  <c r="AB59" i="1" s="1"/>
  <c r="T65" i="1"/>
  <c r="AB60" i="1" s="1"/>
  <c r="T66" i="1"/>
  <c r="AC60" i="1" s="1"/>
  <c r="T67" i="1"/>
  <c r="T68" i="1"/>
  <c r="T69" i="1"/>
  <c r="T70" i="1"/>
  <c r="T71" i="1"/>
  <c r="AA67" i="1" s="1"/>
  <c r="T72" i="1"/>
  <c r="AB67" i="1" s="1"/>
  <c r="T73" i="1"/>
  <c r="AC67" i="1" s="1"/>
  <c r="T74" i="1"/>
  <c r="AC68" i="1" s="1"/>
  <c r="T75" i="1"/>
  <c r="AA71" i="1" s="1"/>
  <c r="T76" i="1"/>
  <c r="AB71" i="1" s="1"/>
  <c r="T50" i="1"/>
  <c r="Z50" i="1"/>
  <c r="AA50" i="1"/>
  <c r="AB50" i="1"/>
  <c r="AC50" i="1"/>
  <c r="Z51" i="1"/>
  <c r="Z52" i="1"/>
  <c r="Z53" i="1"/>
  <c r="AA53" i="1"/>
  <c r="AB53" i="1"/>
  <c r="AC53" i="1"/>
  <c r="Z54" i="1"/>
  <c r="AA54" i="1"/>
  <c r="AB54" i="1"/>
  <c r="AC54" i="1"/>
  <c r="Z55" i="1"/>
  <c r="Z58" i="1"/>
  <c r="AA58" i="1"/>
  <c r="AC58" i="1"/>
  <c r="Z59" i="1"/>
  <c r="AC61" i="1"/>
  <c r="AB62" i="1"/>
  <c r="AC62" i="1"/>
  <c r="AA63" i="1"/>
  <c r="AB63" i="1"/>
  <c r="AC63" i="1"/>
  <c r="Z64" i="1"/>
  <c r="AA64" i="1"/>
  <c r="AB64" i="1"/>
  <c r="AC64" i="1"/>
  <c r="Z65" i="1"/>
  <c r="AA65" i="1"/>
  <c r="AB65" i="1"/>
  <c r="AC65" i="1"/>
  <c r="Z66" i="1"/>
  <c r="AA66" i="1"/>
  <c r="AB66" i="1"/>
  <c r="AC66" i="1"/>
  <c r="Z67" i="1"/>
  <c r="Z68" i="1"/>
  <c r="Z69" i="1"/>
  <c r="AA69" i="1"/>
  <c r="AB69" i="1"/>
  <c r="AC69" i="1"/>
  <c r="Z70" i="1"/>
  <c r="AA70" i="1"/>
  <c r="AB70" i="1"/>
  <c r="AC70" i="1"/>
  <c r="Z71" i="1"/>
  <c r="AC71" i="1"/>
  <c r="AB72" i="1"/>
  <c r="AC72" i="1"/>
  <c r="AA73" i="1"/>
  <c r="AB73" i="1"/>
  <c r="AC73" i="1"/>
  <c r="L49" i="1"/>
  <c r="L48" i="1"/>
  <c r="M44" i="1"/>
  <c r="M45" i="1"/>
  <c r="M46" i="1"/>
  <c r="M43" i="1"/>
  <c r="R57" i="1"/>
  <c r="AC76" i="1"/>
  <c r="X76" i="1"/>
  <c r="W52" i="1"/>
  <c r="V53" i="1"/>
  <c r="V54" i="1"/>
  <c r="X50" i="1"/>
  <c r="X44" i="1"/>
  <c r="R50" i="1"/>
  <c r="X53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50" i="1"/>
  <c r="AA62" i="1" l="1"/>
  <c r="AC56" i="1"/>
  <c r="AA72" i="1"/>
  <c r="AA60" i="1"/>
  <c r="AA56" i="1"/>
  <c r="AA52" i="1"/>
  <c r="Z63" i="1"/>
  <c r="AB58" i="1"/>
  <c r="AB61" i="1"/>
  <c r="AA57" i="1"/>
  <c r="Z61" i="1"/>
  <c r="Z60" i="1"/>
  <c r="AA61" i="1"/>
  <c r="Z73" i="1"/>
  <c r="Z57" i="1"/>
  <c r="AB68" i="1"/>
  <c r="AB56" i="1"/>
  <c r="AC59" i="1"/>
  <c r="Z62" i="1"/>
  <c r="AC57" i="1"/>
  <c r="AA68" i="1"/>
  <c r="Z56" i="1"/>
  <c r="AC51" i="1"/>
  <c r="Z72" i="1"/>
  <c r="F14" i="1" l="1"/>
  <c r="F15" i="1"/>
  <c r="F30" i="1"/>
  <c r="F31" i="1"/>
  <c r="F46" i="1"/>
  <c r="F47" i="1"/>
  <c r="R12" i="1"/>
  <c r="E58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50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AD73" i="1"/>
  <c r="AD74" i="1"/>
  <c r="AD75" i="1"/>
  <c r="AD76" i="1"/>
  <c r="AD72" i="1"/>
  <c r="CZ77" i="1"/>
  <c r="Z74" i="1" s="1"/>
  <c r="DA77" i="1"/>
  <c r="V73" i="1" s="1"/>
  <c r="DB77" i="1"/>
  <c r="W72" i="1" s="1"/>
  <c r="DC77" i="1"/>
  <c r="CZ78" i="1"/>
  <c r="Z75" i="1" s="1"/>
  <c r="DA78" i="1"/>
  <c r="AA74" i="1" s="1"/>
  <c r="DB78" i="1"/>
  <c r="W73" i="1" s="1"/>
  <c r="DC78" i="1"/>
  <c r="CZ79" i="1"/>
  <c r="U76" i="1" s="1"/>
  <c r="DA79" i="1"/>
  <c r="V75" i="1" s="1"/>
  <c r="DB79" i="1"/>
  <c r="W74" i="1" s="1"/>
  <c r="DC79" i="1"/>
  <c r="X73" i="1" s="1"/>
  <c r="CZ80" i="1"/>
  <c r="DA80" i="1"/>
  <c r="V76" i="1" s="1"/>
  <c r="DB80" i="1"/>
  <c r="W75" i="1" s="1"/>
  <c r="DC80" i="1"/>
  <c r="X74" i="1" s="1"/>
  <c r="CZ81" i="1"/>
  <c r="DA81" i="1"/>
  <c r="DB81" i="1"/>
  <c r="W76" i="1" s="1"/>
  <c r="DC81" i="1"/>
  <c r="AC75" i="1" s="1"/>
  <c r="DA76" i="1"/>
  <c r="DB76" i="1"/>
  <c r="DC76" i="1"/>
  <c r="X70" i="1" s="1"/>
  <c r="CZ76" i="1"/>
  <c r="AC45" i="1"/>
  <c r="AC46" i="1"/>
  <c r="AC47" i="1"/>
  <c r="AC48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50" i="1"/>
  <c r="DI76" i="1"/>
  <c r="DJ76" i="1" s="1"/>
  <c r="DI75" i="1"/>
  <c r="DJ75" i="1" s="1"/>
  <c r="DI74" i="1"/>
  <c r="DJ74" i="1" s="1"/>
  <c r="DI73" i="1"/>
  <c r="DJ73" i="1" s="1"/>
  <c r="DI72" i="1"/>
  <c r="DJ72" i="1" s="1"/>
  <c r="DI71" i="1"/>
  <c r="DJ71" i="1" s="1"/>
  <c r="DI70" i="1"/>
  <c r="DJ70" i="1" s="1"/>
  <c r="DI69" i="1"/>
  <c r="DJ69" i="1" s="1"/>
  <c r="DI68" i="1"/>
  <c r="DJ68" i="1" s="1"/>
  <c r="DI67" i="1"/>
  <c r="DJ67" i="1" s="1"/>
  <c r="DI66" i="1"/>
  <c r="DJ66" i="1" s="1"/>
  <c r="DI65" i="1"/>
  <c r="DJ65" i="1" s="1"/>
  <c r="DI64" i="1"/>
  <c r="DJ64" i="1" s="1"/>
  <c r="DI63" i="1"/>
  <c r="DJ63" i="1" s="1"/>
  <c r="DI62" i="1"/>
  <c r="DJ62" i="1" s="1"/>
  <c r="DI61" i="1"/>
  <c r="DJ61" i="1" s="1"/>
  <c r="DI60" i="1"/>
  <c r="DJ60" i="1" s="1"/>
  <c r="DM60" i="1" s="1"/>
  <c r="DI59" i="1"/>
  <c r="DJ59" i="1" s="1"/>
  <c r="DI58" i="1"/>
  <c r="DJ58" i="1" s="1"/>
  <c r="DI57" i="1"/>
  <c r="DJ57" i="1" s="1"/>
  <c r="DI56" i="1"/>
  <c r="DJ56" i="1" s="1"/>
  <c r="DI55" i="1"/>
  <c r="DJ55" i="1" s="1"/>
  <c r="DI54" i="1"/>
  <c r="DJ54" i="1" s="1"/>
  <c r="DI53" i="1"/>
  <c r="DJ53" i="1" s="1"/>
  <c r="DM53" i="1" s="1"/>
  <c r="DI52" i="1"/>
  <c r="DJ52" i="1" s="1"/>
  <c r="DI51" i="1"/>
  <c r="DJ51" i="1" s="1"/>
  <c r="DI50" i="1"/>
  <c r="DJ50" i="1" s="1"/>
  <c r="BF46" i="1"/>
  <c r="BF47" i="1"/>
  <c r="AS47" i="1" s="1"/>
  <c r="BF48" i="1"/>
  <c r="AT48" i="1" s="1"/>
  <c r="BF49" i="1"/>
  <c r="AT49" i="1" s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R71" i="1" s="1"/>
  <c r="X65" i="1" s="1"/>
  <c r="BF72" i="1"/>
  <c r="BF73" i="1"/>
  <c r="BF74" i="1"/>
  <c r="BF45" i="1"/>
  <c r="BF35" i="1"/>
  <c r="BZ35" i="1" s="1"/>
  <c r="BF36" i="1"/>
  <c r="BZ36" i="1" s="1"/>
  <c r="BF37" i="1"/>
  <c r="BZ37" i="1" s="1"/>
  <c r="BF38" i="1"/>
  <c r="BZ38" i="1" s="1"/>
  <c r="BF39" i="1"/>
  <c r="BZ39" i="1" s="1"/>
  <c r="BF40" i="1"/>
  <c r="BZ40" i="1" s="1"/>
  <c r="BF41" i="1"/>
  <c r="BF42" i="1"/>
  <c r="BZ42" i="1" s="1"/>
  <c r="BF43" i="1"/>
  <c r="BF44" i="1"/>
  <c r="BZ44" i="1" s="1"/>
  <c r="BF34" i="1"/>
  <c r="BZ34" i="1" s="1"/>
  <c r="Q49" i="1"/>
  <c r="C49" i="1" s="1"/>
  <c r="Q50" i="1"/>
  <c r="CW50" i="1" s="1"/>
  <c r="R47" i="1"/>
  <c r="U44" i="1" s="1"/>
  <c r="R43" i="1"/>
  <c r="R44" i="1"/>
  <c r="U41" i="1" s="1"/>
  <c r="R45" i="1"/>
  <c r="U42" i="1" s="1"/>
  <c r="R46" i="1"/>
  <c r="U43" i="1" s="1"/>
  <c r="R48" i="1"/>
  <c r="Z45" i="1" s="1"/>
  <c r="R49" i="1"/>
  <c r="AB44" i="1" s="1"/>
  <c r="R42" i="1"/>
  <c r="W37" i="1" s="1"/>
  <c r="Q46" i="1"/>
  <c r="Q47" i="1"/>
  <c r="CW47" i="1" s="1"/>
  <c r="Q48" i="1"/>
  <c r="C48" i="1" s="1"/>
  <c r="O47" i="1"/>
  <c r="A47" i="1" s="1"/>
  <c r="O48" i="1"/>
  <c r="A48" i="1" s="1"/>
  <c r="F48" i="1" s="1"/>
  <c r="O49" i="1"/>
  <c r="A49" i="1" s="1"/>
  <c r="F49" i="1" s="1"/>
  <c r="P48" i="1"/>
  <c r="P49" i="1"/>
  <c r="AS34" i="1"/>
  <c r="AT34" i="1" s="1"/>
  <c r="R11" i="1"/>
  <c r="U8" i="1" s="1"/>
  <c r="P73" i="1"/>
  <c r="Q73" i="1"/>
  <c r="P74" i="1"/>
  <c r="Q74" i="1"/>
  <c r="P75" i="1"/>
  <c r="Q75" i="1"/>
  <c r="P76" i="1"/>
  <c r="Q76" i="1"/>
  <c r="Q72" i="1"/>
  <c r="P72" i="1"/>
  <c r="O72" i="1"/>
  <c r="O73" i="1"/>
  <c r="O74" i="1"/>
  <c r="O75" i="1"/>
  <c r="O76" i="1"/>
  <c r="Q51" i="1"/>
  <c r="CW51" i="1" s="1"/>
  <c r="Q52" i="1"/>
  <c r="CW52" i="1" s="1"/>
  <c r="Q53" i="1"/>
  <c r="CW53" i="1" s="1"/>
  <c r="Q54" i="1"/>
  <c r="CW54" i="1" s="1"/>
  <c r="Q55" i="1"/>
  <c r="CW55" i="1" s="1"/>
  <c r="Q56" i="1"/>
  <c r="CW56" i="1" s="1"/>
  <c r="Q57" i="1"/>
  <c r="CW57" i="1" s="1"/>
  <c r="Q58" i="1"/>
  <c r="CW58" i="1" s="1"/>
  <c r="Q59" i="1"/>
  <c r="CW59" i="1" s="1"/>
  <c r="Q60" i="1"/>
  <c r="CW60" i="1" s="1"/>
  <c r="Q61" i="1"/>
  <c r="CW61" i="1" s="1"/>
  <c r="Q62" i="1"/>
  <c r="CW62" i="1" s="1"/>
  <c r="Q63" i="1"/>
  <c r="CW63" i="1" s="1"/>
  <c r="Q64" i="1"/>
  <c r="CW64" i="1" s="1"/>
  <c r="Q65" i="1"/>
  <c r="CW65" i="1" s="1"/>
  <c r="Q66" i="1"/>
  <c r="CW66" i="1" s="1"/>
  <c r="Q67" i="1"/>
  <c r="CW67" i="1" s="1"/>
  <c r="Q68" i="1"/>
  <c r="CW68" i="1" s="1"/>
  <c r="Q69" i="1"/>
  <c r="CW69" i="1" s="1"/>
  <c r="Q70" i="1"/>
  <c r="CW70" i="1" s="1"/>
  <c r="Q71" i="1"/>
  <c r="CW71" i="1" s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47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R32" i="1"/>
  <c r="U29" i="1" s="1"/>
  <c r="R33" i="1"/>
  <c r="W28" i="1" s="1"/>
  <c r="R34" i="1"/>
  <c r="X28" i="1" s="1"/>
  <c r="R35" i="1"/>
  <c r="V31" i="1" s="1"/>
  <c r="R36" i="1"/>
  <c r="W31" i="1" s="1"/>
  <c r="R37" i="1"/>
  <c r="U34" i="1" s="1"/>
  <c r="R38" i="1"/>
  <c r="W33" i="1" s="1"/>
  <c r="R39" i="1"/>
  <c r="V35" i="1" s="1"/>
  <c r="R40" i="1"/>
  <c r="W35" i="1" s="1"/>
  <c r="R41" i="1"/>
  <c r="U38" i="1" s="1"/>
  <c r="X37" i="1"/>
  <c r="R8" i="1"/>
  <c r="R9" i="1"/>
  <c r="V5" i="1" s="1"/>
  <c r="R10" i="1"/>
  <c r="V6" i="1" s="1"/>
  <c r="V8" i="1"/>
  <c r="R13" i="1"/>
  <c r="R14" i="1"/>
  <c r="X8" i="1" s="1"/>
  <c r="R15" i="1"/>
  <c r="X9" i="1" s="1"/>
  <c r="R16" i="1"/>
  <c r="V12" i="1" s="1"/>
  <c r="R17" i="1"/>
  <c r="W12" i="1" s="1"/>
  <c r="R18" i="1"/>
  <c r="X12" i="1" s="1"/>
  <c r="R19" i="1"/>
  <c r="W14" i="1" s="1"/>
  <c r="R20" i="1"/>
  <c r="U17" i="1" s="1"/>
  <c r="R21" i="1"/>
  <c r="W16" i="1" s="1"/>
  <c r="R22" i="1"/>
  <c r="X16" i="1" s="1"/>
  <c r="R23" i="1"/>
  <c r="X17" i="1" s="1"/>
  <c r="R24" i="1"/>
  <c r="U21" i="1" s="1"/>
  <c r="R25" i="1"/>
  <c r="W20" i="1" s="1"/>
  <c r="R26" i="1"/>
  <c r="V22" i="1" s="1"/>
  <c r="R27" i="1"/>
  <c r="W22" i="1" s="1"/>
  <c r="R28" i="1"/>
  <c r="U25" i="1" s="1"/>
  <c r="R29" i="1"/>
  <c r="W24" i="1" s="1"/>
  <c r="R30" i="1"/>
  <c r="V26" i="1" s="1"/>
  <c r="R31" i="1"/>
  <c r="X25" i="1" s="1"/>
  <c r="R7" i="1"/>
  <c r="Q32" i="1"/>
  <c r="Q33" i="1"/>
  <c r="CW33" i="1" s="1"/>
  <c r="Q34" i="1"/>
  <c r="CW34" i="1" s="1"/>
  <c r="Q35" i="1"/>
  <c r="CW35" i="1" s="1"/>
  <c r="Q36" i="1"/>
  <c r="CW36" i="1" s="1"/>
  <c r="Q37" i="1"/>
  <c r="CW37" i="1" s="1"/>
  <c r="Q38" i="1"/>
  <c r="CW38" i="1" s="1"/>
  <c r="Q39" i="1"/>
  <c r="CW39" i="1" s="1"/>
  <c r="Q40" i="1"/>
  <c r="CW40" i="1" s="1"/>
  <c r="Q41" i="1"/>
  <c r="CW41" i="1" s="1"/>
  <c r="Q42" i="1"/>
  <c r="CW42" i="1" s="1"/>
  <c r="Q43" i="1"/>
  <c r="Q44" i="1"/>
  <c r="Q45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7" i="1"/>
  <c r="O8" i="1"/>
  <c r="A8" i="1" s="1"/>
  <c r="F8" i="1" s="1"/>
  <c r="P8" i="1"/>
  <c r="O9" i="1"/>
  <c r="A9" i="1" s="1"/>
  <c r="F9" i="1" s="1"/>
  <c r="P9" i="1"/>
  <c r="O10" i="1"/>
  <c r="A10" i="1" s="1"/>
  <c r="F10" i="1" s="1"/>
  <c r="P10" i="1"/>
  <c r="O11" i="1"/>
  <c r="A11" i="1" s="1"/>
  <c r="F11" i="1" s="1"/>
  <c r="P11" i="1"/>
  <c r="O12" i="1"/>
  <c r="A12" i="1" s="1"/>
  <c r="F12" i="1" s="1"/>
  <c r="P12" i="1"/>
  <c r="O13" i="1"/>
  <c r="A13" i="1" s="1"/>
  <c r="F13" i="1" s="1"/>
  <c r="P13" i="1"/>
  <c r="O14" i="1"/>
  <c r="A14" i="1" s="1"/>
  <c r="P14" i="1"/>
  <c r="O15" i="1"/>
  <c r="A15" i="1" s="1"/>
  <c r="P15" i="1"/>
  <c r="O16" i="1"/>
  <c r="A16" i="1" s="1"/>
  <c r="F16" i="1" s="1"/>
  <c r="P16" i="1"/>
  <c r="O17" i="1"/>
  <c r="A17" i="1" s="1"/>
  <c r="F17" i="1" s="1"/>
  <c r="P17" i="1"/>
  <c r="O18" i="1"/>
  <c r="A18" i="1" s="1"/>
  <c r="F18" i="1" s="1"/>
  <c r="P18" i="1"/>
  <c r="O19" i="1"/>
  <c r="A19" i="1" s="1"/>
  <c r="F19" i="1" s="1"/>
  <c r="P19" i="1"/>
  <c r="O20" i="1"/>
  <c r="A20" i="1" s="1"/>
  <c r="F20" i="1" s="1"/>
  <c r="P20" i="1"/>
  <c r="O21" i="1"/>
  <c r="A21" i="1" s="1"/>
  <c r="F21" i="1" s="1"/>
  <c r="P21" i="1"/>
  <c r="O22" i="1"/>
  <c r="A22" i="1" s="1"/>
  <c r="F22" i="1" s="1"/>
  <c r="P22" i="1"/>
  <c r="O23" i="1"/>
  <c r="A23" i="1" s="1"/>
  <c r="F23" i="1" s="1"/>
  <c r="P23" i="1"/>
  <c r="O24" i="1"/>
  <c r="A24" i="1" s="1"/>
  <c r="F24" i="1" s="1"/>
  <c r="P24" i="1"/>
  <c r="O25" i="1"/>
  <c r="A25" i="1" s="1"/>
  <c r="F25" i="1" s="1"/>
  <c r="P25" i="1"/>
  <c r="O26" i="1"/>
  <c r="A26" i="1" s="1"/>
  <c r="F26" i="1" s="1"/>
  <c r="P26" i="1"/>
  <c r="O27" i="1"/>
  <c r="A27" i="1" s="1"/>
  <c r="F27" i="1" s="1"/>
  <c r="P27" i="1"/>
  <c r="O28" i="1"/>
  <c r="A28" i="1" s="1"/>
  <c r="F28" i="1" s="1"/>
  <c r="P28" i="1"/>
  <c r="O29" i="1"/>
  <c r="A29" i="1" s="1"/>
  <c r="F29" i="1" s="1"/>
  <c r="P29" i="1"/>
  <c r="O30" i="1"/>
  <c r="A30" i="1" s="1"/>
  <c r="P30" i="1"/>
  <c r="O31" i="1"/>
  <c r="A31" i="1" s="1"/>
  <c r="P31" i="1"/>
  <c r="O32" i="1"/>
  <c r="A32" i="1" s="1"/>
  <c r="F32" i="1" s="1"/>
  <c r="P32" i="1"/>
  <c r="O33" i="1"/>
  <c r="A33" i="1" s="1"/>
  <c r="F33" i="1" s="1"/>
  <c r="P33" i="1"/>
  <c r="O34" i="1"/>
  <c r="A34" i="1" s="1"/>
  <c r="F34" i="1" s="1"/>
  <c r="P34" i="1"/>
  <c r="O35" i="1"/>
  <c r="A35" i="1" s="1"/>
  <c r="F35" i="1" s="1"/>
  <c r="P35" i="1"/>
  <c r="O36" i="1"/>
  <c r="A36" i="1" s="1"/>
  <c r="F36" i="1" s="1"/>
  <c r="P36" i="1"/>
  <c r="O37" i="1"/>
  <c r="A37" i="1" s="1"/>
  <c r="F37" i="1" s="1"/>
  <c r="P37" i="1"/>
  <c r="O38" i="1"/>
  <c r="A38" i="1" s="1"/>
  <c r="F38" i="1" s="1"/>
  <c r="P38" i="1"/>
  <c r="O39" i="1"/>
  <c r="A39" i="1" s="1"/>
  <c r="F39" i="1" s="1"/>
  <c r="P39" i="1"/>
  <c r="O40" i="1"/>
  <c r="A40" i="1" s="1"/>
  <c r="F40" i="1" s="1"/>
  <c r="P40" i="1"/>
  <c r="O41" i="1"/>
  <c r="A41" i="1" s="1"/>
  <c r="F41" i="1" s="1"/>
  <c r="P41" i="1"/>
  <c r="O42" i="1"/>
  <c r="A42" i="1" s="1"/>
  <c r="F42" i="1" s="1"/>
  <c r="P42" i="1"/>
  <c r="O43" i="1"/>
  <c r="A43" i="1" s="1"/>
  <c r="F43" i="1" s="1"/>
  <c r="P43" i="1"/>
  <c r="O44" i="1"/>
  <c r="A44" i="1" s="1"/>
  <c r="F44" i="1" s="1"/>
  <c r="P44" i="1"/>
  <c r="O45" i="1"/>
  <c r="A45" i="1" s="1"/>
  <c r="F45" i="1" s="1"/>
  <c r="P45" i="1"/>
  <c r="O46" i="1"/>
  <c r="A46" i="1" s="1"/>
  <c r="P46" i="1"/>
  <c r="P7" i="1"/>
  <c r="O7" i="1"/>
  <c r="A7" i="1" s="1"/>
  <c r="F7" i="1" s="1"/>
  <c r="R6" i="1"/>
  <c r="Q6" i="1"/>
  <c r="R5" i="1"/>
  <c r="Q5" i="1"/>
  <c r="O6" i="1"/>
  <c r="A6" i="1" s="1"/>
  <c r="F6" i="1" s="1"/>
  <c r="O5" i="1"/>
  <c r="A5" i="1" s="1"/>
  <c r="F5" i="1" s="1"/>
  <c r="P6" i="1"/>
  <c r="P5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7" i="1"/>
  <c r="AS35" i="1"/>
  <c r="AT35" i="1" s="1"/>
  <c r="AS36" i="1"/>
  <c r="AT36" i="1" s="1"/>
  <c r="AS37" i="1"/>
  <c r="AT37" i="1" s="1"/>
  <c r="AS38" i="1"/>
  <c r="AT38" i="1" s="1"/>
  <c r="AS39" i="1"/>
  <c r="AT39" i="1" s="1"/>
  <c r="AS40" i="1"/>
  <c r="AT40" i="1" s="1"/>
  <c r="AS41" i="1"/>
  <c r="AT41" i="1" s="1"/>
  <c r="AS42" i="1"/>
  <c r="AT42" i="1" s="1"/>
  <c r="AS33" i="1"/>
  <c r="AT33" i="1" s="1"/>
  <c r="BI5" i="1"/>
  <c r="BM10" i="1"/>
  <c r="BN10" i="1" s="1"/>
  <c r="BM11" i="1"/>
  <c r="BN11" i="1" s="1"/>
  <c r="BM12" i="1"/>
  <c r="BN12" i="1" s="1"/>
  <c r="BM13" i="1"/>
  <c r="BN13" i="1" s="1"/>
  <c r="BM14" i="1"/>
  <c r="BN14" i="1" s="1"/>
  <c r="BM15" i="1"/>
  <c r="BN15" i="1" s="1"/>
  <c r="BM16" i="1"/>
  <c r="BN16" i="1" s="1"/>
  <c r="BM17" i="1"/>
  <c r="BN17" i="1" s="1"/>
  <c r="BM18" i="1"/>
  <c r="BN18" i="1" s="1"/>
  <c r="BM19" i="1"/>
  <c r="BN19" i="1" s="1"/>
  <c r="BM20" i="1"/>
  <c r="BN20" i="1" s="1"/>
  <c r="BM21" i="1"/>
  <c r="BN21" i="1" s="1"/>
  <c r="BM22" i="1"/>
  <c r="BN22" i="1" s="1"/>
  <c r="BM23" i="1"/>
  <c r="BN23" i="1" s="1"/>
  <c r="BM24" i="1"/>
  <c r="BN24" i="1" s="1"/>
  <c r="BM25" i="1"/>
  <c r="BN25" i="1" s="1"/>
  <c r="BM26" i="1"/>
  <c r="BN26" i="1" s="1"/>
  <c r="BM27" i="1"/>
  <c r="BN27" i="1" s="1"/>
  <c r="BM28" i="1"/>
  <c r="BN28" i="1" s="1"/>
  <c r="BM29" i="1"/>
  <c r="BN29" i="1" s="1"/>
  <c r="BM30" i="1"/>
  <c r="BN30" i="1" s="1"/>
  <c r="BM31" i="1"/>
  <c r="BN31" i="1" s="1"/>
  <c r="BM32" i="1"/>
  <c r="BN32" i="1" s="1"/>
  <c r="BM33" i="1"/>
  <c r="BN33" i="1" s="1"/>
  <c r="BM34" i="1"/>
  <c r="BN34" i="1" s="1"/>
  <c r="BM35" i="1"/>
  <c r="BN35" i="1" s="1"/>
  <c r="BM36" i="1"/>
  <c r="BN36" i="1" s="1"/>
  <c r="BM37" i="1"/>
  <c r="BN37" i="1" s="1"/>
  <c r="BM38" i="1"/>
  <c r="BN38" i="1" s="1"/>
  <c r="BM39" i="1"/>
  <c r="BN39" i="1" s="1"/>
  <c r="BM40" i="1"/>
  <c r="BN40" i="1" s="1"/>
  <c r="BM41" i="1"/>
  <c r="BN41" i="1" s="1"/>
  <c r="BM42" i="1"/>
  <c r="BN42" i="1" s="1"/>
  <c r="BM43" i="1"/>
  <c r="BN43" i="1" s="1"/>
  <c r="BM44" i="1"/>
  <c r="BN44" i="1" s="1"/>
  <c r="BM6" i="1"/>
  <c r="BN6" i="1" s="1"/>
  <c r="BM7" i="1"/>
  <c r="BN7" i="1" s="1"/>
  <c r="BM8" i="1"/>
  <c r="BN8" i="1" s="1"/>
  <c r="BM9" i="1"/>
  <c r="BN9" i="1" s="1"/>
  <c r="BM5" i="1"/>
  <c r="BN5" i="1" s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Z41" i="1"/>
  <c r="BZ43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5" i="1"/>
  <c r="E56" i="1" l="1"/>
  <c r="E71" i="1"/>
  <c r="E55" i="1"/>
  <c r="E70" i="1"/>
  <c r="E54" i="1"/>
  <c r="E64" i="1"/>
  <c r="E62" i="1"/>
  <c r="X38" i="1"/>
  <c r="E69" i="1"/>
  <c r="E53" i="1"/>
  <c r="E68" i="1"/>
  <c r="E52" i="1"/>
  <c r="E67" i="1"/>
  <c r="E51" i="1"/>
  <c r="E66" i="1"/>
  <c r="E65" i="1"/>
  <c r="E63" i="1"/>
  <c r="E61" i="1"/>
  <c r="E60" i="1"/>
  <c r="U75" i="1"/>
  <c r="E59" i="1"/>
  <c r="U68" i="1"/>
  <c r="E57" i="1"/>
  <c r="E50" i="1"/>
  <c r="AB76" i="1"/>
  <c r="AB74" i="1"/>
  <c r="W42" i="1"/>
  <c r="W43" i="1"/>
  <c r="AC43" i="1"/>
  <c r="U74" i="1"/>
  <c r="DM59" i="1"/>
  <c r="V74" i="1"/>
  <c r="AA48" i="1"/>
  <c r="X72" i="1"/>
  <c r="AA44" i="1"/>
  <c r="DM52" i="1"/>
  <c r="DM64" i="1"/>
  <c r="W41" i="1"/>
  <c r="Z44" i="1"/>
  <c r="AA49" i="1"/>
  <c r="AB75" i="1"/>
  <c r="V42" i="1"/>
  <c r="V45" i="1"/>
  <c r="AA43" i="1"/>
  <c r="AC42" i="1"/>
  <c r="AA47" i="1"/>
  <c r="Z76" i="1"/>
  <c r="X42" i="1"/>
  <c r="V44" i="1"/>
  <c r="Z43" i="1"/>
  <c r="Z47" i="1"/>
  <c r="V43" i="1"/>
  <c r="AB42" i="1"/>
  <c r="AA46" i="1"/>
  <c r="V33" i="1"/>
  <c r="AA42" i="1"/>
  <c r="AB45" i="1"/>
  <c r="AB49" i="1"/>
  <c r="U46" i="1"/>
  <c r="V67" i="1"/>
  <c r="AB48" i="1"/>
  <c r="R65" i="1"/>
  <c r="U45" i="1"/>
  <c r="AB47" i="1"/>
  <c r="AB43" i="1"/>
  <c r="X75" i="1"/>
  <c r="AB46" i="1"/>
  <c r="AA76" i="1"/>
  <c r="X43" i="1"/>
  <c r="W66" i="1"/>
  <c r="AD51" i="1"/>
  <c r="AA75" i="1"/>
  <c r="X71" i="1"/>
  <c r="AC49" i="1"/>
  <c r="AC74" i="1"/>
  <c r="Z46" i="1"/>
  <c r="Z49" i="1"/>
  <c r="AA45" i="1"/>
  <c r="Z48" i="1"/>
  <c r="DM65" i="1"/>
  <c r="W44" i="1"/>
  <c r="DM54" i="1"/>
  <c r="DM70" i="1"/>
  <c r="DM63" i="1"/>
  <c r="U35" i="1"/>
  <c r="BF75" i="1"/>
  <c r="BF76" i="1"/>
  <c r="R76" i="1" s="1"/>
  <c r="DM68" i="1"/>
  <c r="DM61" i="1"/>
  <c r="DM74" i="1"/>
  <c r="DM58" i="1"/>
  <c r="DM69" i="1"/>
  <c r="R64" i="1"/>
  <c r="DM62" i="1"/>
  <c r="DM57" i="1"/>
  <c r="DM56" i="1"/>
  <c r="R63" i="1"/>
  <c r="DM55" i="1"/>
  <c r="AV59" i="1"/>
  <c r="AV58" i="1"/>
  <c r="R74" i="1"/>
  <c r="DM51" i="1"/>
  <c r="DM67" i="1"/>
  <c r="DM66" i="1"/>
  <c r="DM50" i="1"/>
  <c r="V41" i="1"/>
  <c r="X18" i="1"/>
  <c r="W11" i="1"/>
  <c r="X5" i="1"/>
  <c r="V37" i="1"/>
  <c r="R70" i="1"/>
  <c r="X34" i="1"/>
  <c r="V16" i="1"/>
  <c r="X13" i="1"/>
  <c r="U12" i="1"/>
  <c r="Y12" i="1" s="1"/>
  <c r="V11" i="1"/>
  <c r="X30" i="1"/>
  <c r="U28" i="1"/>
  <c r="V27" i="1"/>
  <c r="W26" i="1"/>
  <c r="V20" i="1"/>
  <c r="X19" i="1"/>
  <c r="W19" i="1"/>
  <c r="DM73" i="1"/>
  <c r="DM72" i="1"/>
  <c r="DM71" i="1"/>
  <c r="X29" i="1"/>
  <c r="V28" i="1"/>
  <c r="X40" i="1"/>
  <c r="X27" i="1"/>
  <c r="W40" i="1"/>
  <c r="W13" i="1"/>
  <c r="X39" i="1"/>
  <c r="W25" i="1"/>
  <c r="W34" i="1"/>
  <c r="X24" i="1"/>
  <c r="U11" i="1"/>
  <c r="X33" i="1"/>
  <c r="V24" i="1"/>
  <c r="W10" i="1"/>
  <c r="W23" i="1"/>
  <c r="V10" i="1"/>
  <c r="W30" i="1"/>
  <c r="U33" i="1"/>
  <c r="X21" i="1"/>
  <c r="W9" i="1"/>
  <c r="X32" i="1"/>
  <c r="W21" i="1"/>
  <c r="X7" i="1"/>
  <c r="V32" i="1"/>
  <c r="X20" i="1"/>
  <c r="V7" i="1"/>
  <c r="R73" i="1"/>
  <c r="U37" i="1"/>
  <c r="U24" i="1"/>
  <c r="U20" i="1"/>
  <c r="U16" i="1"/>
  <c r="X11" i="1"/>
  <c r="W7" i="1"/>
  <c r="X36" i="1"/>
  <c r="X23" i="1"/>
  <c r="X15" i="1"/>
  <c r="W5" i="1"/>
  <c r="W36" i="1"/>
  <c r="W32" i="1"/>
  <c r="W27" i="1"/>
  <c r="W15" i="1"/>
  <c r="U7" i="1"/>
  <c r="V40" i="1"/>
  <c r="V36" i="1"/>
  <c r="V23" i="1"/>
  <c r="V19" i="1"/>
  <c r="V15" i="1"/>
  <c r="X6" i="1"/>
  <c r="U40" i="1"/>
  <c r="U36" i="1"/>
  <c r="U32" i="1"/>
  <c r="U27" i="1"/>
  <c r="U23" i="1"/>
  <c r="U19" i="1"/>
  <c r="U15" i="1"/>
  <c r="X10" i="1"/>
  <c r="W6" i="1"/>
  <c r="W8" i="1"/>
  <c r="Y8" i="1" s="1"/>
  <c r="U31" i="1"/>
  <c r="X35" i="1"/>
  <c r="X26" i="1"/>
  <c r="X22" i="1"/>
  <c r="X14" i="1"/>
  <c r="U13" i="1"/>
  <c r="W39" i="1"/>
  <c r="W18" i="1"/>
  <c r="V39" i="1"/>
  <c r="V30" i="1"/>
  <c r="V18" i="1"/>
  <c r="V14" i="1"/>
  <c r="U10" i="1"/>
  <c r="X31" i="1"/>
  <c r="U39" i="1"/>
  <c r="U30" i="1"/>
  <c r="U26" i="1"/>
  <c r="U22" i="1"/>
  <c r="U18" i="1"/>
  <c r="U14" i="1"/>
  <c r="W38" i="1"/>
  <c r="W29" i="1"/>
  <c r="W17" i="1"/>
  <c r="V38" i="1"/>
  <c r="V34" i="1"/>
  <c r="V29" i="1"/>
  <c r="V25" i="1"/>
  <c r="V21" i="1"/>
  <c r="V17" i="1"/>
  <c r="V13" i="1"/>
  <c r="U9" i="1"/>
  <c r="R72" i="1"/>
  <c r="BQ40" i="1"/>
  <c r="BQ24" i="1"/>
  <c r="R69" i="1"/>
  <c r="AV60" i="1"/>
  <c r="AV55" i="1"/>
  <c r="AV53" i="1"/>
  <c r="AV54" i="1"/>
  <c r="AU41" i="1"/>
  <c r="AV41" i="1" s="1"/>
  <c r="AU40" i="1"/>
  <c r="AV40" i="1" s="1"/>
  <c r="AU33" i="1"/>
  <c r="AV33" i="1" s="1"/>
  <c r="AU39" i="1"/>
  <c r="AV39" i="1" s="1"/>
  <c r="AU36" i="1"/>
  <c r="AV36" i="1" s="1"/>
  <c r="AU35" i="1"/>
  <c r="AV35" i="1" s="1"/>
  <c r="R68" i="1"/>
  <c r="R66" i="1"/>
  <c r="BP34" i="1"/>
  <c r="BP18" i="1"/>
  <c r="BQ42" i="1"/>
  <c r="BQ26" i="1"/>
  <c r="AU38" i="1"/>
  <c r="AV38" i="1" s="1"/>
  <c r="AU37" i="1"/>
  <c r="AV37" i="1" s="1"/>
  <c r="AV57" i="1"/>
  <c r="AV56" i="1"/>
  <c r="AU34" i="1"/>
  <c r="AV34" i="1" s="1"/>
  <c r="R67" i="1"/>
  <c r="AV51" i="1"/>
  <c r="BP21" i="1"/>
  <c r="BQ13" i="1"/>
  <c r="BQ28" i="1"/>
  <c r="BP37" i="1"/>
  <c r="BQ5" i="1"/>
  <c r="BQ29" i="1"/>
  <c r="BP36" i="1"/>
  <c r="BP20" i="1"/>
  <c r="BQ44" i="1"/>
  <c r="BQ12" i="1"/>
  <c r="AU42" i="1"/>
  <c r="AV42" i="1" s="1"/>
  <c r="BQ10" i="1"/>
  <c r="BQ41" i="1"/>
  <c r="BP33" i="1"/>
  <c r="BP32" i="1"/>
  <c r="BP16" i="1"/>
  <c r="BQ8" i="1"/>
  <c r="BP31" i="1"/>
  <c r="BP15" i="1"/>
  <c r="BQ39" i="1"/>
  <c r="BQ23" i="1"/>
  <c r="BQ7" i="1"/>
  <c r="BQ9" i="1"/>
  <c r="BP17" i="1"/>
  <c r="BQ25" i="1"/>
  <c r="BR15" i="1"/>
  <c r="BR31" i="1"/>
  <c r="BR44" i="1"/>
  <c r="BR28" i="1"/>
  <c r="BR12" i="1"/>
  <c r="BP43" i="1"/>
  <c r="BP27" i="1"/>
  <c r="BP11" i="1"/>
  <c r="BQ35" i="1"/>
  <c r="BQ19" i="1"/>
  <c r="BP10" i="1"/>
  <c r="BP26" i="1"/>
  <c r="BP42" i="1"/>
  <c r="BQ15" i="1"/>
  <c r="BR36" i="1"/>
  <c r="BR20" i="1"/>
  <c r="BR33" i="1"/>
  <c r="BR17" i="1"/>
  <c r="BR32" i="1"/>
  <c r="BR16" i="1"/>
  <c r="BQ31" i="1"/>
  <c r="BP5" i="1"/>
  <c r="BQ37" i="1"/>
  <c r="BR29" i="1"/>
  <c r="BP29" i="1"/>
  <c r="BP13" i="1"/>
  <c r="BQ21" i="1"/>
  <c r="BR5" i="1"/>
  <c r="BR13" i="1"/>
  <c r="BP28" i="1"/>
  <c r="BQ36" i="1"/>
  <c r="BQ20" i="1"/>
  <c r="BR27" i="1"/>
  <c r="BR11" i="1"/>
  <c r="BQ34" i="1"/>
  <c r="BQ18" i="1"/>
  <c r="BR42" i="1"/>
  <c r="BR26" i="1"/>
  <c r="BR10" i="1"/>
  <c r="BQ17" i="1"/>
  <c r="BP9" i="1"/>
  <c r="BR9" i="1"/>
  <c r="BP40" i="1"/>
  <c r="BP24" i="1"/>
  <c r="BP8" i="1"/>
  <c r="BQ32" i="1"/>
  <c r="BQ16" i="1"/>
  <c r="BR40" i="1"/>
  <c r="BR24" i="1"/>
  <c r="BR8" i="1"/>
  <c r="BP25" i="1"/>
  <c r="BR25" i="1"/>
  <c r="BP39" i="1"/>
  <c r="BP23" i="1"/>
  <c r="BP7" i="1"/>
  <c r="BR39" i="1"/>
  <c r="BR23" i="1"/>
  <c r="BR7" i="1"/>
  <c r="BR43" i="1"/>
  <c r="BP41" i="1"/>
  <c r="BQ33" i="1"/>
  <c r="BR41" i="1"/>
  <c r="BP38" i="1"/>
  <c r="BP22" i="1"/>
  <c r="BP6" i="1"/>
  <c r="BP30" i="1"/>
  <c r="BP14" i="1"/>
  <c r="BR38" i="1"/>
  <c r="BR22" i="1"/>
  <c r="BR6" i="1"/>
  <c r="BR37" i="1"/>
  <c r="BR21" i="1"/>
  <c r="BP44" i="1"/>
  <c r="BP12" i="1"/>
  <c r="BP35" i="1"/>
  <c r="BP19" i="1"/>
  <c r="BQ43" i="1"/>
  <c r="BQ27" i="1"/>
  <c r="BQ11" i="1"/>
  <c r="BR35" i="1"/>
  <c r="BR19" i="1"/>
  <c r="BR34" i="1"/>
  <c r="BR18" i="1"/>
  <c r="BR30" i="1"/>
  <c r="BR14" i="1"/>
  <c r="BQ30" i="1"/>
  <c r="BQ14" i="1"/>
  <c r="BQ38" i="1"/>
  <c r="BQ22" i="1"/>
  <c r="BQ6" i="1"/>
  <c r="Y44" i="1" l="1"/>
  <c r="AF44" i="1" s="1"/>
  <c r="AF8" i="1"/>
  <c r="AG8" i="1"/>
  <c r="AH8" i="1"/>
  <c r="H8" i="1"/>
  <c r="AF12" i="1"/>
  <c r="AH12" i="1"/>
  <c r="AG12" i="1"/>
  <c r="H12" i="1"/>
  <c r="AV50" i="1"/>
  <c r="AD56" i="1"/>
  <c r="R52" i="1"/>
  <c r="V48" i="1" s="1"/>
  <c r="AV52" i="1"/>
  <c r="AD70" i="1"/>
  <c r="CX51" i="1"/>
  <c r="E12" i="1"/>
  <c r="AD12" i="1"/>
  <c r="E8" i="1"/>
  <c r="AD8" i="1"/>
  <c r="AD55" i="1"/>
  <c r="AD68" i="1"/>
  <c r="AD54" i="1"/>
  <c r="AD53" i="1"/>
  <c r="AD69" i="1"/>
  <c r="Y5" i="1"/>
  <c r="AG5" i="1" s="1"/>
  <c r="AD65" i="1"/>
  <c r="AD44" i="1"/>
  <c r="AD57" i="1"/>
  <c r="AD67" i="1"/>
  <c r="AD60" i="1"/>
  <c r="AD61" i="1"/>
  <c r="AD71" i="1"/>
  <c r="AD64" i="1"/>
  <c r="AD66" i="1"/>
  <c r="AD63" i="1"/>
  <c r="AD59" i="1"/>
  <c r="AD48" i="1"/>
  <c r="AD45" i="1"/>
  <c r="AD62" i="1"/>
  <c r="AD47" i="1"/>
  <c r="X68" i="1"/>
  <c r="W69" i="1"/>
  <c r="V70" i="1"/>
  <c r="W63" i="1"/>
  <c r="V64" i="1"/>
  <c r="U65" i="1"/>
  <c r="X62" i="1"/>
  <c r="W62" i="1"/>
  <c r="V63" i="1"/>
  <c r="U64" i="1"/>
  <c r="X61" i="1"/>
  <c r="AD49" i="1"/>
  <c r="U73" i="1"/>
  <c r="V72" i="1"/>
  <c r="W71" i="1"/>
  <c r="Y71" i="1" s="1"/>
  <c r="AD46" i="1"/>
  <c r="AD58" i="1"/>
  <c r="AD42" i="1"/>
  <c r="AD43" i="1"/>
  <c r="V59" i="1"/>
  <c r="U60" i="1"/>
  <c r="X57" i="1"/>
  <c r="W58" i="1"/>
  <c r="AD50" i="1"/>
  <c r="W65" i="1"/>
  <c r="V66" i="1"/>
  <c r="U67" i="1"/>
  <c r="X64" i="1"/>
  <c r="W64" i="1"/>
  <c r="V65" i="1"/>
  <c r="U66" i="1"/>
  <c r="X63" i="1"/>
  <c r="DM76" i="1"/>
  <c r="V61" i="1"/>
  <c r="U62" i="1"/>
  <c r="X59" i="1"/>
  <c r="W60" i="1"/>
  <c r="V60" i="1"/>
  <c r="U61" i="1"/>
  <c r="X58" i="1"/>
  <c r="W59" i="1"/>
  <c r="W61" i="1"/>
  <c r="V62" i="1"/>
  <c r="U63" i="1"/>
  <c r="X60" i="1"/>
  <c r="W68" i="1"/>
  <c r="V69" i="1"/>
  <c r="X67" i="1"/>
  <c r="U70" i="1"/>
  <c r="AD52" i="1"/>
  <c r="X66" i="1"/>
  <c r="W67" i="1"/>
  <c r="V68" i="1"/>
  <c r="U69" i="1"/>
  <c r="DM75" i="1"/>
  <c r="R75" i="1"/>
  <c r="Y16" i="1"/>
  <c r="Y37" i="1"/>
  <c r="Y31" i="1"/>
  <c r="Y33" i="1"/>
  <c r="Y28" i="1"/>
  <c r="Y34" i="1"/>
  <c r="Y38" i="1"/>
  <c r="Y11" i="1"/>
  <c r="Y26" i="1"/>
  <c r="Y35" i="1"/>
  <c r="Y29" i="1"/>
  <c r="Y36" i="1"/>
  <c r="Y14" i="1"/>
  <c r="Y30" i="1"/>
  <c r="Y20" i="1"/>
  <c r="Y9" i="1"/>
  <c r="Y24" i="1"/>
  <c r="Y32" i="1"/>
  <c r="Y17" i="1"/>
  <c r="Y21" i="1"/>
  <c r="Y6" i="1"/>
  <c r="Y7" i="1"/>
  <c r="Y25" i="1"/>
  <c r="Y39" i="1"/>
  <c r="R62" i="1"/>
  <c r="R59" i="1"/>
  <c r="R54" i="1"/>
  <c r="Y10" i="1"/>
  <c r="Y15" i="1"/>
  <c r="R61" i="1"/>
  <c r="Y19" i="1"/>
  <c r="R53" i="1"/>
  <c r="Y23" i="1"/>
  <c r="R55" i="1"/>
  <c r="Y27" i="1"/>
  <c r="R56" i="1"/>
  <c r="R60" i="1"/>
  <c r="R51" i="1"/>
  <c r="Y18" i="1"/>
  <c r="Y13" i="1"/>
  <c r="Y40" i="1"/>
  <c r="R58" i="1"/>
  <c r="Y22" i="1"/>
  <c r="H44" i="1" l="1"/>
  <c r="AG44" i="1"/>
  <c r="AH44" i="1"/>
  <c r="AG71" i="1"/>
  <c r="AG72" i="1" s="1"/>
  <c r="AG73" i="1" s="1"/>
  <c r="AG74" i="1" s="1"/>
  <c r="AG75" i="1" s="1"/>
  <c r="AG76" i="1" s="1"/>
  <c r="AG77" i="1" s="1"/>
  <c r="AF71" i="1"/>
  <c r="AF72" i="1" s="1"/>
  <c r="AF73" i="1" s="1"/>
  <c r="AF74" i="1" s="1"/>
  <c r="AF75" i="1" s="1"/>
  <c r="AF76" i="1" s="1"/>
  <c r="AF77" i="1" s="1"/>
  <c r="H71" i="1"/>
  <c r="I71" i="1" s="1"/>
  <c r="AH71" i="1"/>
  <c r="AH72" i="1" s="1"/>
  <c r="AH73" i="1" s="1"/>
  <c r="AH74" i="1" s="1"/>
  <c r="AH75" i="1" s="1"/>
  <c r="AH76" i="1" s="1"/>
  <c r="AH77" i="1" s="1"/>
  <c r="I8" i="1"/>
  <c r="AF11" i="1"/>
  <c r="AG11" i="1"/>
  <c r="AH11" i="1"/>
  <c r="H11" i="1"/>
  <c r="AF21" i="1"/>
  <c r="AG21" i="1"/>
  <c r="AH21" i="1"/>
  <c r="H21" i="1"/>
  <c r="AH5" i="1"/>
  <c r="AF5" i="1"/>
  <c r="AD5" i="1"/>
  <c r="H5" i="1"/>
  <c r="I5" i="1" s="1"/>
  <c r="AD39" i="1"/>
  <c r="CX39" i="1" s="1"/>
  <c r="AH39" i="1"/>
  <c r="AF39" i="1"/>
  <c r="AG39" i="1"/>
  <c r="H39" i="1"/>
  <c r="I39" i="1" s="1"/>
  <c r="AG18" i="1"/>
  <c r="AH18" i="1"/>
  <c r="AF18" i="1"/>
  <c r="H18" i="1"/>
  <c r="AF27" i="1"/>
  <c r="AG27" i="1"/>
  <c r="AH27" i="1"/>
  <c r="H27" i="1"/>
  <c r="AF24" i="1"/>
  <c r="AG24" i="1"/>
  <c r="AH24" i="1"/>
  <c r="H24" i="1"/>
  <c r="AF13" i="1"/>
  <c r="AG13" i="1"/>
  <c r="AH13" i="1"/>
  <c r="H13" i="1"/>
  <c r="AF6" i="1"/>
  <c r="AG6" i="1"/>
  <c r="AH6" i="1"/>
  <c r="H6" i="1"/>
  <c r="AD33" i="1"/>
  <c r="CX33" i="1" s="1"/>
  <c r="AF33" i="1"/>
  <c r="AG33" i="1"/>
  <c r="AH33" i="1"/>
  <c r="H33" i="1"/>
  <c r="I33" i="1" s="1"/>
  <c r="AF31" i="1"/>
  <c r="AG31" i="1"/>
  <c r="AH31" i="1"/>
  <c r="H31" i="1"/>
  <c r="AD37" i="1"/>
  <c r="AF37" i="1"/>
  <c r="AG37" i="1"/>
  <c r="AH37" i="1"/>
  <c r="H37" i="1"/>
  <c r="AF19" i="1"/>
  <c r="AG19" i="1"/>
  <c r="AH19" i="1"/>
  <c r="H19" i="1"/>
  <c r="AD40" i="1"/>
  <c r="CX40" i="1" s="1"/>
  <c r="AF40" i="1"/>
  <c r="AG40" i="1"/>
  <c r="AH40" i="1"/>
  <c r="H40" i="1"/>
  <c r="I40" i="1" s="1"/>
  <c r="AD38" i="1"/>
  <c r="CX38" i="1" s="1"/>
  <c r="AH38" i="1"/>
  <c r="AF38" i="1"/>
  <c r="AG38" i="1"/>
  <c r="H38" i="1"/>
  <c r="AD34" i="1"/>
  <c r="AG34" i="1"/>
  <c r="AH34" i="1"/>
  <c r="AF34" i="1"/>
  <c r="H34" i="1"/>
  <c r="AF16" i="1"/>
  <c r="AG16" i="1"/>
  <c r="AH16" i="1"/>
  <c r="H16" i="1"/>
  <c r="AH9" i="1"/>
  <c r="AF9" i="1"/>
  <c r="AG9" i="1"/>
  <c r="H9" i="1"/>
  <c r="AH20" i="1"/>
  <c r="AF20" i="1"/>
  <c r="AG20" i="1"/>
  <c r="H20" i="1"/>
  <c r="AF10" i="1"/>
  <c r="AG10" i="1"/>
  <c r="AH10" i="1"/>
  <c r="H10" i="1"/>
  <c r="AD35" i="1"/>
  <c r="CX35" i="1" s="1"/>
  <c r="AF35" i="1"/>
  <c r="AG35" i="1"/>
  <c r="AH35" i="1"/>
  <c r="H35" i="1"/>
  <c r="I35" i="1" s="1"/>
  <c r="AF26" i="1"/>
  <c r="AG26" i="1"/>
  <c r="AH26" i="1"/>
  <c r="H26" i="1"/>
  <c r="AH25" i="1"/>
  <c r="AF25" i="1"/>
  <c r="AG25" i="1"/>
  <c r="H25" i="1"/>
  <c r="AH7" i="1"/>
  <c r="AF7" i="1"/>
  <c r="AG7" i="1"/>
  <c r="H7" i="1"/>
  <c r="AH28" i="1"/>
  <c r="AF28" i="1"/>
  <c r="AG28" i="1"/>
  <c r="H28" i="1"/>
  <c r="AG17" i="1"/>
  <c r="AF17" i="1"/>
  <c r="AH17" i="1"/>
  <c r="H17" i="1"/>
  <c r="AF32" i="1"/>
  <c r="AG32" i="1"/>
  <c r="AH32" i="1"/>
  <c r="H32" i="1"/>
  <c r="AH23" i="1"/>
  <c r="AF23" i="1"/>
  <c r="AG23" i="1"/>
  <c r="H23" i="1"/>
  <c r="I12" i="1"/>
  <c r="AF30" i="1"/>
  <c r="AG30" i="1"/>
  <c r="AH30" i="1"/>
  <c r="H30" i="1"/>
  <c r="AF15" i="1"/>
  <c r="AG15" i="1"/>
  <c r="AH15" i="1"/>
  <c r="H15" i="1"/>
  <c r="AF14" i="1"/>
  <c r="AG14" i="1"/>
  <c r="AH14" i="1"/>
  <c r="H14" i="1"/>
  <c r="AD36" i="1"/>
  <c r="CX36" i="1" s="1"/>
  <c r="AH36" i="1"/>
  <c r="AF36" i="1"/>
  <c r="AG36" i="1"/>
  <c r="H36" i="1"/>
  <c r="I36" i="1" s="1"/>
  <c r="AF22" i="1"/>
  <c r="AG22" i="1"/>
  <c r="AH22" i="1"/>
  <c r="H22" i="1"/>
  <c r="AF29" i="1"/>
  <c r="AG29" i="1"/>
  <c r="AH29" i="1"/>
  <c r="H29" i="1"/>
  <c r="CX56" i="1"/>
  <c r="I38" i="1"/>
  <c r="CX37" i="1"/>
  <c r="I37" i="1"/>
  <c r="CX34" i="1"/>
  <c r="I34" i="1"/>
  <c r="CX42" i="1"/>
  <c r="E27" i="1"/>
  <c r="AD27" i="1"/>
  <c r="E6" i="1"/>
  <c r="AD6" i="1"/>
  <c r="CX69" i="1"/>
  <c r="E9" i="1"/>
  <c r="AD9" i="1"/>
  <c r="X46" i="1"/>
  <c r="E15" i="1"/>
  <c r="AD15" i="1"/>
  <c r="I15" i="1" s="1"/>
  <c r="E14" i="1"/>
  <c r="AD14" i="1"/>
  <c r="CX66" i="1"/>
  <c r="CX71" i="1"/>
  <c r="E16" i="1"/>
  <c r="AD16" i="1"/>
  <c r="CX68" i="1"/>
  <c r="E10" i="1"/>
  <c r="AD10" i="1"/>
  <c r="CX58" i="1"/>
  <c r="E21" i="1"/>
  <c r="AD21" i="1"/>
  <c r="CX65" i="1"/>
  <c r="E31" i="1"/>
  <c r="AD31" i="1"/>
  <c r="CX47" i="1"/>
  <c r="CX62" i="1"/>
  <c r="CX54" i="1"/>
  <c r="CX59" i="1"/>
  <c r="CX50" i="1"/>
  <c r="E28" i="1"/>
  <c r="AD28" i="1"/>
  <c r="CX70" i="1"/>
  <c r="E32" i="1"/>
  <c r="AD32" i="1"/>
  <c r="E24" i="1"/>
  <c r="AD24" i="1"/>
  <c r="CX53" i="1"/>
  <c r="E19" i="1"/>
  <c r="AD19" i="1"/>
  <c r="E20" i="1"/>
  <c r="AD20" i="1"/>
  <c r="W47" i="1"/>
  <c r="E22" i="1"/>
  <c r="AD22" i="1"/>
  <c r="CX63" i="1"/>
  <c r="E13" i="1"/>
  <c r="AD13" i="1"/>
  <c r="CX52" i="1"/>
  <c r="E18" i="1"/>
  <c r="AD18" i="1"/>
  <c r="CX61" i="1"/>
  <c r="CX67" i="1"/>
  <c r="E17" i="1"/>
  <c r="AD17" i="1"/>
  <c r="I17" i="1" s="1"/>
  <c r="E5" i="1"/>
  <c r="E23" i="1"/>
  <c r="AD23" i="1"/>
  <c r="U49" i="1"/>
  <c r="E30" i="1"/>
  <c r="AD30" i="1"/>
  <c r="CX55" i="1"/>
  <c r="E29" i="1"/>
  <c r="AD29" i="1"/>
  <c r="CX64" i="1"/>
  <c r="E26" i="1"/>
  <c r="AD26" i="1"/>
  <c r="E11" i="1"/>
  <c r="AD11" i="1"/>
  <c r="CX60" i="1"/>
  <c r="E25" i="1"/>
  <c r="AD25" i="1"/>
  <c r="Y66" i="1"/>
  <c r="I66" i="1" s="1"/>
  <c r="E7" i="1"/>
  <c r="AD7" i="1"/>
  <c r="CX57" i="1"/>
  <c r="E37" i="1"/>
  <c r="E35" i="1"/>
  <c r="E33" i="1"/>
  <c r="E39" i="1"/>
  <c r="E38" i="1"/>
  <c r="E34" i="1"/>
  <c r="E36" i="1"/>
  <c r="E40" i="1"/>
  <c r="W49" i="1"/>
  <c r="V50" i="1"/>
  <c r="X48" i="1"/>
  <c r="W70" i="1"/>
  <c r="Y70" i="1" s="1"/>
  <c r="U72" i="1"/>
  <c r="X69" i="1"/>
  <c r="Y69" i="1" s="1"/>
  <c r="I69" i="1" s="1"/>
  <c r="V49" i="1"/>
  <c r="W48" i="1"/>
  <c r="U50" i="1"/>
  <c r="X47" i="1"/>
  <c r="U56" i="1"/>
  <c r="W54" i="1"/>
  <c r="V55" i="1"/>
  <c r="X49" i="1"/>
  <c r="U52" i="1"/>
  <c r="W50" i="1"/>
  <c r="V51" i="1"/>
  <c r="U55" i="1"/>
  <c r="X52" i="1"/>
  <c r="W53" i="1"/>
  <c r="V52" i="1"/>
  <c r="U53" i="1"/>
  <c r="U59" i="1"/>
  <c r="Y59" i="1" s="1"/>
  <c r="I59" i="1" s="1"/>
  <c r="X56" i="1"/>
  <c r="W57" i="1"/>
  <c r="V58" i="1"/>
  <c r="U58" i="1"/>
  <c r="Y58" i="1" s="1"/>
  <c r="I58" i="1" s="1"/>
  <c r="X55" i="1"/>
  <c r="W56" i="1"/>
  <c r="V57" i="1"/>
  <c r="W46" i="1"/>
  <c r="U48" i="1"/>
  <c r="V47" i="1"/>
  <c r="W45" i="1"/>
  <c r="U47" i="1"/>
  <c r="V46" i="1"/>
  <c r="U57" i="1"/>
  <c r="X54" i="1"/>
  <c r="V56" i="1"/>
  <c r="W55" i="1"/>
  <c r="Y68" i="1"/>
  <c r="I68" i="1" s="1"/>
  <c r="Y67" i="1"/>
  <c r="I67" i="1" s="1"/>
  <c r="Y61" i="1"/>
  <c r="I61" i="1" s="1"/>
  <c r="Y63" i="1"/>
  <c r="I63" i="1" s="1"/>
  <c r="Y62" i="1"/>
  <c r="I62" i="1" s="1"/>
  <c r="Y64" i="1"/>
  <c r="I64" i="1" s="1"/>
  <c r="Y65" i="1"/>
  <c r="I65" i="1" s="1"/>
  <c r="Y60" i="1"/>
  <c r="I60" i="1" s="1"/>
  <c r="I29" i="1" l="1"/>
  <c r="I13" i="1"/>
  <c r="I10" i="1"/>
  <c r="I26" i="1"/>
  <c r="I18" i="1"/>
  <c r="I32" i="1"/>
  <c r="I27" i="1"/>
  <c r="I11" i="1"/>
  <c r="I22" i="1"/>
  <c r="I9" i="1"/>
  <c r="I21" i="1"/>
  <c r="I24" i="1"/>
  <c r="I6" i="1"/>
  <c r="I14" i="1"/>
  <c r="I7" i="1"/>
  <c r="I28" i="1"/>
  <c r="I30" i="1"/>
  <c r="I23" i="1"/>
  <c r="I20" i="1"/>
  <c r="I31" i="1"/>
  <c r="AH70" i="1"/>
  <c r="AF70" i="1"/>
  <c r="AG70" i="1"/>
  <c r="H70" i="1"/>
  <c r="I70" i="1" s="1"/>
  <c r="I25" i="1"/>
  <c r="I19" i="1"/>
  <c r="I16" i="1"/>
  <c r="Y49" i="1"/>
  <c r="Y47" i="1"/>
  <c r="Y48" i="1"/>
  <c r="Y54" i="1"/>
  <c r="I54" i="1" s="1"/>
  <c r="Y51" i="1"/>
  <c r="Y50" i="1"/>
  <c r="Y46" i="1"/>
  <c r="Y45" i="1"/>
  <c r="Y57" i="1"/>
  <c r="I57" i="1" s="1"/>
  <c r="Y52" i="1"/>
  <c r="Y53" i="1"/>
  <c r="Y55" i="1"/>
  <c r="I55" i="1" s="1"/>
  <c r="Y56" i="1"/>
  <c r="I56" i="1" s="1"/>
  <c r="Y43" i="1"/>
  <c r="X41" i="1"/>
  <c r="Y41" i="1" s="1"/>
  <c r="Y42" i="1"/>
  <c r="AT47" i="1"/>
  <c r="AU47" i="1"/>
  <c r="AV47" i="1" s="1"/>
  <c r="AG53" i="1" l="1"/>
  <c r="AH53" i="1"/>
  <c r="H53" i="1"/>
  <c r="I53" i="1" s="1"/>
  <c r="AG51" i="1"/>
  <c r="AH51" i="1"/>
  <c r="AF51" i="1"/>
  <c r="H51" i="1"/>
  <c r="I51" i="1" s="1"/>
  <c r="AG52" i="1"/>
  <c r="AH52" i="1"/>
  <c r="H52" i="1"/>
  <c r="I52" i="1" s="1"/>
  <c r="AF52" i="1"/>
  <c r="AF53" i="1"/>
  <c r="AF48" i="1"/>
  <c r="AG48" i="1"/>
  <c r="AH48" i="1"/>
  <c r="H48" i="1"/>
  <c r="I48" i="1" s="1"/>
  <c r="AD41" i="1"/>
  <c r="CX41" i="1" s="1"/>
  <c r="AH41" i="1"/>
  <c r="AF41" i="1"/>
  <c r="AG41" i="1"/>
  <c r="H41" i="1"/>
  <c r="I41" i="1" s="1"/>
  <c r="AF45" i="1"/>
  <c r="AG45" i="1"/>
  <c r="AH45" i="1"/>
  <c r="H45" i="1"/>
  <c r="I45" i="1" s="1"/>
  <c r="AF46" i="1"/>
  <c r="AG46" i="1"/>
  <c r="AH46" i="1"/>
  <c r="H46" i="1"/>
  <c r="I46" i="1" s="1"/>
  <c r="AG49" i="1"/>
  <c r="AF49" i="1"/>
  <c r="AH49" i="1"/>
  <c r="H49" i="1"/>
  <c r="I49" i="1" s="1"/>
  <c r="AG42" i="1"/>
  <c r="AF42" i="1"/>
  <c r="AH42" i="1"/>
  <c r="H42" i="1"/>
  <c r="I42" i="1" s="1"/>
  <c r="AG50" i="1"/>
  <c r="AH50" i="1"/>
  <c r="AF50" i="1"/>
  <c r="H50" i="1"/>
  <c r="I50" i="1" s="1"/>
  <c r="AF47" i="1"/>
  <c r="AG47" i="1"/>
  <c r="AH47" i="1"/>
  <c r="H47" i="1"/>
  <c r="I47" i="1" s="1"/>
  <c r="D43" i="1"/>
  <c r="E43" i="1" s="1"/>
  <c r="AF43" i="1"/>
  <c r="AG43" i="1"/>
  <c r="AH43" i="1"/>
  <c r="H43" i="1"/>
  <c r="I43" i="1" s="1"/>
  <c r="D45" i="1"/>
  <c r="E45" i="1" s="1"/>
  <c r="D46" i="1"/>
  <c r="E46" i="1" s="1"/>
  <c r="E48" i="1"/>
  <c r="E47" i="1"/>
  <c r="E49" i="1"/>
  <c r="E41" i="1"/>
  <c r="E42" i="1"/>
  <c r="B2" i="1" l="1"/>
  <c r="I44" i="1"/>
  <c r="B1" i="1" s="1"/>
  <c r="D44" i="1"/>
  <c r="J47" i="1" l="1"/>
  <c r="J42" i="1"/>
  <c r="J43" i="1"/>
  <c r="J45" i="1"/>
  <c r="J46" i="1"/>
  <c r="J48" i="1"/>
  <c r="AN6" i="1"/>
  <c r="AN8" i="1"/>
  <c r="D2" i="1"/>
  <c r="D1" i="1"/>
  <c r="J65" i="1"/>
  <c r="J52" i="1"/>
  <c r="J69" i="1"/>
  <c r="J54" i="1"/>
  <c r="J58" i="1"/>
  <c r="J66" i="1"/>
  <c r="J51" i="1"/>
  <c r="J67" i="1"/>
  <c r="J68" i="1"/>
  <c r="J53" i="1"/>
  <c r="J55" i="1"/>
  <c r="J56" i="1"/>
  <c r="J57" i="1"/>
  <c r="J75" i="1"/>
  <c r="J60" i="1"/>
  <c r="J61" i="1"/>
  <c r="J63" i="1"/>
  <c r="J72" i="1"/>
  <c r="J59" i="1"/>
  <c r="J62" i="1"/>
  <c r="J64" i="1"/>
  <c r="J73" i="1"/>
  <c r="J74" i="1"/>
  <c r="J76" i="1"/>
  <c r="J8" i="1"/>
  <c r="J35" i="1"/>
  <c r="J18" i="1"/>
  <c r="J17" i="1"/>
  <c r="J27" i="1"/>
  <c r="J9" i="1"/>
  <c r="J29" i="1"/>
  <c r="J5" i="1"/>
  <c r="AN5" i="1" s="1"/>
  <c r="J13" i="1"/>
  <c r="J36" i="1"/>
  <c r="J24" i="1"/>
  <c r="J38" i="1"/>
  <c r="J33" i="1"/>
  <c r="J15" i="1"/>
  <c r="J40" i="1"/>
  <c r="J71" i="1"/>
  <c r="J21" i="1"/>
  <c r="J6" i="1"/>
  <c r="J22" i="1"/>
  <c r="J32" i="1"/>
  <c r="J11" i="1"/>
  <c r="J26" i="1"/>
  <c r="J39" i="1"/>
  <c r="J34" i="1"/>
  <c r="J12" i="1"/>
  <c r="J37" i="1"/>
  <c r="J10" i="1"/>
  <c r="J70" i="1"/>
  <c r="J31" i="1"/>
  <c r="J20" i="1"/>
  <c r="J30" i="1"/>
  <c r="J14" i="1"/>
  <c r="J19" i="1"/>
  <c r="J16" i="1"/>
  <c r="J23" i="1"/>
  <c r="J28" i="1"/>
  <c r="J25" i="1"/>
  <c r="J7" i="1"/>
  <c r="AN7" i="1" s="1"/>
  <c r="J44" i="1"/>
  <c r="J41" i="1"/>
  <c r="J49" i="1"/>
  <c r="J50" i="1"/>
  <c r="E44" i="1"/>
  <c r="AK11" i="1" l="1"/>
  <c r="AK9" i="1"/>
  <c r="AK10" i="1"/>
  <c r="F1" i="1"/>
  <c r="F2" i="1" s="1"/>
  <c r="AL10" i="1" l="1"/>
  <c r="AL9" i="1"/>
  <c r="AL11" i="1"/>
  <c r="AM9" i="1"/>
  <c r="AN9" i="1" s="1"/>
  <c r="AK12" i="1" s="1"/>
  <c r="AM10" i="1"/>
  <c r="AN10" i="1" s="1"/>
  <c r="AM11" i="1"/>
  <c r="AN11" i="1" s="1"/>
  <c r="AL12" i="1" l="1"/>
  <c r="AO9" i="1"/>
  <c r="AK13" i="1"/>
  <c r="AO11" i="1"/>
  <c r="AK14" i="1"/>
  <c r="AO10" i="1"/>
  <c r="AM12" i="1"/>
  <c r="AN12" i="1" s="1"/>
  <c r="AK15" i="1" s="1"/>
  <c r="AL15" i="1" l="1"/>
  <c r="AL14" i="1"/>
  <c r="AL13" i="1"/>
  <c r="AM14" i="1"/>
  <c r="AM13" i="1"/>
  <c r="AO12" i="1"/>
  <c r="AM15" i="1"/>
  <c r="AN15" i="1" s="1"/>
  <c r="AN14" i="1" l="1"/>
  <c r="AO14" i="1"/>
  <c r="AN13" i="1"/>
  <c r="AO13" i="1"/>
  <c r="AO15" i="1"/>
  <c r="AK18" i="1" l="1"/>
  <c r="AK16" i="1"/>
  <c r="AK17" i="1"/>
  <c r="AL17" i="1" l="1"/>
  <c r="AL16" i="1"/>
  <c r="AL18" i="1"/>
  <c r="AM17" i="1"/>
  <c r="AM16" i="1"/>
  <c r="AM18" i="1" l="1"/>
  <c r="AN18" i="1" s="1"/>
  <c r="AO18" i="1"/>
  <c r="AN16" i="1"/>
  <c r="AK19" i="1" s="1"/>
  <c r="AO16" i="1"/>
  <c r="AN17" i="1"/>
  <c r="AO17" i="1"/>
  <c r="AL19" i="1" l="1"/>
  <c r="AM19" i="1"/>
  <c r="AN19" i="1" s="1"/>
  <c r="AK22" i="1" s="1"/>
  <c r="AK20" i="1"/>
  <c r="AK21" i="1"/>
  <c r="AL20" i="1" l="1"/>
  <c r="AL21" i="1"/>
  <c r="AL22" i="1"/>
  <c r="AM20" i="1"/>
  <c r="AN20" i="1" s="1"/>
  <c r="AK23" i="1" s="1"/>
  <c r="AO19" i="1"/>
  <c r="AM22" i="1"/>
  <c r="AM21" i="1"/>
  <c r="AN21" i="1" s="1"/>
  <c r="AL23" i="1" l="1"/>
  <c r="AO20" i="1"/>
  <c r="AK24" i="1"/>
  <c r="AN22" i="1"/>
  <c r="AK25" i="1" s="1"/>
  <c r="AO22" i="1"/>
  <c r="AO21" i="1"/>
  <c r="AL25" i="1" l="1"/>
  <c r="AL24" i="1"/>
  <c r="AM23" i="1"/>
  <c r="AM24" i="1"/>
  <c r="AN24" i="1" s="1"/>
  <c r="AM25" i="1"/>
  <c r="AN23" i="1" l="1"/>
  <c r="AK26" i="1" s="1"/>
  <c r="AO23" i="1"/>
  <c r="AO24" i="1"/>
  <c r="AN25" i="1"/>
  <c r="AK28" i="1" s="1"/>
  <c r="AO25" i="1"/>
  <c r="AL28" i="1" l="1"/>
  <c r="AL26" i="1"/>
  <c r="AK27" i="1"/>
  <c r="AM28" i="1"/>
  <c r="AN28" i="1" s="1"/>
  <c r="AL27" i="1" l="1"/>
  <c r="AM27" i="1"/>
  <c r="AM26" i="1"/>
  <c r="AO28" i="1"/>
  <c r="AN26" i="1" l="1"/>
  <c r="AK29" i="1" s="1"/>
  <c r="AO26" i="1"/>
  <c r="AN27" i="1"/>
  <c r="AO27" i="1"/>
  <c r="AK30" i="1" l="1"/>
  <c r="AK31" i="1"/>
  <c r="AL29" i="1"/>
  <c r="AM29" i="1"/>
  <c r="AO29" i="1" l="1"/>
  <c r="AN29" i="1"/>
  <c r="AK32" i="1" s="1"/>
  <c r="AL31" i="1"/>
  <c r="AM31" i="1"/>
  <c r="AN31" i="1" s="1"/>
  <c r="AL30" i="1"/>
  <c r="AM30" i="1"/>
  <c r="AN30" i="1" s="1"/>
  <c r="AK33" i="1" s="1"/>
  <c r="AO30" i="1"/>
  <c r="AK34" i="1" l="1"/>
  <c r="AL33" i="1"/>
  <c r="AO31" i="1"/>
  <c r="AL32" i="1"/>
  <c r="AM32" i="1"/>
  <c r="AN32" i="1" l="1"/>
  <c r="AK35" i="1" s="1"/>
  <c r="AO32" i="1"/>
  <c r="AM33" i="1"/>
  <c r="AL34" i="1"/>
  <c r="AL38" i="1"/>
  <c r="AM34" i="1" l="1"/>
  <c r="AN33" i="1"/>
  <c r="AK36" i="1" s="1"/>
  <c r="AO33" i="1"/>
  <c r="AL35" i="1"/>
  <c r="AM35" i="1" l="1"/>
  <c r="AL36" i="1"/>
  <c r="AN34" i="1"/>
  <c r="AK37" i="1" s="1"/>
  <c r="AO34" i="1"/>
  <c r="AL37" i="1" l="1"/>
  <c r="AM37" i="1"/>
  <c r="AN37" i="1" s="1"/>
  <c r="AO37" i="1"/>
  <c r="AM36" i="1"/>
  <c r="AN35" i="1"/>
  <c r="AK38" i="1" s="1"/>
  <c r="AO35" i="1"/>
  <c r="AL42" i="1"/>
  <c r="AL41" i="1"/>
  <c r="AM38" i="1" l="1"/>
  <c r="AN38" i="1" s="1"/>
  <c r="AO38" i="1"/>
  <c r="AN36" i="1"/>
  <c r="AK39" i="1" s="1"/>
  <c r="AO36" i="1"/>
  <c r="AK40" i="1"/>
  <c r="AL40" i="1" l="1"/>
  <c r="AM40" i="1"/>
  <c r="AN40" i="1" s="1"/>
  <c r="AO40" i="1"/>
  <c r="AL39" i="1"/>
  <c r="AK41" i="1"/>
  <c r="AL45" i="1"/>
  <c r="AM41" i="1" l="1"/>
  <c r="AN41" i="1" s="1"/>
  <c r="AO41" i="1"/>
  <c r="AM39" i="1"/>
  <c r="AL47" i="1"/>
  <c r="AL46" i="1"/>
  <c r="AN39" i="1" l="1"/>
  <c r="AO39" i="1"/>
  <c r="AK44" i="1"/>
  <c r="AL49" i="1"/>
  <c r="AL44" i="1" l="1"/>
  <c r="AM44" i="1"/>
  <c r="AN44" i="1" s="1"/>
  <c r="AO44" i="1"/>
  <c r="AK42" i="1"/>
  <c r="AK43" i="1"/>
  <c r="AL43" i="1" l="1"/>
  <c r="AM43" i="1"/>
  <c r="AN43" i="1" s="1"/>
  <c r="AO43" i="1"/>
  <c r="AM42" i="1"/>
  <c r="AN42" i="1" s="1"/>
  <c r="AK45" i="1" s="1"/>
  <c r="AL52" i="1"/>
  <c r="AL51" i="1"/>
  <c r="AL50" i="1"/>
  <c r="AO42" i="1" l="1"/>
  <c r="AK47" i="1"/>
  <c r="AM45" i="1"/>
  <c r="AN45" i="1" s="1"/>
  <c r="AK48" i="1" s="1"/>
  <c r="AO45" i="1"/>
  <c r="AK46" i="1"/>
  <c r="AL53" i="1"/>
  <c r="AM46" i="1" l="1"/>
  <c r="AN46" i="1" s="1"/>
  <c r="AK49" i="1" s="1"/>
  <c r="AO46" i="1"/>
  <c r="AL48" i="1"/>
  <c r="AM47" i="1"/>
  <c r="AN47" i="1" s="1"/>
  <c r="AK50" i="1" s="1"/>
  <c r="AO47" i="1"/>
  <c r="AL55" i="1"/>
  <c r="AL54" i="1"/>
  <c r="AM50" i="1" l="1"/>
  <c r="AN50" i="1" s="1"/>
  <c r="AO50" i="1"/>
  <c r="AM48" i="1"/>
  <c r="AM49" i="1"/>
  <c r="AN49" i="1" s="1"/>
  <c r="AL56" i="1"/>
  <c r="AO49" i="1" l="1"/>
  <c r="AN48" i="1"/>
  <c r="AK51" i="1" s="1"/>
  <c r="AO48" i="1"/>
  <c r="AK53" i="1"/>
  <c r="AL58" i="1"/>
  <c r="AK52" i="1" l="1"/>
  <c r="AM53" i="1"/>
  <c r="AN53" i="1" s="1"/>
  <c r="AO53" i="1"/>
  <c r="AM51" i="1"/>
  <c r="AN51" i="1" s="1"/>
  <c r="AK54" i="1" s="1"/>
  <c r="AL60" i="1"/>
  <c r="AL59" i="1"/>
  <c r="AM54" i="1" l="1"/>
  <c r="AN54" i="1" s="1"/>
  <c r="AO54" i="1"/>
  <c r="AO51" i="1"/>
  <c r="AM52" i="1"/>
  <c r="AN52" i="1" s="1"/>
  <c r="AK55" i="1" s="1"/>
  <c r="AO52" i="1"/>
  <c r="AL61" i="1"/>
  <c r="AK56" i="1" l="1"/>
  <c r="AM55" i="1"/>
  <c r="AN55" i="1" s="1"/>
  <c r="AK58" i="1" s="1"/>
  <c r="AO55" i="1"/>
  <c r="AK57" i="1"/>
  <c r="AL63" i="1"/>
  <c r="AL57" i="1" l="1"/>
  <c r="AM58" i="1"/>
  <c r="AN58" i="1" s="1"/>
  <c r="AM56" i="1"/>
  <c r="AN56" i="1" s="1"/>
  <c r="AK59" i="1" s="1"/>
  <c r="AL65" i="1"/>
  <c r="AL64" i="1"/>
  <c r="AO56" i="1" l="1"/>
  <c r="AM59" i="1"/>
  <c r="AN59" i="1" s="1"/>
  <c r="AO59" i="1"/>
  <c r="AO58" i="1"/>
  <c r="AM57" i="1"/>
  <c r="AL67" i="1"/>
  <c r="AL66" i="1"/>
  <c r="AN57" i="1" l="1"/>
  <c r="AO57" i="1"/>
  <c r="AK62" i="1"/>
  <c r="AL68" i="1"/>
  <c r="AL62" i="1" l="1"/>
  <c r="AK60" i="1"/>
  <c r="AK61" i="1"/>
  <c r="AL69" i="1"/>
  <c r="AM61" i="1" l="1"/>
  <c r="AN61" i="1" s="1"/>
  <c r="AO61" i="1"/>
  <c r="AM60" i="1"/>
  <c r="AN60" i="1" s="1"/>
  <c r="AK63" i="1" s="1"/>
  <c r="AO60" i="1"/>
  <c r="AM62" i="1"/>
  <c r="AL71" i="1"/>
  <c r="AL72" i="1"/>
  <c r="AM63" i="1" l="1"/>
  <c r="AN63" i="1" s="1"/>
  <c r="AO63" i="1"/>
  <c r="AN62" i="1"/>
  <c r="AK65" i="1" s="1"/>
  <c r="AO62" i="1"/>
  <c r="AK64" i="1"/>
  <c r="AL75" i="1"/>
  <c r="AM64" i="1" l="1"/>
  <c r="AN64" i="1" s="1"/>
  <c r="AK67" i="1" s="1"/>
  <c r="AO64" i="1"/>
  <c r="AM65" i="1"/>
  <c r="AN65" i="1" s="1"/>
  <c r="AK68" i="1" s="1"/>
  <c r="AO65" i="1"/>
  <c r="AK66" i="1"/>
  <c r="AM66" i="1" l="1"/>
  <c r="AN66" i="1" s="1"/>
  <c r="AK69" i="1" s="1"/>
  <c r="AO66" i="1"/>
  <c r="AM68" i="1"/>
  <c r="AN68" i="1" s="1"/>
  <c r="AO68" i="1"/>
  <c r="AM67" i="1"/>
  <c r="AN67" i="1" s="1"/>
  <c r="AK70" i="1" s="1"/>
  <c r="AO67" i="1"/>
  <c r="AL70" i="1" l="1"/>
  <c r="AK71" i="1"/>
  <c r="AM69" i="1"/>
  <c r="AN69" i="1" s="1"/>
  <c r="AK72" i="1" s="1"/>
  <c r="AM72" i="1" l="1"/>
  <c r="AN72" i="1" s="1"/>
  <c r="AO72" i="1"/>
  <c r="AO69" i="1"/>
  <c r="AM71" i="1"/>
  <c r="AN71" i="1" s="1"/>
  <c r="AO71" i="1"/>
  <c r="AM70" i="1"/>
  <c r="AN70" i="1" l="1"/>
  <c r="AK73" i="1" s="1"/>
  <c r="AO70" i="1"/>
  <c r="AK74" i="1"/>
  <c r="AK75" i="1"/>
  <c r="AM75" i="1" l="1"/>
  <c r="AN75" i="1" s="1"/>
  <c r="AO75" i="1"/>
  <c r="AL74" i="1"/>
  <c r="AL73" i="1"/>
  <c r="AM73" i="1" l="1"/>
  <c r="AM74" i="1"/>
  <c r="AN74" i="1" l="1"/>
  <c r="AO74" i="1"/>
  <c r="AN73" i="1"/>
  <c r="AK76" i="1" s="1"/>
  <c r="AO73" i="1"/>
  <c r="AL76" i="1" l="1"/>
  <c r="AM76" i="1" l="1"/>
  <c r="AN76" i="1" l="1"/>
  <c r="AO76" i="1"/>
  <c r="AX1" i="1" l="1"/>
  <c r="AX2" i="1" s="1"/>
  <c r="AN3" i="1"/>
  <c r="AS6" i="1" l="1"/>
  <c r="AW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McAllister, Murdoch</author>
  </authors>
  <commentList>
    <comment ref="X1" authorId="0" shapeId="0" xr:uid="{146A67C4-456F-4F27-A9A1-F3A02AEF9FC4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Provided by Brittany - average from Albion test fishery for years 2003-2021</t>
        </r>
      </text>
    </comment>
    <comment ref="G2" authorId="0" shapeId="0" xr:uid="{AB90378D-BF72-4551-9C40-4C03C14AC0E1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spawners and recruits in column G and H should be the best ones to take forward for your multifactor analysis</t>
        </r>
      </text>
    </comment>
    <comment ref="CT32" authorId="0" shapeId="0" xr:uid="{BE425884-A954-4215-A392-7C591B60C95C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Sent by Haley in July 2025</t>
        </r>
      </text>
    </comment>
    <comment ref="BO33" authorId="0" shapeId="0" xr:uid="{F0B1F042-AB4E-4291-9699-DD3385A2C192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From Brittany files
Full southern BC
HRs higher than those for Fraser Chum stock</t>
        </r>
      </text>
    </comment>
    <comment ref="BF45" authorId="0" shapeId="0" xr:uid="{7D22DCA5-04A5-4E0D-8409-A2A3D0BB8596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Taken from southern BC and US chum harvest rates -- values are larger than those for Fraser Chum only</t>
        </r>
      </text>
    </comment>
    <comment ref="Y50" authorId="0" shapeId="0" xr:uid="{3104AA4F-C04B-433A-A6B0-DCF4C100EFE3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Uses age 3-6  composition at age in each year for 2003-2022</t>
        </r>
      </text>
    </comment>
    <comment ref="AD50" authorId="0" shapeId="0" xr:uid="{4C73545B-CB00-4D83-AD95-47F5FBFCAE25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Uses average age composition age 3-6 all years</t>
        </r>
      </text>
    </comment>
    <comment ref="DC56" authorId="0" shapeId="0" xr:uid="{BD036F63-FC91-4CBB-87FA-83D23F1A0D38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Provided by Brittany</t>
        </r>
      </text>
    </comment>
    <comment ref="BF75" authorId="0" shapeId="0" xr:uid="{76B0FFA3-A8F6-429D-9053-7B429F686B4D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Filled based on average of past three years with data
</t>
        </r>
      </text>
    </comment>
  </commentList>
</comments>
</file>

<file path=xl/sharedStrings.xml><?xml version="1.0" encoding="utf-8"?>
<sst xmlns="http://schemas.openxmlformats.org/spreadsheetml/2006/main" count="401" uniqueCount="131">
  <si>
    <t>N/A</t>
  </si>
  <si>
    <t>Year</t>
  </si>
  <si>
    <t>Strait</t>
  </si>
  <si>
    <t>Harvest</t>
  </si>
  <si>
    <t>Stock</t>
  </si>
  <si>
    <t>Johnstone</t>
  </si>
  <si>
    <t>Georgia.</t>
  </si>
  <si>
    <t>West</t>
  </si>
  <si>
    <t>U.S.</t>
  </si>
  <si>
    <t>Total</t>
  </si>
  <si>
    <t>Strait (a)</t>
  </si>
  <si>
    <t>Coast (b)</t>
  </si>
  <si>
    <t xml:space="preserve"> </t>
  </si>
  <si>
    <t>7&amp;7A</t>
  </si>
  <si>
    <t>All Fraser</t>
  </si>
  <si>
    <t>Harvest (c)</t>
  </si>
  <si>
    <t xml:space="preserve"> Rate</t>
  </si>
  <si>
    <t>Gross (d)</t>
  </si>
  <si>
    <t>Escapement</t>
  </si>
  <si>
    <t xml:space="preserve">Total </t>
  </si>
  <si>
    <t>4B,5,6C</t>
  </si>
  <si>
    <t>St. HR</t>
  </si>
  <si>
    <t xml:space="preserve">West Coast </t>
  </si>
  <si>
    <t>HR</t>
  </si>
  <si>
    <t>Fraser R HR</t>
  </si>
  <si>
    <t>Spawners</t>
  </si>
  <si>
    <t>Returns</t>
  </si>
  <si>
    <t>Harvest Rate d2</t>
  </si>
  <si>
    <t>Harvest Rate d1</t>
  </si>
  <si>
    <t>broodyear</t>
  </si>
  <si>
    <t>spawners</t>
  </si>
  <si>
    <t>hr</t>
  </si>
  <si>
    <t>catch</t>
  </si>
  <si>
    <t>total catch</t>
  </si>
  <si>
    <t>Fraser R</t>
  </si>
  <si>
    <t>Total HR</t>
  </si>
  <si>
    <t>Approx.</t>
  </si>
  <si>
    <t>Total Returns</t>
  </si>
  <si>
    <t>Areas 11 to 13</t>
  </si>
  <si>
    <t>Area 14</t>
  </si>
  <si>
    <t>Areas 20 &amp; 21</t>
  </si>
  <si>
    <t>Areas 7 &amp; 7a</t>
  </si>
  <si>
    <t>Areas 4b, 5, 6c</t>
  </si>
  <si>
    <t>Fraser</t>
  </si>
  <si>
    <t>Gross Escapement</t>
  </si>
  <si>
    <t>Total exploitation rate</t>
  </si>
  <si>
    <t>%dif tot returns</t>
  </si>
  <si>
    <t>%dif gross escape</t>
  </si>
  <si>
    <t>Gross Esc+catch</t>
  </si>
  <si>
    <t>total return</t>
  </si>
  <si>
    <t>%dif with Grant</t>
  </si>
  <si>
    <t>Source</t>
  </si>
  <si>
    <t>Cass</t>
  </si>
  <si>
    <t>Brittany</t>
  </si>
  <si>
    <t xml:space="preserve">Source </t>
  </si>
  <si>
    <t>Grant</t>
  </si>
  <si>
    <t>Grant vs. Cass</t>
  </si>
  <si>
    <t>recruits</t>
  </si>
  <si>
    <t>Age 3</t>
  </si>
  <si>
    <t>Age 4</t>
  </si>
  <si>
    <t>Age 5</t>
  </si>
  <si>
    <t>Age 6</t>
  </si>
  <si>
    <t>Recruits</t>
  </si>
  <si>
    <t>%dif Spa</t>
  </si>
  <si>
    <t>%dif Rec</t>
  </si>
  <si>
    <t>Harvest Rate</t>
  </si>
  <si>
    <t>recruits produced at age from Brood Year</t>
  </si>
  <si>
    <t>total Run</t>
  </si>
  <si>
    <t>harvest rate</t>
  </si>
  <si>
    <t>%dif spawn</t>
  </si>
  <si>
    <t>%dif hr</t>
  </si>
  <si>
    <t>Haley's Best S/R</t>
  </si>
  <si>
    <t>Brood year</t>
  </si>
  <si>
    <t>Haley</t>
  </si>
  <si>
    <t>total Stock, hr from Grant then Brittany</t>
  </si>
  <si>
    <t>Improved recruits starting 1990</t>
  </si>
  <si>
    <t>Cass, Grant, Digitized, Haley's S/R</t>
  </si>
  <si>
    <t>tot stock digitized from DFO 2023</t>
  </si>
  <si>
    <t>Digitized from DFO 2023 slide set</t>
  </si>
  <si>
    <t>ln(R/S)(H)</t>
  </si>
  <si>
    <t>ln(R/S)(D)</t>
  </si>
  <si>
    <t>Spawners (D)</t>
  </si>
  <si>
    <t>Murdoch</t>
  </si>
  <si>
    <t>Brittany tot. stock</t>
  </si>
  <si>
    <t>Using age prop. by yr from 1996-2017</t>
  </si>
  <si>
    <t>Haley's Recruits with some infill from mkm</t>
  </si>
  <si>
    <t>Best S-R data</t>
  </si>
  <si>
    <t>wt</t>
  </si>
  <si>
    <t>aa</t>
  </si>
  <si>
    <t>bb</t>
  </si>
  <si>
    <t>smsy</t>
  </si>
  <si>
    <t>umsy</t>
  </si>
  <si>
    <t>Nmsy</t>
  </si>
  <si>
    <t>msy</t>
  </si>
  <si>
    <t>Recruits sum age</t>
  </si>
  <si>
    <t>rp4</t>
  </si>
  <si>
    <t>rp5</t>
  </si>
  <si>
    <t>rp3</t>
  </si>
  <si>
    <t>brood year</t>
  </si>
  <si>
    <t>Ut</t>
  </si>
  <si>
    <t>year</t>
  </si>
  <si>
    <t>retroU</t>
  </si>
  <si>
    <t>retroY</t>
  </si>
  <si>
    <t>historical Y</t>
  </si>
  <si>
    <t>retro run</t>
  </si>
  <si>
    <t>retro U</t>
  </si>
  <si>
    <t>retro spawners</t>
  </si>
  <si>
    <t>retro Recruits</t>
  </si>
  <si>
    <t>retro Yield</t>
  </si>
  <si>
    <t>Ut method</t>
  </si>
  <si>
    <t>switch between historical and policy-based Ut values:</t>
  </si>
  <si>
    <t>retrtospective model in columns AJ-AO</t>
  </si>
  <si>
    <t>1=historical,2=retroU,3=linear hcr</t>
  </si>
  <si>
    <t>cslope</t>
  </si>
  <si>
    <t>nlim</t>
  </si>
  <si>
    <t>linear hcr pars</t>
  </si>
  <si>
    <t>retroUtil</t>
  </si>
  <si>
    <t>Policy</t>
  </si>
  <si>
    <t>Yield</t>
  </si>
  <si>
    <t>Utility</t>
  </si>
  <si>
    <t>code</t>
  </si>
  <si>
    <t>Historical</t>
  </si>
  <si>
    <t>hist</t>
  </si>
  <si>
    <t>constant U at Umsy</t>
  </si>
  <si>
    <t>maxY</t>
  </si>
  <si>
    <t>Maximum yield</t>
  </si>
  <si>
    <t>Maximum utility</t>
  </si>
  <si>
    <t>maxU</t>
  </si>
  <si>
    <t>Historical U</t>
  </si>
  <si>
    <t>max</t>
  </si>
  <si>
    <t>relative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</si>
</sst>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#,##0.000"/>
    <numFmt numFmtId="166" formatCode="0.0000%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9">
    <xf numFmtId="0" fontId="0" fillId="0" borderId="0" xfId="0"/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0" fontId="0" fillId="3" borderId="0" xfId="0" applyFill="1" applyAlignment="1">
      <alignment wrapText="1"/>
    </xf>
    <xf numFmtId="3" fontId="0" fillId="3" borderId="0" xfId="0" applyNumberFormat="1" applyFill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  <xf numFmtId="0" fontId="0" fillId="4" borderId="0" xfId="0" applyFill="1"/>
    <xf numFmtId="10" fontId="0" fillId="0" borderId="0" xfId="0" applyNumberFormat="1"/>
    <xf numFmtId="0" fontId="0" fillId="5" borderId="0" xfId="0" applyFill="1" applyAlignment="1">
      <alignment wrapText="1"/>
    </xf>
    <xf numFmtId="3" fontId="0" fillId="5" borderId="0" xfId="0" applyNumberFormat="1" applyFill="1"/>
    <xf numFmtId="0" fontId="0" fillId="0" borderId="1" xfId="0" applyBorder="1"/>
    <xf numFmtId="0" fontId="0" fillId="0" borderId="2" xfId="0" applyBorder="1"/>
    <xf numFmtId="0" fontId="0" fillId="6" borderId="0" xfId="0" applyFill="1"/>
    <xf numFmtId="2" fontId="0" fillId="0" borderId="0" xfId="0" applyNumberFormat="1"/>
    <xf numFmtId="9" fontId="0" fillId="7" borderId="0" xfId="0" applyNumberFormat="1" applyFill="1" applyAlignment="1">
      <alignment horizontal="center"/>
    </xf>
    <xf numFmtId="9" fontId="0" fillId="8" borderId="0" xfId="0" applyNumberFormat="1" applyFill="1"/>
    <xf numFmtId="3" fontId="0" fillId="8" borderId="0" xfId="0" applyNumberFormat="1" applyFill="1"/>
    <xf numFmtId="0" fontId="0" fillId="8" borderId="0" xfId="0" applyFill="1" applyAlignment="1">
      <alignment wrapText="1"/>
    </xf>
    <xf numFmtId="3" fontId="0" fillId="9" borderId="0" xfId="0" applyNumberFormat="1" applyFill="1"/>
    <xf numFmtId="3" fontId="0" fillId="10" borderId="0" xfId="0" applyNumberFormat="1" applyFill="1"/>
    <xf numFmtId="0" fontId="0" fillId="9" borderId="0" xfId="0" applyFill="1" applyAlignment="1">
      <alignment wrapText="1"/>
    </xf>
    <xf numFmtId="9" fontId="0" fillId="9" borderId="0" xfId="0" applyNumberFormat="1" applyFill="1"/>
    <xf numFmtId="3" fontId="0" fillId="11" borderId="0" xfId="0" applyNumberFormat="1" applyFill="1"/>
    <xf numFmtId="3" fontId="0" fillId="12" borderId="0" xfId="0" applyNumberFormat="1" applyFill="1"/>
    <xf numFmtId="0" fontId="0" fillId="12" borderId="0" xfId="0" applyFill="1"/>
    <xf numFmtId="9" fontId="0" fillId="0" borderId="0" xfId="0" applyNumberFormat="1" applyFill="1" applyAlignment="1">
      <alignment horizontal="center"/>
    </xf>
    <xf numFmtId="3" fontId="0" fillId="13" borderId="0" xfId="0" applyNumberFormat="1" applyFill="1"/>
    <xf numFmtId="3" fontId="0" fillId="14" borderId="0" xfId="0" applyNumberFormat="1" applyFill="1"/>
    <xf numFmtId="9" fontId="0" fillId="15" borderId="0" xfId="0" applyNumberFormat="1" applyFill="1"/>
    <xf numFmtId="3" fontId="4" fillId="9" borderId="0" xfId="0" applyNumberFormat="1" applyFont="1" applyFill="1" applyAlignment="1">
      <alignment wrapText="1"/>
    </xf>
    <xf numFmtId="3" fontId="0" fillId="16" borderId="0" xfId="0" applyNumberFormat="1" applyFill="1"/>
    <xf numFmtId="166" fontId="0" fillId="0" borderId="0" xfId="0" applyNumberFormat="1"/>
    <xf numFmtId="0" fontId="5" fillId="7" borderId="0" xfId="0" applyFont="1" applyFill="1"/>
    <xf numFmtId="167" fontId="0" fillId="0" borderId="0" xfId="1" applyNumberFormat="1" applyFont="1"/>
    <xf numFmtId="0" fontId="0" fillId="17" borderId="0" xfId="0" applyFill="1"/>
    <xf numFmtId="3" fontId="0" fillId="17" borderId="0" xfId="0" applyNumberFormat="1" applyFill="1"/>
    <xf numFmtId="2" fontId="0" fillId="17" borderId="0" xfId="0" applyNumberFormat="1" applyFill="1"/>
    <xf numFmtId="9" fontId="0" fillId="17" borderId="0" xfId="0" applyNumberFormat="1" applyFill="1"/>
    <xf numFmtId="3" fontId="0" fillId="17" borderId="0" xfId="0" applyNumberFormat="1" applyFill="1" applyAlignment="1">
      <alignment horizontal="center"/>
    </xf>
    <xf numFmtId="9" fontId="0" fillId="17" borderId="0" xfId="0" applyNumberFormat="1" applyFill="1" applyAlignment="1">
      <alignment horizontal="center"/>
    </xf>
    <xf numFmtId="164" fontId="0" fillId="17" borderId="0" xfId="0" applyNumberFormat="1" applyFill="1"/>
    <xf numFmtId="164" fontId="0" fillId="17" borderId="0" xfId="0" applyNumberFormat="1" applyFill="1" applyAlignment="1">
      <alignment horizontal="center"/>
    </xf>
    <xf numFmtId="165" fontId="0" fillId="17" borderId="0" xfId="0" applyNumberFormat="1" applyFill="1"/>
    <xf numFmtId="4" fontId="0" fillId="2" borderId="0" xfId="0" applyNumberFormat="1" applyFill="1"/>
    <xf numFmtId="165" fontId="0" fillId="14" borderId="0" xfId="0" applyNumberFormat="1" applyFill="1"/>
    <xf numFmtId="167" fontId="0" fillId="2" borderId="0" xfId="1" applyNumberFormat="1" applyFont="1" applyFill="1"/>
    <xf numFmtId="1" fontId="0" fillId="0" borderId="0" xfId="0" applyNumberFormat="1"/>
    <xf numFmtId="4" fontId="0" fillId="17" borderId="0" xfId="0" applyNumberForma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0" fontId="4" fillId="0" borderId="0" xfId="0" applyNumberFormat="1" applyFont="1"/>
    <xf numFmtId="1" fontId="4" fillId="0" borderId="0" xfId="0" applyNumberFormat="1" applyFont="1"/>
    <xf numFmtId="167" fontId="4" fillId="0" borderId="0" xfId="1" applyNumberFormat="1" applyFont="1"/>
    <xf numFmtId="11" fontId="0" fillId="0" borderId="0" xfId="0" applyNumberFormat="1"/>
    <xf numFmtId="1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FF"/>
      <color rgb="FFFFCC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data'!$BZ$33</c:f>
              <c:strCache>
                <c:ptCount val="1"/>
                <c:pt idx="0">
                  <c:v>Harvest Rate d1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484951881014873"/>
                  <c:y val="-0.134147346165062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data'!$BW$34:$BW$44</c:f>
              <c:numCache>
                <c:formatCode>0%</c:formatCode>
                <c:ptCount val="11"/>
                <c:pt idx="0">
                  <c:v>0.45833580738579</c:v>
                </c:pt>
                <c:pt idx="1">
                  <c:v>0.124793814208583</c:v>
                </c:pt>
                <c:pt idx="2">
                  <c:v>0.50525946493688301</c:v>
                </c:pt>
                <c:pt idx="3">
                  <c:v>0.20373352742299999</c:v>
                </c:pt>
                <c:pt idx="4">
                  <c:v>0.153826237319623</c:v>
                </c:pt>
                <c:pt idx="5">
                  <c:v>0.36857466450709098</c:v>
                </c:pt>
                <c:pt idx="6">
                  <c:v>0.44855807959285898</c:v>
                </c:pt>
                <c:pt idx="7">
                  <c:v>0.32658383025843302</c:v>
                </c:pt>
                <c:pt idx="8">
                  <c:v>0.52253790849725801</c:v>
                </c:pt>
                <c:pt idx="9">
                  <c:v>0.44405996158125</c:v>
                </c:pt>
                <c:pt idx="10">
                  <c:v>0.51953507179094105</c:v>
                </c:pt>
              </c:numCache>
            </c:numRef>
          </c:xVal>
          <c:yVal>
            <c:numRef>
              <c:f>'Orig data'!$BZ$34:$BZ$44</c:f>
              <c:numCache>
                <c:formatCode>0%</c:formatCode>
                <c:ptCount val="11"/>
                <c:pt idx="0">
                  <c:v>0.65576754920370983</c:v>
                </c:pt>
                <c:pt idx="1">
                  <c:v>0.11445948557306022</c:v>
                </c:pt>
                <c:pt idx="2">
                  <c:v>0.54314834502799636</c:v>
                </c:pt>
                <c:pt idx="3">
                  <c:v>0.19331264808507742</c:v>
                </c:pt>
                <c:pt idx="4">
                  <c:v>0.10833970117624923</c:v>
                </c:pt>
                <c:pt idx="5">
                  <c:v>0.34507221483556932</c:v>
                </c:pt>
                <c:pt idx="6">
                  <c:v>0.42739415504349887</c:v>
                </c:pt>
                <c:pt idx="7">
                  <c:v>0.24118629053035784</c:v>
                </c:pt>
                <c:pt idx="8">
                  <c:v>0.58402226866261886</c:v>
                </c:pt>
                <c:pt idx="9">
                  <c:v>0.43093335288510887</c:v>
                </c:pt>
                <c:pt idx="10">
                  <c:v>0.49435485716516503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B-41E5-8592-2EE16904D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870399"/>
        <c:axId val="1541854175"/>
      </c:scatterChart>
      <c:valAx>
        <c:axId val="154187039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54175"/>
        <c:crosses val="autoZero"/>
        <c:crossBetween val="midCat"/>
      </c:valAx>
      <c:valAx>
        <c:axId val="15418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7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River Chum Salmon ln(R/S) versus S 1951-2017 Using</a:t>
            </a:r>
            <a:r>
              <a:rPr lang="en-US" baseline="0"/>
              <a:t> </a:t>
            </a:r>
            <a:r>
              <a:rPr lang="en-US" sz="1400" b="0" i="0" u="none" strike="noStrike" baseline="0">
                <a:effectLst/>
              </a:rPr>
              <a:t>Using age  3 to 6 comp by year where possible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data'!$I$4</c:f>
              <c:strCache>
                <c:ptCount val="1"/>
                <c:pt idx="0">
                  <c:v>ln(R/S)(D)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1065932101189"/>
                  <c:y val="-0.31176511686057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data'!$G$5:$G$71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data'!$I$5:$I$71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4-4B38-AAFA-C641EBAAE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037679"/>
        <c:axId val="1622038095"/>
      </c:scatterChart>
      <c:valAx>
        <c:axId val="162203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8095"/>
        <c:crossesAt val="-1.5"/>
        <c:crossBetween val="midCat"/>
      </c:valAx>
      <c:valAx>
        <c:axId val="16220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ln(R/S)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Haley's</a:t>
            </a:r>
            <a:r>
              <a:rPr lang="en-US" baseline="0"/>
              <a:t> vs. Murdoch's reconstruction of Fraser Chum salmon recruits, Haley's using average over years, Murdoch using age comp by year where available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Haley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data'!$B$50:$B$71</c:f>
              <c:numCache>
                <c:formatCode>General</c:formatCode>
                <c:ptCount val="22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</c:numCache>
            </c:numRef>
          </c:xVal>
          <c:yVal>
            <c:numRef>
              <c:f>'Orig data'!$M$50:$M$71</c:f>
              <c:numCache>
                <c:formatCode>#,##0</c:formatCode>
                <c:ptCount val="22"/>
                <c:pt idx="0">
                  <c:v>1431408</c:v>
                </c:pt>
                <c:pt idx="1">
                  <c:v>2858328</c:v>
                </c:pt>
                <c:pt idx="2">
                  <c:v>2785129</c:v>
                </c:pt>
                <c:pt idx="3">
                  <c:v>2232718</c:v>
                </c:pt>
                <c:pt idx="4">
                  <c:v>2988615</c:v>
                </c:pt>
                <c:pt idx="5">
                  <c:v>2160110</c:v>
                </c:pt>
                <c:pt idx="6">
                  <c:v>2425524</c:v>
                </c:pt>
                <c:pt idx="7">
                  <c:v>1619282</c:v>
                </c:pt>
                <c:pt idx="8">
                  <c:v>1231521</c:v>
                </c:pt>
                <c:pt idx="9">
                  <c:v>884912</c:v>
                </c:pt>
                <c:pt idx="10">
                  <c:v>744365</c:v>
                </c:pt>
                <c:pt idx="11">
                  <c:v>1296356</c:v>
                </c:pt>
                <c:pt idx="12">
                  <c:v>1641562</c:v>
                </c:pt>
                <c:pt idx="13">
                  <c:v>1613902</c:v>
                </c:pt>
                <c:pt idx="14">
                  <c:v>1521759</c:v>
                </c:pt>
                <c:pt idx="15">
                  <c:v>1567636</c:v>
                </c:pt>
                <c:pt idx="16">
                  <c:v>2530282</c:v>
                </c:pt>
                <c:pt idx="17">
                  <c:v>1408307</c:v>
                </c:pt>
                <c:pt idx="18">
                  <c:v>810777</c:v>
                </c:pt>
                <c:pt idx="19">
                  <c:v>438554</c:v>
                </c:pt>
                <c:pt idx="20">
                  <c:v>597944</c:v>
                </c:pt>
                <c:pt idx="21">
                  <c:v>599216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A-42D9-8DB3-5FAB09C09203}"/>
            </c:ext>
          </c:extLst>
        </c:ser>
        <c:ser>
          <c:idx val="1"/>
          <c:order val="1"/>
          <c:tx>
            <c:v>Murdoch rec-age prop by year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data'!$B$50:$B$71</c:f>
              <c:numCache>
                <c:formatCode>General</c:formatCode>
                <c:ptCount val="22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</c:numCache>
            </c:numRef>
          </c:xVal>
          <c:yVal>
            <c:numRef>
              <c:f>'Orig data'!$Y$50:$Y$71</c:f>
              <c:numCache>
                <c:formatCode>#,##0</c:formatCode>
                <c:ptCount val="22"/>
                <c:pt idx="0">
                  <c:v>1757511.260493631</c:v>
                </c:pt>
                <c:pt idx="1">
                  <c:v>2557187.9481640672</c:v>
                </c:pt>
                <c:pt idx="2">
                  <c:v>2766941.9917605631</c:v>
                </c:pt>
                <c:pt idx="3">
                  <c:v>3598370.8542432808</c:v>
                </c:pt>
                <c:pt idx="4">
                  <c:v>2282485.9433021657</c:v>
                </c:pt>
                <c:pt idx="5">
                  <c:v>1868662.078775011</c:v>
                </c:pt>
                <c:pt idx="6">
                  <c:v>2826467.1680969703</c:v>
                </c:pt>
                <c:pt idx="7">
                  <c:v>1321874.9421960777</c:v>
                </c:pt>
                <c:pt idx="8">
                  <c:v>1274857.4320357505</c:v>
                </c:pt>
                <c:pt idx="9">
                  <c:v>826792.95575855998</c:v>
                </c:pt>
                <c:pt idx="10">
                  <c:v>653276.45190826431</c:v>
                </c:pt>
                <c:pt idx="11">
                  <c:v>1919087.3845169125</c:v>
                </c:pt>
                <c:pt idx="12">
                  <c:v>1341575.4990023808</c:v>
                </c:pt>
                <c:pt idx="13">
                  <c:v>1605367.0756795239</c:v>
                </c:pt>
                <c:pt idx="14">
                  <c:v>1596985.3916231559</c:v>
                </c:pt>
                <c:pt idx="15">
                  <c:v>1137157.6669372031</c:v>
                </c:pt>
                <c:pt idx="16">
                  <c:v>3027578.7899983842</c:v>
                </c:pt>
                <c:pt idx="17">
                  <c:v>805154.93228744587</c:v>
                </c:pt>
                <c:pt idx="18">
                  <c:v>920933.05007688294</c:v>
                </c:pt>
                <c:pt idx="19">
                  <c:v>390127.06417119328</c:v>
                </c:pt>
                <c:pt idx="20">
                  <c:v>718625.96095230442</c:v>
                </c:pt>
                <c:pt idx="21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BA-42D9-8DB3-5FAB09C09203}"/>
            </c:ext>
          </c:extLst>
        </c:ser>
        <c:ser>
          <c:idx val="2"/>
          <c:order val="2"/>
          <c:tx>
            <c:v>Murdoch-rec-avg prop age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'Orig data'!$B$50:$B$71</c:f>
              <c:numCache>
                <c:formatCode>General</c:formatCode>
                <c:ptCount val="22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</c:numCache>
            </c:numRef>
          </c:xVal>
          <c:yVal>
            <c:numRef>
              <c:f>'Orig data'!$AD$50:$AD$71</c:f>
              <c:numCache>
                <c:formatCode>#,##0</c:formatCode>
                <c:ptCount val="22"/>
                <c:pt idx="0">
                  <c:v>1757511.260493631</c:v>
                </c:pt>
                <c:pt idx="1">
                  <c:v>2554271.8341883146</c:v>
                </c:pt>
                <c:pt idx="2">
                  <c:v>2840623.3648399371</c:v>
                </c:pt>
                <c:pt idx="3">
                  <c:v>2349634.7179008862</c:v>
                </c:pt>
                <c:pt idx="4">
                  <c:v>2794036.2996058362</c:v>
                </c:pt>
                <c:pt idx="5">
                  <c:v>2356827.5891186544</c:v>
                </c:pt>
                <c:pt idx="6">
                  <c:v>2289766.4455317724</c:v>
                </c:pt>
                <c:pt idx="7">
                  <c:v>1757875.5223556529</c:v>
                </c:pt>
                <c:pt idx="8">
                  <c:v>1235646.4607024293</c:v>
                </c:pt>
                <c:pt idx="9">
                  <c:v>925908.6338148301</c:v>
                </c:pt>
                <c:pt idx="10">
                  <c:v>784210.96442154807</c:v>
                </c:pt>
                <c:pt idx="11">
                  <c:v>1221277.7752115645</c:v>
                </c:pt>
                <c:pt idx="12">
                  <c:v>1607620.1279397779</c:v>
                </c:pt>
                <c:pt idx="13">
                  <c:v>1622177.3619797428</c:v>
                </c:pt>
                <c:pt idx="14">
                  <c:v>1530382.4378112433</c:v>
                </c:pt>
                <c:pt idx="15">
                  <c:v>1618469.2768496138</c:v>
                </c:pt>
                <c:pt idx="16">
                  <c:v>2309966.7913137632</c:v>
                </c:pt>
                <c:pt idx="17">
                  <c:v>1605801.5690952772</c:v>
                </c:pt>
                <c:pt idx="18">
                  <c:v>827990.8067999999</c:v>
                </c:pt>
                <c:pt idx="19">
                  <c:v>499968.91089999996</c:v>
                </c:pt>
                <c:pt idx="20">
                  <c:v>555208.52599999995</c:v>
                </c:pt>
                <c:pt idx="21">
                  <c:v>634365.36699999997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BA-42D9-8DB3-5FAB09C09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42528"/>
        <c:axId val="588944192"/>
      </c:scatterChart>
      <c:valAx>
        <c:axId val="588942528"/>
        <c:scaling>
          <c:orientation val="minMax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4192"/>
        <c:crosses val="autoZero"/>
        <c:crossBetween val="midCat"/>
      </c:valAx>
      <c:valAx>
        <c:axId val="58894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2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</a:t>
            </a:r>
            <a:r>
              <a:rPr lang="en-US" baseline="0"/>
              <a:t> recruits from Brittany's vs. digitized using Albion test fishery age comps from 2003-2022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data'!$Y$44:$Y$71</c:f>
              <c:numCache>
                <c:formatCode>#,##0</c:formatCode>
                <c:ptCount val="28"/>
                <c:pt idx="0">
                  <c:v>2004615.8</c:v>
                </c:pt>
                <c:pt idx="1">
                  <c:v>1920095.2946191225</c:v>
                </c:pt>
                <c:pt idx="2">
                  <c:v>1415807.9091659964</c:v>
                </c:pt>
                <c:pt idx="3">
                  <c:v>1461959.9522844465</c:v>
                </c:pt>
                <c:pt idx="4">
                  <c:v>3090405.3720841995</c:v>
                </c:pt>
                <c:pt idx="5">
                  <c:v>3153242.8250972875</c:v>
                </c:pt>
                <c:pt idx="6">
                  <c:v>1757511.260493631</c:v>
                </c:pt>
                <c:pt idx="7">
                  <c:v>2557187.9481640672</c:v>
                </c:pt>
                <c:pt idx="8">
                  <c:v>2766941.9917605631</c:v>
                </c:pt>
                <c:pt idx="9">
                  <c:v>3598370.8542432808</c:v>
                </c:pt>
                <c:pt idx="10">
                  <c:v>2282485.9433021657</c:v>
                </c:pt>
                <c:pt idx="11">
                  <c:v>1868662.078775011</c:v>
                </c:pt>
                <c:pt idx="12">
                  <c:v>2826467.1680969703</c:v>
                </c:pt>
                <c:pt idx="13">
                  <c:v>1321874.9421960777</c:v>
                </c:pt>
                <c:pt idx="14">
                  <c:v>1274857.4320357505</c:v>
                </c:pt>
                <c:pt idx="15">
                  <c:v>826792.95575855998</c:v>
                </c:pt>
                <c:pt idx="16">
                  <c:v>653276.45190826431</c:v>
                </c:pt>
                <c:pt idx="17">
                  <c:v>1919087.3845169125</c:v>
                </c:pt>
                <c:pt idx="18">
                  <c:v>1341575.4990023808</c:v>
                </c:pt>
                <c:pt idx="19">
                  <c:v>1605367.0756795239</c:v>
                </c:pt>
                <c:pt idx="20">
                  <c:v>1596985.3916231559</c:v>
                </c:pt>
                <c:pt idx="21">
                  <c:v>1137157.6669372031</c:v>
                </c:pt>
                <c:pt idx="22">
                  <c:v>3027578.7899983842</c:v>
                </c:pt>
                <c:pt idx="23">
                  <c:v>805154.93228744587</c:v>
                </c:pt>
                <c:pt idx="24">
                  <c:v>920933.05007688294</c:v>
                </c:pt>
                <c:pt idx="25">
                  <c:v>390127.06417119328</c:v>
                </c:pt>
                <c:pt idx="26">
                  <c:v>718625.96095230442</c:v>
                </c:pt>
                <c:pt idx="27">
                  <c:v>465319.3902733142</c:v>
                </c:pt>
              </c:numCache>
            </c:numRef>
          </c:xVal>
          <c:yVal>
            <c:numRef>
              <c:f>'Orig data'!$AD$44:$AD$71</c:f>
              <c:numCache>
                <c:formatCode>#,##0</c:formatCode>
                <c:ptCount val="28"/>
                <c:pt idx="0">
                  <c:v>2004615.8</c:v>
                </c:pt>
                <c:pt idx="1">
                  <c:v>1920095.2946191225</c:v>
                </c:pt>
                <c:pt idx="2">
                  <c:v>1415807.9091659964</c:v>
                </c:pt>
                <c:pt idx="3">
                  <c:v>1461959.9522844465</c:v>
                </c:pt>
                <c:pt idx="4">
                  <c:v>3090405.3720841995</c:v>
                </c:pt>
                <c:pt idx="5">
                  <c:v>3153242.8250972875</c:v>
                </c:pt>
                <c:pt idx="6">
                  <c:v>1757511.260493631</c:v>
                </c:pt>
                <c:pt idx="7">
                  <c:v>2554271.8341883146</c:v>
                </c:pt>
                <c:pt idx="8">
                  <c:v>2840623.3648399371</c:v>
                </c:pt>
                <c:pt idx="9">
                  <c:v>2349634.7179008862</c:v>
                </c:pt>
                <c:pt idx="10">
                  <c:v>2794036.2996058362</c:v>
                </c:pt>
                <c:pt idx="11">
                  <c:v>2356827.5891186544</c:v>
                </c:pt>
                <c:pt idx="12">
                  <c:v>2289766.4455317724</c:v>
                </c:pt>
                <c:pt idx="13">
                  <c:v>1757875.5223556529</c:v>
                </c:pt>
                <c:pt idx="14">
                  <c:v>1235646.4607024293</c:v>
                </c:pt>
                <c:pt idx="15">
                  <c:v>925908.6338148301</c:v>
                </c:pt>
                <c:pt idx="16">
                  <c:v>784210.96442154807</c:v>
                </c:pt>
                <c:pt idx="17">
                  <c:v>1221277.7752115645</c:v>
                </c:pt>
                <c:pt idx="18">
                  <c:v>1607620.1279397779</c:v>
                </c:pt>
                <c:pt idx="19">
                  <c:v>1622177.3619797428</c:v>
                </c:pt>
                <c:pt idx="20">
                  <c:v>1530382.4378112433</c:v>
                </c:pt>
                <c:pt idx="21">
                  <c:v>1618469.2768496138</c:v>
                </c:pt>
                <c:pt idx="22">
                  <c:v>2309966.7913137632</c:v>
                </c:pt>
                <c:pt idx="23">
                  <c:v>1605801.5690952772</c:v>
                </c:pt>
                <c:pt idx="24">
                  <c:v>827990.8067999999</c:v>
                </c:pt>
                <c:pt idx="25">
                  <c:v>499968.91089999996</c:v>
                </c:pt>
                <c:pt idx="26">
                  <c:v>555208.52599999995</c:v>
                </c:pt>
                <c:pt idx="27">
                  <c:v>634365.36699999997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E-4835-AC1B-675E34DD6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15120"/>
        <c:axId val="678313456"/>
      </c:scatterChart>
      <c:valAx>
        <c:axId val="6783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3456"/>
        <c:crosses val="autoZero"/>
        <c:crossBetween val="midCat"/>
      </c:valAx>
      <c:valAx>
        <c:axId val="6783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</a:t>
            </a:r>
            <a:r>
              <a:rPr lang="en-US" baseline="0"/>
              <a:t> recruits from Haley's vs. Murdoch's both using Albion test fishery average age comps from 2003-2022, Haley using only ages 3-5, Murdoch using ages 3-6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data'!$D$5:$D$71</c:f>
              <c:numCache>
                <c:formatCode>#,##0</c:formatCode>
                <c:ptCount val="67"/>
                <c:pt idx="0">
                  <c:v>498986</c:v>
                </c:pt>
                <c:pt idx="1">
                  <c:v>283055</c:v>
                </c:pt>
                <c:pt idx="2">
                  <c:v>312122</c:v>
                </c:pt>
                <c:pt idx="3">
                  <c:v>504589</c:v>
                </c:pt>
                <c:pt idx="4">
                  <c:v>592568</c:v>
                </c:pt>
                <c:pt idx="5">
                  <c:v>518932</c:v>
                </c:pt>
                <c:pt idx="6">
                  <c:v>353281</c:v>
                </c:pt>
                <c:pt idx="7">
                  <c:v>302174</c:v>
                </c:pt>
                <c:pt idx="8">
                  <c:v>361837</c:v>
                </c:pt>
                <c:pt idx="9">
                  <c:v>416907</c:v>
                </c:pt>
                <c:pt idx="10">
                  <c:v>288161</c:v>
                </c:pt>
                <c:pt idx="11">
                  <c:v>423280</c:v>
                </c:pt>
                <c:pt idx="12">
                  <c:v>430785</c:v>
                </c:pt>
                <c:pt idx="13">
                  <c:v>1165723</c:v>
                </c:pt>
                <c:pt idx="14">
                  <c:v>851349</c:v>
                </c:pt>
                <c:pt idx="15">
                  <c:v>719419</c:v>
                </c:pt>
                <c:pt idx="16">
                  <c:v>526762</c:v>
                </c:pt>
                <c:pt idx="17">
                  <c:v>1219850</c:v>
                </c:pt>
                <c:pt idx="18">
                  <c:v>1312868</c:v>
                </c:pt>
                <c:pt idx="19">
                  <c:v>832641</c:v>
                </c:pt>
                <c:pt idx="20">
                  <c:v>589068</c:v>
                </c:pt>
                <c:pt idx="21">
                  <c:v>965520</c:v>
                </c:pt>
                <c:pt idx="22">
                  <c:v>826929</c:v>
                </c:pt>
                <c:pt idx="23">
                  <c:v>1107885</c:v>
                </c:pt>
                <c:pt idx="24">
                  <c:v>527760</c:v>
                </c:pt>
                <c:pt idx="25">
                  <c:v>761292</c:v>
                </c:pt>
                <c:pt idx="26">
                  <c:v>583647</c:v>
                </c:pt>
                <c:pt idx="27">
                  <c:v>635560</c:v>
                </c:pt>
                <c:pt idx="28">
                  <c:v>510199</c:v>
                </c:pt>
                <c:pt idx="29">
                  <c:v>655505</c:v>
                </c:pt>
                <c:pt idx="30">
                  <c:v>1492293</c:v>
                </c:pt>
                <c:pt idx="31">
                  <c:v>1416221</c:v>
                </c:pt>
                <c:pt idx="32">
                  <c:v>795564</c:v>
                </c:pt>
                <c:pt idx="33">
                  <c:v>1061099</c:v>
                </c:pt>
                <c:pt idx="34">
                  <c:v>1010518</c:v>
                </c:pt>
                <c:pt idx="35">
                  <c:v>1322564</c:v>
                </c:pt>
                <c:pt idx="36">
                  <c:v>1116839</c:v>
                </c:pt>
                <c:pt idx="37">
                  <c:v>406805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1361315</c:v>
                </c:pt>
                <c:pt idx="43">
                  <c:v>3442899</c:v>
                </c:pt>
                <c:pt idx="44">
                  <c:v>3112653</c:v>
                </c:pt>
                <c:pt idx="45">
                  <c:v>1431408</c:v>
                </c:pt>
                <c:pt idx="46">
                  <c:v>2858328</c:v>
                </c:pt>
                <c:pt idx="47">
                  <c:v>2785129</c:v>
                </c:pt>
                <c:pt idx="48">
                  <c:v>2232718</c:v>
                </c:pt>
                <c:pt idx="49">
                  <c:v>2988615</c:v>
                </c:pt>
                <c:pt idx="50">
                  <c:v>2160110</c:v>
                </c:pt>
                <c:pt idx="51">
                  <c:v>2425524</c:v>
                </c:pt>
                <c:pt idx="52">
                  <c:v>1619282</c:v>
                </c:pt>
                <c:pt idx="53">
                  <c:v>1231521</c:v>
                </c:pt>
                <c:pt idx="54">
                  <c:v>884912</c:v>
                </c:pt>
                <c:pt idx="55">
                  <c:v>744365</c:v>
                </c:pt>
                <c:pt idx="56">
                  <c:v>1296356</c:v>
                </c:pt>
                <c:pt idx="57">
                  <c:v>1641562</c:v>
                </c:pt>
                <c:pt idx="58">
                  <c:v>1613902</c:v>
                </c:pt>
                <c:pt idx="59">
                  <c:v>1521759</c:v>
                </c:pt>
                <c:pt idx="60">
                  <c:v>1567636</c:v>
                </c:pt>
                <c:pt idx="61">
                  <c:v>2530282</c:v>
                </c:pt>
                <c:pt idx="62">
                  <c:v>1408307</c:v>
                </c:pt>
                <c:pt idx="63">
                  <c:v>810777</c:v>
                </c:pt>
                <c:pt idx="64">
                  <c:v>438554</c:v>
                </c:pt>
                <c:pt idx="65">
                  <c:v>597944</c:v>
                </c:pt>
                <c:pt idx="66">
                  <c:v>599216</c:v>
                </c:pt>
              </c:numCache>
            </c:numRef>
          </c:xVal>
          <c:yVal>
            <c:numRef>
              <c:f>'Orig data'!$AD$5:$AD$71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2554271.8341883146</c:v>
                </c:pt>
                <c:pt idx="47">
                  <c:v>2840623.3648399371</c:v>
                </c:pt>
                <c:pt idx="48">
                  <c:v>2349634.7179008862</c:v>
                </c:pt>
                <c:pt idx="49">
                  <c:v>2794036.2996058362</c:v>
                </c:pt>
                <c:pt idx="50">
                  <c:v>2356827.5891186544</c:v>
                </c:pt>
                <c:pt idx="51">
                  <c:v>2289766.4455317724</c:v>
                </c:pt>
                <c:pt idx="52">
                  <c:v>1757875.5223556529</c:v>
                </c:pt>
                <c:pt idx="53">
                  <c:v>1235646.4607024293</c:v>
                </c:pt>
                <c:pt idx="54">
                  <c:v>925908.6338148301</c:v>
                </c:pt>
                <c:pt idx="55">
                  <c:v>784210.96442154807</c:v>
                </c:pt>
                <c:pt idx="56">
                  <c:v>1221277.7752115645</c:v>
                </c:pt>
                <c:pt idx="57">
                  <c:v>1607620.1279397779</c:v>
                </c:pt>
                <c:pt idx="58">
                  <c:v>1622177.3619797428</c:v>
                </c:pt>
                <c:pt idx="59">
                  <c:v>1530382.4378112433</c:v>
                </c:pt>
                <c:pt idx="60">
                  <c:v>1618469.2768496138</c:v>
                </c:pt>
                <c:pt idx="61">
                  <c:v>2309966.7913137632</c:v>
                </c:pt>
                <c:pt idx="62">
                  <c:v>1605801.5690952772</c:v>
                </c:pt>
                <c:pt idx="63">
                  <c:v>827990.8067999999</c:v>
                </c:pt>
                <c:pt idx="64">
                  <c:v>499968.91089999996</c:v>
                </c:pt>
                <c:pt idx="65">
                  <c:v>555208.52599999995</c:v>
                </c:pt>
                <c:pt idx="66">
                  <c:v>634365.36699999997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0-41DA-AD86-EE06C0FE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15120"/>
        <c:axId val="678313456"/>
      </c:scatterChart>
      <c:valAx>
        <c:axId val="6783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3456"/>
        <c:crosses val="autoZero"/>
        <c:crossBetween val="midCat"/>
      </c:valAx>
      <c:valAx>
        <c:axId val="6783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</a:t>
            </a:r>
            <a:r>
              <a:rPr lang="en-US" baseline="0"/>
              <a:t> recruits from Haley's vs. Murdoch's using average vs annual Albion test fishery age comps from 2003-2022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data'!$D$5:$D$71</c:f>
              <c:numCache>
                <c:formatCode>#,##0</c:formatCode>
                <c:ptCount val="67"/>
                <c:pt idx="0">
                  <c:v>498986</c:v>
                </c:pt>
                <c:pt idx="1">
                  <c:v>283055</c:v>
                </c:pt>
                <c:pt idx="2">
                  <c:v>312122</c:v>
                </c:pt>
                <c:pt idx="3">
                  <c:v>504589</c:v>
                </c:pt>
                <c:pt idx="4">
                  <c:v>592568</c:v>
                </c:pt>
                <c:pt idx="5">
                  <c:v>518932</c:v>
                </c:pt>
                <c:pt idx="6">
                  <c:v>353281</c:v>
                </c:pt>
                <c:pt idx="7">
                  <c:v>302174</c:v>
                </c:pt>
                <c:pt idx="8">
                  <c:v>361837</c:v>
                </c:pt>
                <c:pt idx="9">
                  <c:v>416907</c:v>
                </c:pt>
                <c:pt idx="10">
                  <c:v>288161</c:v>
                </c:pt>
                <c:pt idx="11">
                  <c:v>423280</c:v>
                </c:pt>
                <c:pt idx="12">
                  <c:v>430785</c:v>
                </c:pt>
                <c:pt idx="13">
                  <c:v>1165723</c:v>
                </c:pt>
                <c:pt idx="14">
                  <c:v>851349</c:v>
                </c:pt>
                <c:pt idx="15">
                  <c:v>719419</c:v>
                </c:pt>
                <c:pt idx="16">
                  <c:v>526762</c:v>
                </c:pt>
                <c:pt idx="17">
                  <c:v>1219850</c:v>
                </c:pt>
                <c:pt idx="18">
                  <c:v>1312868</c:v>
                </c:pt>
                <c:pt idx="19">
                  <c:v>832641</c:v>
                </c:pt>
                <c:pt idx="20">
                  <c:v>589068</c:v>
                </c:pt>
                <c:pt idx="21">
                  <c:v>965520</c:v>
                </c:pt>
                <c:pt idx="22">
                  <c:v>826929</c:v>
                </c:pt>
                <c:pt idx="23">
                  <c:v>1107885</c:v>
                </c:pt>
                <c:pt idx="24">
                  <c:v>527760</c:v>
                </c:pt>
                <c:pt idx="25">
                  <c:v>761292</c:v>
                </c:pt>
                <c:pt idx="26">
                  <c:v>583647</c:v>
                </c:pt>
                <c:pt idx="27">
                  <c:v>635560</c:v>
                </c:pt>
                <c:pt idx="28">
                  <c:v>510199</c:v>
                </c:pt>
                <c:pt idx="29">
                  <c:v>655505</c:v>
                </c:pt>
                <c:pt idx="30">
                  <c:v>1492293</c:v>
                </c:pt>
                <c:pt idx="31">
                  <c:v>1416221</c:v>
                </c:pt>
                <c:pt idx="32">
                  <c:v>795564</c:v>
                </c:pt>
                <c:pt idx="33">
                  <c:v>1061099</c:v>
                </c:pt>
                <c:pt idx="34">
                  <c:v>1010518</c:v>
                </c:pt>
                <c:pt idx="35">
                  <c:v>1322564</c:v>
                </c:pt>
                <c:pt idx="36">
                  <c:v>1116839</c:v>
                </c:pt>
                <c:pt idx="37">
                  <c:v>406805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1361315</c:v>
                </c:pt>
                <c:pt idx="43">
                  <c:v>3442899</c:v>
                </c:pt>
                <c:pt idx="44">
                  <c:v>3112653</c:v>
                </c:pt>
                <c:pt idx="45">
                  <c:v>1431408</c:v>
                </c:pt>
                <c:pt idx="46">
                  <c:v>2858328</c:v>
                </c:pt>
                <c:pt idx="47">
                  <c:v>2785129</c:v>
                </c:pt>
                <c:pt idx="48">
                  <c:v>2232718</c:v>
                </c:pt>
                <c:pt idx="49">
                  <c:v>2988615</c:v>
                </c:pt>
                <c:pt idx="50">
                  <c:v>2160110</c:v>
                </c:pt>
                <c:pt idx="51">
                  <c:v>2425524</c:v>
                </c:pt>
                <c:pt idx="52">
                  <c:v>1619282</c:v>
                </c:pt>
                <c:pt idx="53">
                  <c:v>1231521</c:v>
                </c:pt>
                <c:pt idx="54">
                  <c:v>884912</c:v>
                </c:pt>
                <c:pt idx="55">
                  <c:v>744365</c:v>
                </c:pt>
                <c:pt idx="56">
                  <c:v>1296356</c:v>
                </c:pt>
                <c:pt idx="57">
                  <c:v>1641562</c:v>
                </c:pt>
                <c:pt idx="58">
                  <c:v>1613902</c:v>
                </c:pt>
                <c:pt idx="59">
                  <c:v>1521759</c:v>
                </c:pt>
                <c:pt idx="60">
                  <c:v>1567636</c:v>
                </c:pt>
                <c:pt idx="61">
                  <c:v>2530282</c:v>
                </c:pt>
                <c:pt idx="62">
                  <c:v>1408307</c:v>
                </c:pt>
                <c:pt idx="63">
                  <c:v>810777</c:v>
                </c:pt>
                <c:pt idx="64">
                  <c:v>438554</c:v>
                </c:pt>
                <c:pt idx="65">
                  <c:v>597944</c:v>
                </c:pt>
                <c:pt idx="66">
                  <c:v>599216</c:v>
                </c:pt>
              </c:numCache>
            </c:numRef>
          </c:xVal>
          <c:yVal>
            <c:numRef>
              <c:f>'Orig data'!$Y$5:$Y$71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C-4D95-A89D-E65ABD035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15120"/>
        <c:axId val="678313456"/>
      </c:scatterChart>
      <c:valAx>
        <c:axId val="6783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3456"/>
        <c:crosses val="autoZero"/>
        <c:crossBetween val="midCat"/>
      </c:valAx>
      <c:valAx>
        <c:axId val="6783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River Chum Salmon ln(R/S) versus S 1951-2017 based on Haley's reconstruction with average</a:t>
            </a:r>
            <a:r>
              <a:rPr lang="en-US" baseline="0"/>
              <a:t> age compositgion for age 3-5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data'!$E$4</c:f>
              <c:strCache>
                <c:ptCount val="1"/>
                <c:pt idx="0">
                  <c:v>ln(R/S)(H)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296748323688483"/>
                  <c:y val="-0.345529660082074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data'!$C$5:$C$71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137225</c:v>
                </c:pt>
                <c:pt idx="3">
                  <c:v>86375</c:v>
                </c:pt>
                <c:pt idx="4">
                  <c:v>110500</c:v>
                </c:pt>
                <c:pt idx="5">
                  <c:v>32925</c:v>
                </c:pt>
                <c:pt idx="6">
                  <c:v>84630</c:v>
                </c:pt>
                <c:pt idx="7">
                  <c:v>89375</c:v>
                </c:pt>
                <c:pt idx="8">
                  <c:v>152300</c:v>
                </c:pt>
                <c:pt idx="9">
                  <c:v>263700</c:v>
                </c:pt>
                <c:pt idx="10">
                  <c:v>172700</c:v>
                </c:pt>
                <c:pt idx="11">
                  <c:v>180200</c:v>
                </c:pt>
                <c:pt idx="12">
                  <c:v>214200</c:v>
                </c:pt>
                <c:pt idx="13">
                  <c:v>325400</c:v>
                </c:pt>
                <c:pt idx="14">
                  <c:v>184800</c:v>
                </c:pt>
                <c:pt idx="15">
                  <c:v>429700</c:v>
                </c:pt>
                <c:pt idx="16">
                  <c:v>213873</c:v>
                </c:pt>
                <c:pt idx="17">
                  <c:v>822200</c:v>
                </c:pt>
                <c:pt idx="18">
                  <c:v>390100</c:v>
                </c:pt>
                <c:pt idx="19">
                  <c:v>287250</c:v>
                </c:pt>
                <c:pt idx="20">
                  <c:v>290150</c:v>
                </c:pt>
                <c:pt idx="21">
                  <c:v>423290</c:v>
                </c:pt>
                <c:pt idx="22">
                  <c:v>267105</c:v>
                </c:pt>
                <c:pt idx="23">
                  <c:v>350390</c:v>
                </c:pt>
                <c:pt idx="24">
                  <c:v>191445</c:v>
                </c:pt>
                <c:pt idx="25">
                  <c:v>340467</c:v>
                </c:pt>
                <c:pt idx="26">
                  <c:v>599371</c:v>
                </c:pt>
                <c:pt idx="27">
                  <c:v>359065</c:v>
                </c:pt>
                <c:pt idx="28">
                  <c:v>255634</c:v>
                </c:pt>
                <c:pt idx="29">
                  <c:v>312182</c:v>
                </c:pt>
                <c:pt idx="30">
                  <c:v>435345</c:v>
                </c:pt>
                <c:pt idx="31">
                  <c:v>322286</c:v>
                </c:pt>
                <c:pt idx="32">
                  <c:v>367363</c:v>
                </c:pt>
                <c:pt idx="33">
                  <c:v>540265</c:v>
                </c:pt>
                <c:pt idx="34">
                  <c:v>1147702</c:v>
                </c:pt>
                <c:pt idx="35">
                  <c:v>833591</c:v>
                </c:pt>
                <c:pt idx="36">
                  <c:v>430000</c:v>
                </c:pt>
                <c:pt idx="37">
                  <c:v>488070</c:v>
                </c:pt>
                <c:pt idx="38">
                  <c:v>523657</c:v>
                </c:pt>
                <c:pt idx="39">
                  <c:v>736039</c:v>
                </c:pt>
                <c:pt idx="40">
                  <c:v>790060</c:v>
                </c:pt>
                <c:pt idx="41">
                  <c:v>757025</c:v>
                </c:pt>
                <c:pt idx="42">
                  <c:v>788831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data'!$E$5:$E$71</c:f>
              <c:numCache>
                <c:formatCode>0.00</c:formatCode>
                <c:ptCount val="67"/>
                <c:pt idx="0">
                  <c:v>1.0666836791457688</c:v>
                </c:pt>
                <c:pt idx="1">
                  <c:v>0.47373778335781852</c:v>
                </c:pt>
                <c:pt idx="2">
                  <c:v>0.82177222258395266</c:v>
                </c:pt>
                <c:pt idx="3">
                  <c:v>1.765045954436407</c:v>
                </c:pt>
                <c:pt idx="4">
                  <c:v>1.6794501133986328</c:v>
                </c:pt>
                <c:pt idx="5">
                  <c:v>2.7575406057579124</c:v>
                </c:pt>
                <c:pt idx="6">
                  <c:v>1.4289749605785971</c:v>
                </c:pt>
                <c:pt idx="7">
                  <c:v>1.2181620093852592</c:v>
                </c:pt>
                <c:pt idx="8">
                  <c:v>0.86534157427677216</c:v>
                </c:pt>
                <c:pt idx="9">
                  <c:v>0.45805108198381522</c:v>
                </c:pt>
                <c:pt idx="10">
                  <c:v>0.51196336656327257</c:v>
                </c:pt>
                <c:pt idx="11">
                  <c:v>0.85396655342163885</c:v>
                </c:pt>
                <c:pt idx="12">
                  <c:v>0.69869896772088746</c:v>
                </c:pt>
                <c:pt idx="13">
                  <c:v>1.2760415795801567</c:v>
                </c:pt>
                <c:pt idx="14">
                  <c:v>1.5275479910533403</c:v>
                </c:pt>
                <c:pt idx="15">
                  <c:v>0.51535665102978301</c:v>
                </c:pt>
                <c:pt idx="16">
                  <c:v>0.90136645271825699</c:v>
                </c:pt>
                <c:pt idx="17">
                  <c:v>0.39449950488478053</c:v>
                </c:pt>
                <c:pt idx="18">
                  <c:v>1.2135662196061554</c:v>
                </c:pt>
                <c:pt idx="19">
                  <c:v>1.064249660153731</c:v>
                </c:pt>
                <c:pt idx="20">
                  <c:v>0.70814359626625123</c:v>
                </c:pt>
                <c:pt idx="21">
                  <c:v>0.8246092929692076</c:v>
                </c:pt>
                <c:pt idx="22">
                  <c:v>1.1300769993379298</c:v>
                </c:pt>
                <c:pt idx="23">
                  <c:v>1.151161251464681</c:v>
                </c:pt>
                <c:pt idx="24">
                  <c:v>1.0140410738118517</c:v>
                </c:pt>
                <c:pt idx="25">
                  <c:v>0.80469878532263861</c:v>
                </c:pt>
                <c:pt idx="26">
                  <c:v>-2.658442397844028E-2</c:v>
                </c:pt>
                <c:pt idx="27">
                  <c:v>0.57100306942517687</c:v>
                </c:pt>
                <c:pt idx="28">
                  <c:v>0.69105411168886388</c:v>
                </c:pt>
                <c:pt idx="29">
                  <c:v>0.74181957986966518</c:v>
                </c:pt>
                <c:pt idx="30">
                  <c:v>1.2319303219839801</c:v>
                </c:pt>
                <c:pt idx="31">
                  <c:v>1.4803079854347336</c:v>
                </c:pt>
                <c:pt idx="32">
                  <c:v>0.77270083705316917</c:v>
                </c:pt>
                <c:pt idx="33">
                  <c:v>0.67500068253565193</c:v>
                </c:pt>
                <c:pt idx="34">
                  <c:v>-0.12729861165186437</c:v>
                </c:pt>
                <c:pt idx="35">
                  <c:v>0.46158468136053471</c:v>
                </c:pt>
                <c:pt idx="36">
                  <c:v>0.95447244391420738</c:v>
                </c:pt>
                <c:pt idx="37">
                  <c:v>-0.18212488303820401</c:v>
                </c:pt>
                <c:pt idx="38">
                  <c:v>1.105761217714377</c:v>
                </c:pt>
                <c:pt idx="39">
                  <c:v>1.0019245939759625</c:v>
                </c:pt>
                <c:pt idx="40">
                  <c:v>0.88802120446014754</c:v>
                </c:pt>
                <c:pt idx="41">
                  <c:v>0.6260593296915179</c:v>
                </c:pt>
                <c:pt idx="42">
                  <c:v>0.54565432061770003</c:v>
                </c:pt>
                <c:pt idx="43">
                  <c:v>0.72584088745574638</c:v>
                </c:pt>
                <c:pt idx="44">
                  <c:v>0.64779028120275439</c:v>
                </c:pt>
                <c:pt idx="45">
                  <c:v>0.18792051552344743</c:v>
                </c:pt>
                <c:pt idx="46">
                  <c:v>1.0054403527372759</c:v>
                </c:pt>
                <c:pt idx="47">
                  <c:v>-0.24575928760684423</c:v>
                </c:pt>
                <c:pt idx="48">
                  <c:v>-0.29113556290450376</c:v>
                </c:pt>
                <c:pt idx="49">
                  <c:v>1.4515192996258222</c:v>
                </c:pt>
                <c:pt idx="50">
                  <c:v>-0.37784407839360423</c:v>
                </c:pt>
                <c:pt idx="51">
                  <c:v>5.2160677901878581E-2</c:v>
                </c:pt>
                <c:pt idx="52">
                  <c:v>8.0197160478462634E-2</c:v>
                </c:pt>
                <c:pt idx="53">
                  <c:v>-0.79114362316427123</c:v>
                </c:pt>
                <c:pt idx="54">
                  <c:v>-0.40848532553504846</c:v>
                </c:pt>
                <c:pt idx="55">
                  <c:v>-0.97357249455406303</c:v>
                </c:pt>
                <c:pt idx="56">
                  <c:v>0.20388794589883796</c:v>
                </c:pt>
                <c:pt idx="57">
                  <c:v>0.51379590505962547</c:v>
                </c:pt>
                <c:pt idx="58">
                  <c:v>1.224043141698661</c:v>
                </c:pt>
                <c:pt idx="59">
                  <c:v>0.91626707532000706</c:v>
                </c:pt>
                <c:pt idx="60">
                  <c:v>0.37347104651547813</c:v>
                </c:pt>
                <c:pt idx="61">
                  <c:v>0.60547074977719351</c:v>
                </c:pt>
                <c:pt idx="62">
                  <c:v>0.18723324130222524</c:v>
                </c:pt>
                <c:pt idx="63">
                  <c:v>-0.36298104905823131</c:v>
                </c:pt>
                <c:pt idx="64">
                  <c:v>-0.77388914531012754</c:v>
                </c:pt>
                <c:pt idx="65">
                  <c:v>-1.1950219971960248</c:v>
                </c:pt>
                <c:pt idx="66">
                  <c:v>-9.6113028123834918E-2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B-4096-BF48-98BAB392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037679"/>
        <c:axId val="1622038095"/>
      </c:scatterChart>
      <c:valAx>
        <c:axId val="162203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8095"/>
        <c:crossesAt val="-1.5"/>
        <c:crossBetween val="midCat"/>
      </c:valAx>
      <c:valAx>
        <c:axId val="16220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ln(R/S)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data'!$I$4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1850174978127729E-2"/>
                  <c:y val="-0.496375765529308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data'!$G$5:$G$71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data'!$I$5:$I$71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ED-40FF-B9DD-376B1AC83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086336"/>
        <c:axId val="1862135088"/>
      </c:scatterChart>
      <c:valAx>
        <c:axId val="206408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135088"/>
        <c:crosses val="autoZero"/>
        <c:crossBetween val="midCat"/>
      </c:valAx>
      <c:valAx>
        <c:axId val="186213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8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data'!$L$4</c:f>
              <c:strCache>
                <c:ptCount val="1"/>
                <c:pt idx="0">
                  <c:v>spawners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data'!$K$5:$K$76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data'!$G$5:$G$76</c:f>
              <c:numCache>
                <c:formatCode>#,##0</c:formatCode>
                <c:ptCount val="72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  <c:pt idx="67">
                  <c:v>684875</c:v>
                </c:pt>
                <c:pt idx="68">
                  <c:v>303816</c:v>
                </c:pt>
                <c:pt idx="69">
                  <c:v>542377</c:v>
                </c:pt>
                <c:pt idx="70">
                  <c:v>499287</c:v>
                </c:pt>
                <c:pt idx="71">
                  <c:v>1056921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3-4635-A217-FED804FF5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72800"/>
        <c:axId val="239077808"/>
      </c:scatterChart>
      <c:scatterChart>
        <c:scatterStyle val="lineMarker"/>
        <c:varyColors val="0"/>
        <c:ser>
          <c:idx val="1"/>
          <c:order val="1"/>
          <c:tx>
            <c:strRef>
              <c:f>'Orig data'!$I$4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data'!$K$5:$K$76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data'!$I$5:$I$71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23-4635-A217-FED804FF5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078224"/>
        <c:axId val="239064496"/>
      </c:scatterChart>
      <c:valAx>
        <c:axId val="25367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77808"/>
        <c:crosses val="autoZero"/>
        <c:crossBetween val="midCat"/>
      </c:valAx>
      <c:valAx>
        <c:axId val="2390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72800"/>
        <c:crosses val="autoZero"/>
        <c:crossBetween val="midCat"/>
      </c:valAx>
      <c:valAx>
        <c:axId val="2390644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78224"/>
        <c:crosses val="max"/>
        <c:crossBetween val="midCat"/>
      </c:valAx>
      <c:valAx>
        <c:axId val="23907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9064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 wt by brood year, Oleynik/McAllister run reconstruction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data'!$K$4</c:f>
              <c:strCache>
                <c:ptCount val="1"/>
                <c:pt idx="0">
                  <c:v>broodyear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data'!$K$5:$K$71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data'!$J$5:$J$71</c:f>
              <c:numCache>
                <c:formatCode>0.00</c:formatCode>
                <c:ptCount val="67"/>
                <c:pt idx="0">
                  <c:v>0.22013898112224028</c:v>
                </c:pt>
                <c:pt idx="1">
                  <c:v>-0.42555802001018317</c:v>
                </c:pt>
                <c:pt idx="2">
                  <c:v>-0.18260684158512341</c:v>
                </c:pt>
                <c:pt idx="3">
                  <c:v>0.66708753272653643</c:v>
                </c:pt>
                <c:pt idx="4">
                  <c:v>0.62754084569287394</c:v>
                </c:pt>
                <c:pt idx="5">
                  <c:v>1.5171528751943575</c:v>
                </c:pt>
                <c:pt idx="6">
                  <c:v>0.16916396260807498</c:v>
                </c:pt>
                <c:pt idx="7">
                  <c:v>-7.8958851528749818E-3</c:v>
                </c:pt>
                <c:pt idx="8">
                  <c:v>-0.30584930517312392</c:v>
                </c:pt>
                <c:pt idx="9">
                  <c:v>-0.18049366163264413</c:v>
                </c:pt>
                <c:pt idx="10">
                  <c:v>-0.1645893919575887</c:v>
                </c:pt>
                <c:pt idx="11">
                  <c:v>-0.10405737891077649</c:v>
                </c:pt>
                <c:pt idx="12">
                  <c:v>-0.19399421778613257</c:v>
                </c:pt>
                <c:pt idx="13">
                  <c:v>0.25586658362497794</c:v>
                </c:pt>
                <c:pt idx="14">
                  <c:v>0.72978252762323503</c:v>
                </c:pt>
                <c:pt idx="15">
                  <c:v>-0.31094458218061383</c:v>
                </c:pt>
                <c:pt idx="16">
                  <c:v>4.7491371944241578E-3</c:v>
                </c:pt>
                <c:pt idx="17">
                  <c:v>-0.2454529039717176</c:v>
                </c:pt>
                <c:pt idx="18">
                  <c:v>0.55776270425972707</c:v>
                </c:pt>
                <c:pt idx="19">
                  <c:v>0.23280321306766361</c:v>
                </c:pt>
                <c:pt idx="20">
                  <c:v>-0.2114819307983512</c:v>
                </c:pt>
                <c:pt idx="21">
                  <c:v>-0.20678344218358613</c:v>
                </c:pt>
                <c:pt idx="22">
                  <c:v>0.19677538922828619</c:v>
                </c:pt>
                <c:pt idx="23">
                  <c:v>9.3436078345463747E-2</c:v>
                </c:pt>
                <c:pt idx="24">
                  <c:v>0.18280571464787454</c:v>
                </c:pt>
                <c:pt idx="25">
                  <c:v>-0.21571282616443144</c:v>
                </c:pt>
                <c:pt idx="26">
                  <c:v>-0.68607374956370837</c:v>
                </c:pt>
                <c:pt idx="27">
                  <c:v>-0.3432390490057301</c:v>
                </c:pt>
                <c:pt idx="28">
                  <c:v>-0.18650947451210365</c:v>
                </c:pt>
                <c:pt idx="29">
                  <c:v>-0.14468235965727327</c:v>
                </c:pt>
                <c:pt idx="30">
                  <c:v>0.3361710052481327</c:v>
                </c:pt>
                <c:pt idx="31">
                  <c:v>0.62861715233045601</c:v>
                </c:pt>
                <c:pt idx="32">
                  <c:v>-5.4080182275097144E-2</c:v>
                </c:pt>
                <c:pt idx="33">
                  <c:v>-0.31593350947835047</c:v>
                </c:pt>
                <c:pt idx="34">
                  <c:v>-0.48254689909039461</c:v>
                </c:pt>
                <c:pt idx="35">
                  <c:v>-0.15417178116608821</c:v>
                </c:pt>
                <c:pt idx="36">
                  <c:v>0.51616302031232053</c:v>
                </c:pt>
                <c:pt idx="37">
                  <c:v>0.25103878149795666</c:v>
                </c:pt>
                <c:pt idx="38">
                  <c:v>8.673882201958949E-2</c:v>
                </c:pt>
                <c:pt idx="39">
                  <c:v>0.24560856302889367</c:v>
                </c:pt>
                <c:pt idx="40">
                  <c:v>0.10338505796001507</c:v>
                </c:pt>
                <c:pt idx="41">
                  <c:v>-0.17885280727430619</c:v>
                </c:pt>
                <c:pt idx="42">
                  <c:v>-0.12793332625420883</c:v>
                </c:pt>
                <c:pt idx="43">
                  <c:v>0.51450474722861816</c:v>
                </c:pt>
                <c:pt idx="44">
                  <c:v>0.53431188498440052</c:v>
                </c:pt>
                <c:pt idx="45">
                  <c:v>-5.6156666411252831E-3</c:v>
                </c:pt>
                <c:pt idx="46">
                  <c:v>0.40891906187958105</c:v>
                </c:pt>
                <c:pt idx="47">
                  <c:v>0.81100709002729454</c:v>
                </c:pt>
                <c:pt idx="48">
                  <c:v>0.89618946456744586</c:v>
                </c:pt>
                <c:pt idx="49">
                  <c:v>0.48386455044812315</c:v>
                </c:pt>
                <c:pt idx="50">
                  <c:v>0.28864243394939038</c:v>
                </c:pt>
                <c:pt idx="51">
                  <c:v>0.49347741142899099</c:v>
                </c:pt>
                <c:pt idx="52">
                  <c:v>-0.33169796223975051</c:v>
                </c:pt>
                <c:pt idx="53">
                  <c:v>-0.21310530676328254</c:v>
                </c:pt>
                <c:pt idx="54">
                  <c:v>-0.78580075611803391</c:v>
                </c:pt>
                <c:pt idx="55">
                  <c:v>-1.0199356287759442</c:v>
                </c:pt>
                <c:pt idx="56">
                  <c:v>0.11802657100699165</c:v>
                </c:pt>
                <c:pt idx="57">
                  <c:v>-0.21247842028387309</c:v>
                </c:pt>
                <c:pt idx="58">
                  <c:v>0.38184642982810568</c:v>
                </c:pt>
                <c:pt idx="59">
                  <c:v>0.21022467596827565</c:v>
                </c:pt>
                <c:pt idx="60">
                  <c:v>-0.41228613408831222</c:v>
                </c:pt>
                <c:pt idx="61">
                  <c:v>0.50611291584587603</c:v>
                </c:pt>
                <c:pt idx="62">
                  <c:v>-0.78194366099416812</c:v>
                </c:pt>
                <c:pt idx="63">
                  <c:v>-0.64704558881795826</c:v>
                </c:pt>
                <c:pt idx="64">
                  <c:v>-1.4345486131223737</c:v>
                </c:pt>
                <c:pt idx="65">
                  <c:v>-0.92407653289157543</c:v>
                </c:pt>
                <c:pt idx="66">
                  <c:v>-1.0719373883754066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F-44A6-9ADD-E4D6BCEAA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04800"/>
        <c:axId val="239123152"/>
      </c:scatterChart>
      <c:valAx>
        <c:axId val="253604800"/>
        <c:scaling>
          <c:orientation val="minMax"/>
          <c:max val="2020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123152"/>
        <c:crossesAt val="-2"/>
        <c:crossBetween val="midCat"/>
      </c:valAx>
      <c:valAx>
        <c:axId val="2391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Ricker anomaly 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0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data'!$H$4</c:f>
              <c:strCache>
                <c:ptCount val="1"/>
                <c:pt idx="0">
                  <c:v>Recruits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data'!$G$5:$G$71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data'!$H$5:$H$71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B-49EB-9333-2144195E8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188479"/>
        <c:axId val="905125279"/>
      </c:scatterChart>
      <c:valAx>
        <c:axId val="114518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5279"/>
        <c:crosses val="autoZero"/>
        <c:crossBetween val="midCat"/>
      </c:valAx>
      <c:valAx>
        <c:axId val="9051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8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Harvest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data'!$BF$4</c:f>
              <c:strCache>
                <c:ptCount val="1"/>
                <c:pt idx="0">
                  <c:v>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data'!$AX$5:$AX$76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data'!$BF$5:$BF$76</c:f>
              <c:numCache>
                <c:formatCode>0%</c:formatCode>
                <c:ptCount val="72"/>
                <c:pt idx="0">
                  <c:v>0.86</c:v>
                </c:pt>
                <c:pt idx="1">
                  <c:v>0.81</c:v>
                </c:pt>
                <c:pt idx="2">
                  <c:v>0.85</c:v>
                </c:pt>
                <c:pt idx="3">
                  <c:v>0.92</c:v>
                </c:pt>
                <c:pt idx="4">
                  <c:v>0.69</c:v>
                </c:pt>
                <c:pt idx="5">
                  <c:v>0.87</c:v>
                </c:pt>
                <c:pt idx="6">
                  <c:v>0.72</c:v>
                </c:pt>
                <c:pt idx="7">
                  <c:v>0.84</c:v>
                </c:pt>
                <c:pt idx="8">
                  <c:v>0.75</c:v>
                </c:pt>
                <c:pt idx="9">
                  <c:v>0.49</c:v>
                </c:pt>
                <c:pt idx="10">
                  <c:v>0.46</c:v>
                </c:pt>
                <c:pt idx="11">
                  <c:v>0.38</c:v>
                </c:pt>
                <c:pt idx="12">
                  <c:v>0.43</c:v>
                </c:pt>
                <c:pt idx="13">
                  <c:v>0.27</c:v>
                </c:pt>
                <c:pt idx="14">
                  <c:v>0.17</c:v>
                </c:pt>
                <c:pt idx="15">
                  <c:v>0.11</c:v>
                </c:pt>
                <c:pt idx="16">
                  <c:v>0.35</c:v>
                </c:pt>
                <c:pt idx="17">
                  <c:v>0.42</c:v>
                </c:pt>
                <c:pt idx="18">
                  <c:v>0.45</c:v>
                </c:pt>
                <c:pt idx="19">
                  <c:v>0.62</c:v>
                </c:pt>
                <c:pt idx="20">
                  <c:v>0.25</c:v>
                </c:pt>
                <c:pt idx="21">
                  <c:v>0.7</c:v>
                </c:pt>
                <c:pt idx="22">
                  <c:v>0.8</c:v>
                </c:pt>
                <c:pt idx="23">
                  <c:v>0.52</c:v>
                </c:pt>
                <c:pt idx="24">
                  <c:v>0.62</c:v>
                </c:pt>
                <c:pt idx="25">
                  <c:v>0.69</c:v>
                </c:pt>
                <c:pt idx="26">
                  <c:v>0.16</c:v>
                </c:pt>
                <c:pt idx="27">
                  <c:v>0.72</c:v>
                </c:pt>
                <c:pt idx="28">
                  <c:v>0.14000000000000001</c:v>
                </c:pt>
                <c:pt idx="29">
                  <c:v>0.65576754920370983</c:v>
                </c:pt>
                <c:pt idx="30">
                  <c:v>0.11445948557306022</c:v>
                </c:pt>
                <c:pt idx="31">
                  <c:v>0.54314834502799636</c:v>
                </c:pt>
                <c:pt idx="32">
                  <c:v>0.19331264808507742</c:v>
                </c:pt>
                <c:pt idx="33">
                  <c:v>0.10833970117624923</c:v>
                </c:pt>
                <c:pt idx="34">
                  <c:v>0.34507221483556932</c:v>
                </c:pt>
                <c:pt idx="35">
                  <c:v>0.42739415504349887</c:v>
                </c:pt>
                <c:pt idx="36">
                  <c:v>0.24118629053035784</c:v>
                </c:pt>
                <c:pt idx="37">
                  <c:v>0.58402226866261886</c:v>
                </c:pt>
                <c:pt idx="38">
                  <c:v>0.43093335288510887</c:v>
                </c:pt>
                <c:pt idx="39">
                  <c:v>0.49435485716516503</c:v>
                </c:pt>
                <c:pt idx="40">
                  <c:v>0.42</c:v>
                </c:pt>
                <c:pt idx="41">
                  <c:v>0.53</c:v>
                </c:pt>
                <c:pt idx="42">
                  <c:v>0.52</c:v>
                </c:pt>
                <c:pt idx="43">
                  <c:v>0.44</c:v>
                </c:pt>
                <c:pt idx="44">
                  <c:v>0.28000000000000003</c:v>
                </c:pt>
                <c:pt idx="45">
                  <c:v>0.27</c:v>
                </c:pt>
                <c:pt idx="46">
                  <c:v>0.18</c:v>
                </c:pt>
                <c:pt idx="47">
                  <c:v>0.36</c:v>
                </c:pt>
                <c:pt idx="48">
                  <c:v>0.15</c:v>
                </c:pt>
                <c:pt idx="49">
                  <c:v>0.31</c:v>
                </c:pt>
                <c:pt idx="50">
                  <c:v>0.32</c:v>
                </c:pt>
                <c:pt idx="51">
                  <c:v>0.4</c:v>
                </c:pt>
                <c:pt idx="52">
                  <c:v>0.45</c:v>
                </c:pt>
                <c:pt idx="53">
                  <c:v>0.44</c:v>
                </c:pt>
                <c:pt idx="54">
                  <c:v>0.46</c:v>
                </c:pt>
                <c:pt idx="55">
                  <c:v>0.44</c:v>
                </c:pt>
                <c:pt idx="56">
                  <c:v>0.44</c:v>
                </c:pt>
                <c:pt idx="57">
                  <c:v>0.43</c:v>
                </c:pt>
                <c:pt idx="58">
                  <c:v>0.42</c:v>
                </c:pt>
                <c:pt idx="59">
                  <c:v>0.38</c:v>
                </c:pt>
                <c:pt idx="60">
                  <c:v>0.46</c:v>
                </c:pt>
                <c:pt idx="61">
                  <c:v>0.38</c:v>
                </c:pt>
                <c:pt idx="62">
                  <c:v>0.5</c:v>
                </c:pt>
                <c:pt idx="63">
                  <c:v>0.45</c:v>
                </c:pt>
                <c:pt idx="64">
                  <c:v>0.52</c:v>
                </c:pt>
                <c:pt idx="65">
                  <c:v>0.46</c:v>
                </c:pt>
                <c:pt idx="66">
                  <c:v>0.56000000000000005</c:v>
                </c:pt>
                <c:pt idx="67">
                  <c:v>0.36</c:v>
                </c:pt>
                <c:pt idx="68">
                  <c:v>0.25</c:v>
                </c:pt>
                <c:pt idx="69">
                  <c:v>0.30774842740380398</c:v>
                </c:pt>
                <c:pt idx="70">
                  <c:v>0.30591614246793464</c:v>
                </c:pt>
                <c:pt idx="71">
                  <c:v>0.30591614246793464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8-48FE-9C4E-E7A492298AEB}"/>
            </c:ext>
          </c:extLst>
        </c:ser>
        <c:ser>
          <c:idx val="1"/>
          <c:order val="1"/>
          <c:tx>
            <c:strRef>
              <c:f>'Orig data'!$S$4</c:f>
              <c:strCache>
                <c:ptCount val="1"/>
                <c:pt idx="0">
                  <c:v>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data'!$AX$5:$AX$76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data'!$S$5:$S$76</c:f>
              <c:numCache>
                <c:formatCode>#,##0.000</c:formatCode>
                <c:ptCount val="72"/>
                <c:pt idx="0">
                  <c:v>0.85541857259886223</c:v>
                </c:pt>
                <c:pt idx="1">
                  <c:v>0.80987055016181231</c:v>
                </c:pt>
                <c:pt idx="2">
                  <c:v>0.85010162048180959</c:v>
                </c:pt>
                <c:pt idx="3">
                  <c:v>0.92122785146057928</c:v>
                </c:pt>
                <c:pt idx="4">
                  <c:v>0.72173186031694869</c:v>
                </c:pt>
                <c:pt idx="5">
                  <c:v>0.88341524341269584</c:v>
                </c:pt>
                <c:pt idx="6">
                  <c:v>0.72546965751403381</c:v>
                </c:pt>
                <c:pt idx="7">
                  <c:v>0.84030837988028484</c:v>
                </c:pt>
                <c:pt idx="8">
                  <c:v>0.76627554011374688</c:v>
                </c:pt>
                <c:pt idx="9">
                  <c:v>0.62944250781901845</c:v>
                </c:pt>
                <c:pt idx="10">
                  <c:v>0.59029190518995134</c:v>
                </c:pt>
                <c:pt idx="11">
                  <c:v>0.47697992689747593</c:v>
                </c:pt>
                <c:pt idx="12">
                  <c:v>0.43438055336526582</c:v>
                </c:pt>
                <c:pt idx="13">
                  <c:v>0.33592513645318611</c:v>
                </c:pt>
                <c:pt idx="14">
                  <c:v>0.24058496409967622</c:v>
                </c:pt>
                <c:pt idx="15">
                  <c:v>0.14043534504322719</c:v>
                </c:pt>
                <c:pt idx="16">
                  <c:v>0.33786063906527186</c:v>
                </c:pt>
                <c:pt idx="17">
                  <c:v>0.41875228158164224</c:v>
                </c:pt>
                <c:pt idx="18">
                  <c:v>0.4654732209378506</c:v>
                </c:pt>
                <c:pt idx="19">
                  <c:v>0.61554327758654503</c:v>
                </c:pt>
                <c:pt idx="20">
                  <c:v>0.22913721822490996</c:v>
                </c:pt>
                <c:pt idx="21">
                  <c:v>0.6864100398571662</c:v>
                </c:pt>
                <c:pt idx="22">
                  <c:v>0.82276901842119232</c:v>
                </c:pt>
                <c:pt idx="23">
                  <c:v>0.51199686844400116</c:v>
                </c:pt>
                <c:pt idx="24">
                  <c:v>0.60629289653002161</c:v>
                </c:pt>
                <c:pt idx="25">
                  <c:v>0.66074570448789605</c:v>
                </c:pt>
                <c:pt idx="26">
                  <c:v>0.17050361504478673</c:v>
                </c:pt>
                <c:pt idx="27">
                  <c:v>0.69711185152498722</c:v>
                </c:pt>
                <c:pt idx="28">
                  <c:v>0.17198735472837279</c:v>
                </c:pt>
                <c:pt idx="29">
                  <c:v>0.65468745360712499</c:v>
                </c:pt>
                <c:pt idx="30">
                  <c:v>0.12648144705569586</c:v>
                </c:pt>
                <c:pt idx="31">
                  <c:v>0.54912425363703044</c:v>
                </c:pt>
                <c:pt idx="32">
                  <c:v>0.2091699443311118</c:v>
                </c:pt>
                <c:pt idx="33">
                  <c:v>0.11639140147812588</c:v>
                </c:pt>
                <c:pt idx="34">
                  <c:v>0.24753948247023994</c:v>
                </c:pt>
                <c:pt idx="35">
                  <c:v>0.36912696063175421</c:v>
                </c:pt>
                <c:pt idx="36">
                  <c:v>0.24404667869525809</c:v>
                </c:pt>
                <c:pt idx="37">
                  <c:v>0.48945861844768335</c:v>
                </c:pt>
                <c:pt idx="38">
                  <c:v>0.32431410272221262</c:v>
                </c:pt>
                <c:pt idx="39">
                  <c:v>0.45953971602968235</c:v>
                </c:pt>
                <c:pt idx="40">
                  <c:v>0.23918884256231565</c:v>
                </c:pt>
                <c:pt idx="41">
                  <c:v>0.3341601755588095</c:v>
                </c:pt>
                <c:pt idx="42">
                  <c:v>0.3326310742532318</c:v>
                </c:pt>
                <c:pt idx="43">
                  <c:v>0.2741307408917748</c:v>
                </c:pt>
                <c:pt idx="44">
                  <c:v>0.1170538932934152</c:v>
                </c:pt>
                <c:pt idx="45">
                  <c:v>4.9872480261254348E-2</c:v>
                </c:pt>
                <c:pt idx="46">
                  <c:v>7.7844579785042778E-2</c:v>
                </c:pt>
                <c:pt idx="47">
                  <c:v>0.12498210487046357</c:v>
                </c:pt>
                <c:pt idx="48">
                  <c:v>3.1268282941623315E-2</c:v>
                </c:pt>
                <c:pt idx="49">
                  <c:v>0.147746699427311</c:v>
                </c:pt>
                <c:pt idx="50">
                  <c:v>7.1918279353250347E-2</c:v>
                </c:pt>
                <c:pt idx="51">
                  <c:v>0.14792153507775563</c:v>
                </c:pt>
                <c:pt idx="52">
                  <c:v>0.25509588830895702</c:v>
                </c:pt>
                <c:pt idx="53">
                  <c:v>0.18975647470329315</c:v>
                </c:pt>
                <c:pt idx="54">
                  <c:v>0.2621207108581336</c:v>
                </c:pt>
                <c:pt idx="55">
                  <c:v>0.26569915366442842</c:v>
                </c:pt>
                <c:pt idx="56">
                  <c:v>0.23533793702535577</c:v>
                </c:pt>
                <c:pt idx="57">
                  <c:v>0.20287027983265393</c:v>
                </c:pt>
                <c:pt idx="58">
                  <c:v>0.41909970141729669</c:v>
                </c:pt>
                <c:pt idx="59">
                  <c:v>8.0120544316124476E-2</c:v>
                </c:pt>
                <c:pt idx="60">
                  <c:v>0.24058744294460999</c:v>
                </c:pt>
                <c:pt idx="61">
                  <c:v>0.18856883391753065</c:v>
                </c:pt>
                <c:pt idx="62">
                  <c:v>0.27069681105165166</c:v>
                </c:pt>
                <c:pt idx="63">
                  <c:v>0.22700035149764719</c:v>
                </c:pt>
                <c:pt idx="64">
                  <c:v>0.34545149017060428</c:v>
                </c:pt>
                <c:pt idx="65">
                  <c:v>0.32921171050971265</c:v>
                </c:pt>
                <c:pt idx="66">
                  <c:v>0.38482371184271913</c:v>
                </c:pt>
                <c:pt idx="67">
                  <c:v>0.13248409423599394</c:v>
                </c:pt>
                <c:pt idx="68">
                  <c:v>6.8453816568776693E-2</c:v>
                </c:pt>
                <c:pt idx="69">
                  <c:v>0.1958100162343841</c:v>
                </c:pt>
                <c:pt idx="70">
                  <c:v>5.2634874494096096E-2</c:v>
                </c:pt>
                <c:pt idx="71">
                  <c:v>8.7425475424698362E-2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0-4BF9-B8D6-4837E6BA8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311823"/>
        <c:axId val="1039638415"/>
      </c:scatterChart>
      <c:valAx>
        <c:axId val="11513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38415"/>
        <c:crosses val="autoZero"/>
        <c:crossBetween val="midCat"/>
      </c:valAx>
      <c:valAx>
        <c:axId val="10396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3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Maturation rates by brood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data'!$AF$4</c:f>
              <c:strCache>
                <c:ptCount val="1"/>
                <c:pt idx="0">
                  <c:v>rp3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data'!$AE$5:$AE$71</c:f>
              <c:numCache>
                <c:formatCode>#,##0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data'!$AF$5:$AF$71</c:f>
              <c:numCache>
                <c:formatCode>#,##0.00</c:formatCode>
                <c:ptCount val="67"/>
                <c:pt idx="0">
                  <c:v>0.5524226620263547</c:v>
                </c:pt>
                <c:pt idx="1">
                  <c:v>0.37281366905529228</c:v>
                </c:pt>
                <c:pt idx="2">
                  <c:v>0.26025480311170918</c:v>
                </c:pt>
                <c:pt idx="3">
                  <c:v>0.1874286953077435</c:v>
                </c:pt>
                <c:pt idx="4">
                  <c:v>0.28085381558622807</c:v>
                </c:pt>
                <c:pt idx="5">
                  <c:v>0.429377213201388</c:v>
                </c:pt>
                <c:pt idx="6">
                  <c:v>0.39824819204653367</c:v>
                </c:pt>
                <c:pt idx="7">
                  <c:v>0.2930888781896967</c:v>
                </c:pt>
                <c:pt idx="8">
                  <c:v>0.23672590536814525</c:v>
                </c:pt>
                <c:pt idx="9">
                  <c:v>0.29819094242950639</c:v>
                </c:pt>
                <c:pt idx="10">
                  <c:v>0.43588388974288489</c:v>
                </c:pt>
                <c:pt idx="11">
                  <c:v>0.15252613128706971</c:v>
                </c:pt>
                <c:pt idx="12">
                  <c:v>0.28945223502672762</c:v>
                </c:pt>
                <c:pt idx="13">
                  <c:v>0.11444478143729972</c:v>
                </c:pt>
                <c:pt idx="14">
                  <c:v>0.45107341718812993</c:v>
                </c:pt>
                <c:pt idx="15">
                  <c:v>0.26504064692997359</c:v>
                </c:pt>
                <c:pt idx="16">
                  <c:v>0.38071382264782649</c:v>
                </c:pt>
                <c:pt idx="17">
                  <c:v>0.10517884909248017</c:v>
                </c:pt>
                <c:pt idx="18">
                  <c:v>0.29324631036085402</c:v>
                </c:pt>
                <c:pt idx="19">
                  <c:v>0.48537486245468348</c:v>
                </c:pt>
                <c:pt idx="20">
                  <c:v>0.35452626546676103</c:v>
                </c:pt>
                <c:pt idx="21">
                  <c:v>0.17780255050762087</c:v>
                </c:pt>
                <c:pt idx="22">
                  <c:v>0.35294250026812068</c:v>
                </c:pt>
                <c:pt idx="23">
                  <c:v>0.22608268654829672</c:v>
                </c:pt>
                <c:pt idx="24">
                  <c:v>0.56283615416054722</c:v>
                </c:pt>
                <c:pt idx="25">
                  <c:v>0.13457094972310549</c:v>
                </c:pt>
                <c:pt idx="26">
                  <c:v>0.42271265953648884</c:v>
                </c:pt>
                <c:pt idx="27">
                  <c:v>0.23765918498554234</c:v>
                </c:pt>
                <c:pt idx="28">
                  <c:v>0.38748648188670937</c:v>
                </c:pt>
                <c:pt idx="29">
                  <c:v>0.20361960767610934</c:v>
                </c:pt>
                <c:pt idx="30">
                  <c:v>0.12719436711045412</c:v>
                </c:pt>
                <c:pt idx="31">
                  <c:v>0.35632524502344953</c:v>
                </c:pt>
                <c:pt idx="32">
                  <c:v>0.54738116318341357</c:v>
                </c:pt>
                <c:pt idx="33">
                  <c:v>0.16496758607564335</c:v>
                </c:pt>
                <c:pt idx="34">
                  <c:v>0.27558415801516911</c:v>
                </c:pt>
                <c:pt idx="35">
                  <c:v>0.22952938823112023</c:v>
                </c:pt>
                <c:pt idx="36">
                  <c:v>0.31759257163456872</c:v>
                </c:pt>
                <c:pt idx="37">
                  <c:v>0.28750870433265202</c:v>
                </c:pt>
                <c:pt idx="38">
                  <c:v>0.29497093364984622</c:v>
                </c:pt>
                <c:pt idx="39">
                  <c:v>0.22098942849796951</c:v>
                </c:pt>
                <c:pt idx="40">
                  <c:v>0.3586209507047361</c:v>
                </c:pt>
                <c:pt idx="41">
                  <c:v>0.39082441651703226</c:v>
                </c:pt>
                <c:pt idx="42">
                  <c:v>0.25618546067019499</c:v>
                </c:pt>
                <c:pt idx="43">
                  <c:v>0.11009219936876154</c:v>
                </c:pt>
                <c:pt idx="44">
                  <c:v>0.38718999039373275</c:v>
                </c:pt>
                <c:pt idx="45">
                  <c:v>0.52637113003774194</c:v>
                </c:pt>
                <c:pt idx="46">
                  <c:v>9.6354735502587399E-2</c:v>
                </c:pt>
                <c:pt idx="47">
                  <c:v>0.36821921440349237</c:v>
                </c:pt>
                <c:pt idx="48">
                  <c:v>0.22526215091064919</c:v>
                </c:pt>
                <c:pt idx="49">
                  <c:v>2.427448269807838E-2</c:v>
                </c:pt>
                <c:pt idx="50">
                  <c:v>0.25119606148409912</c:v>
                </c:pt>
                <c:pt idx="51">
                  <c:v>5.7140978572090363E-2</c:v>
                </c:pt>
                <c:pt idx="52">
                  <c:v>8.7806791807976875E-2</c:v>
                </c:pt>
                <c:pt idx="53">
                  <c:v>8.1340525041557935E-2</c:v>
                </c:pt>
                <c:pt idx="54">
                  <c:v>0.16627786087973156</c:v>
                </c:pt>
                <c:pt idx="55">
                  <c:v>4.7656214680254015E-2</c:v>
                </c:pt>
                <c:pt idx="56">
                  <c:v>1.8294225552735965E-2</c:v>
                </c:pt>
                <c:pt idx="57">
                  <c:v>2.0368196576140477E-2</c:v>
                </c:pt>
                <c:pt idx="58">
                  <c:v>0.11301689014342532</c:v>
                </c:pt>
                <c:pt idx="59">
                  <c:v>3.1240108351703613E-2</c:v>
                </c:pt>
                <c:pt idx="60">
                  <c:v>5.6808592014554724E-2</c:v>
                </c:pt>
                <c:pt idx="61">
                  <c:v>8.3209040565108305E-2</c:v>
                </c:pt>
                <c:pt idx="62">
                  <c:v>0.18795081172683509</c:v>
                </c:pt>
                <c:pt idx="63">
                  <c:v>0.27867727867043646</c:v>
                </c:pt>
                <c:pt idx="64">
                  <c:v>0.33574848718871531</c:v>
                </c:pt>
                <c:pt idx="65">
                  <c:v>7.4323579888776456E-2</c:v>
                </c:pt>
                <c:pt idx="66">
                  <c:v>0.19779929752250255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2-43F8-8392-A0803155C820}"/>
            </c:ext>
          </c:extLst>
        </c:ser>
        <c:ser>
          <c:idx val="1"/>
          <c:order val="1"/>
          <c:tx>
            <c:strRef>
              <c:f>'Orig data'!$AG$4</c:f>
              <c:strCache>
                <c:ptCount val="1"/>
                <c:pt idx="0">
                  <c:v>rp4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data'!$AE$5:$AE$71</c:f>
              <c:numCache>
                <c:formatCode>#,##0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data'!$AG$5:$AG$71</c:f>
              <c:numCache>
                <c:formatCode>#,##0.00</c:formatCode>
                <c:ptCount val="67"/>
                <c:pt idx="0">
                  <c:v>0.4001150673778946</c:v>
                </c:pt>
                <c:pt idx="1">
                  <c:v>0.53068483599349325</c:v>
                </c:pt>
                <c:pt idx="2">
                  <c:v>0.56790718404070362</c:v>
                </c:pt>
                <c:pt idx="3">
                  <c:v>0.68054869790110184</c:v>
                </c:pt>
                <c:pt idx="4">
                  <c:v>0.65380866307364982</c:v>
                </c:pt>
                <c:pt idx="5">
                  <c:v>0.51491106340414261</c:v>
                </c:pt>
                <c:pt idx="6">
                  <c:v>0.51707010459543801</c:v>
                </c:pt>
                <c:pt idx="7">
                  <c:v>0.57599768897448245</c:v>
                </c:pt>
                <c:pt idx="8">
                  <c:v>0.64564010945435246</c:v>
                </c:pt>
                <c:pt idx="9">
                  <c:v>0.65195557193241038</c:v>
                </c:pt>
                <c:pt idx="10">
                  <c:v>0.39997200127167409</c:v>
                </c:pt>
                <c:pt idx="11">
                  <c:v>0.7511405549642064</c:v>
                </c:pt>
                <c:pt idx="12">
                  <c:v>0.44546485135679331</c:v>
                </c:pt>
                <c:pt idx="13">
                  <c:v>0.81723231862265033</c:v>
                </c:pt>
                <c:pt idx="14">
                  <c:v>0.45253194098004668</c:v>
                </c:pt>
                <c:pt idx="15">
                  <c:v>0.67748141295023656</c:v>
                </c:pt>
                <c:pt idx="16">
                  <c:v>0.38759994088638494</c:v>
                </c:pt>
                <c:pt idx="17">
                  <c:v>0.7544425826168899</c:v>
                </c:pt>
                <c:pt idx="18">
                  <c:v>0.65476946535299907</c:v>
                </c:pt>
                <c:pt idx="19">
                  <c:v>0.46242539485128248</c:v>
                </c:pt>
                <c:pt idx="20">
                  <c:v>0.48023780808820105</c:v>
                </c:pt>
                <c:pt idx="21">
                  <c:v>0.73412052102373815</c:v>
                </c:pt>
                <c:pt idx="22">
                  <c:v>0.50813604239764965</c:v>
                </c:pt>
                <c:pt idx="23">
                  <c:v>0.7417163989028418</c:v>
                </c:pt>
                <c:pt idx="24">
                  <c:v>0.29321997893441837</c:v>
                </c:pt>
                <c:pt idx="25">
                  <c:v>0.79274255239855373</c:v>
                </c:pt>
                <c:pt idx="26">
                  <c:v>0.46510185791211733</c:v>
                </c:pt>
                <c:pt idx="27">
                  <c:v>0.68789861567257549</c:v>
                </c:pt>
                <c:pt idx="28">
                  <c:v>0.50319064937252045</c:v>
                </c:pt>
                <c:pt idx="29">
                  <c:v>0.53085914066442252</c:v>
                </c:pt>
                <c:pt idx="30">
                  <c:v>0.76342980588632225</c:v>
                </c:pt>
                <c:pt idx="31">
                  <c:v>0.6126043503578279</c:v>
                </c:pt>
                <c:pt idx="32">
                  <c:v>0.33314854935342342</c:v>
                </c:pt>
                <c:pt idx="33">
                  <c:v>0.70990763617534558</c:v>
                </c:pt>
                <c:pt idx="34">
                  <c:v>0.58287706342033463</c:v>
                </c:pt>
                <c:pt idx="35">
                  <c:v>0.66883350799743524</c:v>
                </c:pt>
                <c:pt idx="36">
                  <c:v>0.57914303827707847</c:v>
                </c:pt>
                <c:pt idx="37">
                  <c:v>0.61517260577963728</c:v>
                </c:pt>
                <c:pt idx="38">
                  <c:v>0.55996352011891981</c:v>
                </c:pt>
                <c:pt idx="39">
                  <c:v>0.68700087069053328</c:v>
                </c:pt>
                <c:pt idx="40">
                  <c:v>0.57635920628591619</c:v>
                </c:pt>
                <c:pt idx="41">
                  <c:v>0.52907302103996812</c:v>
                </c:pt>
                <c:pt idx="42">
                  <c:v>0.46544301548362604</c:v>
                </c:pt>
                <c:pt idx="43">
                  <c:v>0.79012550922090574</c:v>
                </c:pt>
                <c:pt idx="44">
                  <c:v>0.58676304969411708</c:v>
                </c:pt>
                <c:pt idx="45">
                  <c:v>0.28039327418766857</c:v>
                </c:pt>
                <c:pt idx="46">
                  <c:v>0.79684499313989487</c:v>
                </c:pt>
                <c:pt idx="47">
                  <c:v>0.58590079648563498</c:v>
                </c:pt>
                <c:pt idx="48">
                  <c:v>0.5073093971590904</c:v>
                </c:pt>
                <c:pt idx="49">
                  <c:v>0.84415745015412125</c:v>
                </c:pt>
                <c:pt idx="50">
                  <c:v>0.71304147989173727</c:v>
                </c:pt>
                <c:pt idx="51">
                  <c:v>0.88476960663765414</c:v>
                </c:pt>
                <c:pt idx="52">
                  <c:v>0.84330890375561574</c:v>
                </c:pt>
                <c:pt idx="53">
                  <c:v>0.78707327619088097</c:v>
                </c:pt>
                <c:pt idx="54">
                  <c:v>0.75008263895753613</c:v>
                </c:pt>
                <c:pt idx="55">
                  <c:v>0.85009671723988423</c:v>
                </c:pt>
                <c:pt idx="56">
                  <c:v>0.69137213688520227</c:v>
                </c:pt>
                <c:pt idx="57">
                  <c:v>0.72771568403664555</c:v>
                </c:pt>
                <c:pt idx="58">
                  <c:v>0.74785302859404124</c:v>
                </c:pt>
                <c:pt idx="59">
                  <c:v>0.76561710988875831</c:v>
                </c:pt>
                <c:pt idx="60">
                  <c:v>0.77355189011307368</c:v>
                </c:pt>
                <c:pt idx="61">
                  <c:v>0.85771991295183081</c:v>
                </c:pt>
                <c:pt idx="62">
                  <c:v>0.78994559543563658</c:v>
                </c:pt>
                <c:pt idx="63">
                  <c:v>0.69414563762459913</c:v>
                </c:pt>
                <c:pt idx="64">
                  <c:v>0.63492778158992247</c:v>
                </c:pt>
                <c:pt idx="65">
                  <c:v>0.7945149373003223</c:v>
                </c:pt>
                <c:pt idx="66">
                  <c:v>0.55330176892570115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A2-43F8-8392-A0803155C820}"/>
            </c:ext>
          </c:extLst>
        </c:ser>
        <c:ser>
          <c:idx val="2"/>
          <c:order val="2"/>
          <c:tx>
            <c:strRef>
              <c:f>'Orig data'!$AH$4</c:f>
              <c:strCache>
                <c:ptCount val="1"/>
                <c:pt idx="0">
                  <c:v>rp5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'Orig data'!$AE$5:$AE$71</c:f>
              <c:numCache>
                <c:formatCode>#,##0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data'!$AH$5:$AH$71</c:f>
              <c:numCache>
                <c:formatCode>#,##0.00</c:formatCode>
                <c:ptCount val="67"/>
                <c:pt idx="0">
                  <c:v>4.7462270595750776E-2</c:v>
                </c:pt>
                <c:pt idx="1">
                  <c:v>9.65014949512146E-2</c:v>
                </c:pt>
                <c:pt idx="2">
                  <c:v>0.17183801284758715</c:v>
                </c:pt>
                <c:pt idx="3">
                  <c:v>0.13202260679115466</c:v>
                </c:pt>
                <c:pt idx="4">
                  <c:v>6.5337521340122037E-2</c:v>
                </c:pt>
                <c:pt idx="5">
                  <c:v>5.571172339446942E-2</c:v>
                </c:pt>
                <c:pt idx="6">
                  <c:v>8.4681703358028299E-2</c:v>
                </c:pt>
                <c:pt idx="7">
                  <c:v>0.13091343283582091</c:v>
                </c:pt>
                <c:pt idx="8">
                  <c:v>0.11763398517750241</c:v>
                </c:pt>
                <c:pt idx="9">
                  <c:v>4.9853485638083207E-2</c:v>
                </c:pt>
                <c:pt idx="10">
                  <c:v>0.16414410898544107</c:v>
                </c:pt>
                <c:pt idx="11">
                  <c:v>9.6333313748723906E-2</c:v>
                </c:pt>
                <c:pt idx="12">
                  <c:v>0.26508291361647901</c:v>
                </c:pt>
                <c:pt idx="13">
                  <c:v>6.8322899940049919E-2</c:v>
                </c:pt>
                <c:pt idx="14">
                  <c:v>9.6394641831823502E-2</c:v>
                </c:pt>
                <c:pt idx="15">
                  <c:v>5.7477940119789739E-2</c:v>
                </c:pt>
                <c:pt idx="16">
                  <c:v>0.23168623646578851</c:v>
                </c:pt>
                <c:pt idx="17">
                  <c:v>0.14037856829062992</c:v>
                </c:pt>
                <c:pt idx="18">
                  <c:v>5.1984224286146928E-2</c:v>
                </c:pt>
                <c:pt idx="19">
                  <c:v>5.2199742694034053E-2</c:v>
                </c:pt>
                <c:pt idx="20">
                  <c:v>0.16523592644503776</c:v>
                </c:pt>
                <c:pt idx="21">
                  <c:v>8.8076928468641014E-2</c:v>
                </c:pt>
                <c:pt idx="22">
                  <c:v>0.13892145733422961</c:v>
                </c:pt>
                <c:pt idx="23">
                  <c:v>3.2200914548861578E-2</c:v>
                </c:pt>
                <c:pt idx="24">
                  <c:v>0.14394386690503425</c:v>
                </c:pt>
                <c:pt idx="25">
                  <c:v>7.2686497878340792E-2</c:v>
                </c:pt>
                <c:pt idx="26">
                  <c:v>0.11218548255139382</c:v>
                </c:pt>
                <c:pt idx="27">
                  <c:v>7.4442199341882342E-2</c:v>
                </c:pt>
                <c:pt idx="28">
                  <c:v>0.10932286874077014</c:v>
                </c:pt>
                <c:pt idx="29">
                  <c:v>0.26552125165946816</c:v>
                </c:pt>
                <c:pt idx="30">
                  <c:v>0.10937582700322367</c:v>
                </c:pt>
                <c:pt idx="31">
                  <c:v>3.1070404618722382E-2</c:v>
                </c:pt>
                <c:pt idx="32">
                  <c:v>0.11947028746316296</c:v>
                </c:pt>
                <c:pt idx="33">
                  <c:v>0.12512477774901115</c:v>
                </c:pt>
                <c:pt idx="34">
                  <c:v>0.14153877856449629</c:v>
                </c:pt>
                <c:pt idx="35">
                  <c:v>0.10163710377144458</c:v>
                </c:pt>
                <c:pt idx="36">
                  <c:v>0.10326439008835288</c:v>
                </c:pt>
                <c:pt idx="37">
                  <c:v>9.7318689887710655E-2</c:v>
                </c:pt>
                <c:pt idx="38">
                  <c:v>0.14506554623123391</c:v>
                </c:pt>
                <c:pt idx="39">
                  <c:v>9.2009700811497147E-2</c:v>
                </c:pt>
                <c:pt idx="40">
                  <c:v>6.5019843009347614E-2</c:v>
                </c:pt>
                <c:pt idx="41">
                  <c:v>8.0102562442999514E-2</c:v>
                </c:pt>
                <c:pt idx="42">
                  <c:v>0.27837152384617897</c:v>
                </c:pt>
                <c:pt idx="43">
                  <c:v>9.978229141033261E-2</c:v>
                </c:pt>
                <c:pt idx="44">
                  <c:v>2.6046959912150204E-2</c:v>
                </c:pt>
                <c:pt idx="45">
                  <c:v>0.19323559577458937</c:v>
                </c:pt>
                <c:pt idx="46">
                  <c:v>0.10565991169883637</c:v>
                </c:pt>
                <c:pt idx="47">
                  <c:v>4.4264313218821953E-2</c:v>
                </c:pt>
                <c:pt idx="48">
                  <c:v>0.26462323975180158</c:v>
                </c:pt>
                <c:pt idx="49">
                  <c:v>0.13156806714780048</c:v>
                </c:pt>
                <c:pt idx="50">
                  <c:v>3.5762458624163697E-2</c:v>
                </c:pt>
                <c:pt idx="51">
                  <c:v>5.8089414790255478E-2</c:v>
                </c:pt>
                <c:pt idx="52">
                  <c:v>6.8884304436407348E-2</c:v>
                </c:pt>
                <c:pt idx="53">
                  <c:v>0.1299171723320135</c:v>
                </c:pt>
                <c:pt idx="54">
                  <c:v>8.3639500162732389E-2</c:v>
                </c:pt>
                <c:pt idx="55">
                  <c:v>0.10224706807986171</c:v>
                </c:pt>
                <c:pt idx="56">
                  <c:v>0.28362480400174672</c:v>
                </c:pt>
                <c:pt idx="57">
                  <c:v>0.25191611938721403</c:v>
                </c:pt>
                <c:pt idx="58">
                  <c:v>0.13740563278032419</c:v>
                </c:pt>
                <c:pt idx="59">
                  <c:v>0.19935240211341054</c:v>
                </c:pt>
                <c:pt idx="60">
                  <c:v>0.16767701140868754</c:v>
                </c:pt>
                <c:pt idx="61">
                  <c:v>5.860078775742314E-2</c:v>
                </c:pt>
                <c:pt idx="62">
                  <c:v>2.2103592837528305E-2</c:v>
                </c:pt>
                <c:pt idx="63">
                  <c:v>2.7177083704964376E-2</c:v>
                </c:pt>
                <c:pt idx="64">
                  <c:v>2.9323731221362306E-2</c:v>
                </c:pt>
                <c:pt idx="65">
                  <c:v>0.13116148281090118</c:v>
                </c:pt>
                <c:pt idx="66">
                  <c:v>0.24889893355179629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A2-43F8-8392-A0803155C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313023"/>
        <c:axId val="1724139151"/>
      </c:scatterChart>
      <c:valAx>
        <c:axId val="180331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139151"/>
        <c:crosses val="autoZero"/>
        <c:crossBetween val="midCat"/>
      </c:valAx>
      <c:valAx>
        <c:axId val="17241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1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and historical recruitments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'Orig data'!$AN$4</c:f>
              <c:strCache>
                <c:ptCount val="1"/>
                <c:pt idx="0">
                  <c:v>retro Recruits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'Orig data'!$AJ$5:$AJ$71</c:f>
              <c:numCache>
                <c:formatCode>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data'!$AN$5:$AN$71</c:f>
              <c:numCache>
                <c:formatCode>0</c:formatCode>
                <c:ptCount val="67"/>
                <c:pt idx="0">
                  <c:v>595477.19999999984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541867.77399068745</c:v>
                </c:pt>
                <c:pt idx="5">
                  <c:v>455279.40000000014</c:v>
                </c:pt>
                <c:pt idx="6">
                  <c:v>294324.49999999994</c:v>
                </c:pt>
                <c:pt idx="7">
                  <c:v>252706.08220832862</c:v>
                </c:pt>
                <c:pt idx="8">
                  <c:v>299648.57189135428</c:v>
                </c:pt>
                <c:pt idx="9">
                  <c:v>339020.12042868685</c:v>
                </c:pt>
                <c:pt idx="10">
                  <c:v>253811.18975305173</c:v>
                </c:pt>
                <c:pt idx="11">
                  <c:v>325593.0215739361</c:v>
                </c:pt>
                <c:pt idx="12">
                  <c:v>421175.23225314409</c:v>
                </c:pt>
                <c:pt idx="13">
                  <c:v>837701.16614431178</c:v>
                </c:pt>
                <c:pt idx="14">
                  <c:v>757092.85671677755</c:v>
                </c:pt>
                <c:pt idx="15">
                  <c:v>640596.52517540462</c:v>
                </c:pt>
                <c:pt idx="16">
                  <c:v>569799.24986079114</c:v>
                </c:pt>
                <c:pt idx="17">
                  <c:v>1064954.3906102942</c:v>
                </c:pt>
                <c:pt idx="18">
                  <c:v>1363716.6118318574</c:v>
                </c:pt>
                <c:pt idx="19">
                  <c:v>915295.0864430404</c:v>
                </c:pt>
                <c:pt idx="20">
                  <c:v>598562.25169034488</c:v>
                </c:pt>
                <c:pt idx="21">
                  <c:v>813830.20834042178</c:v>
                </c:pt>
                <c:pt idx="22">
                  <c:v>843542.63054125034</c:v>
                </c:pt>
                <c:pt idx="23">
                  <c:v>946673.00312700053</c:v>
                </c:pt>
                <c:pt idx="24">
                  <c:v>624545.78209478094</c:v>
                </c:pt>
                <c:pt idx="25">
                  <c:v>683018.58902927244</c:v>
                </c:pt>
                <c:pt idx="26">
                  <c:v>640725.37362031045</c:v>
                </c:pt>
                <c:pt idx="27">
                  <c:v>625520.87074558774</c:v>
                </c:pt>
                <c:pt idx="28">
                  <c:v>555632.91515702964</c:v>
                </c:pt>
                <c:pt idx="29">
                  <c:v>688214.21270288958</c:v>
                </c:pt>
                <c:pt idx="30">
                  <c:v>1436967.0219350392</c:v>
                </c:pt>
                <c:pt idx="31">
                  <c:v>1537150.7306161192</c:v>
                </c:pt>
                <c:pt idx="32">
                  <c:v>860986.97153314902</c:v>
                </c:pt>
                <c:pt idx="33">
                  <c:v>871095.03446200781</c:v>
                </c:pt>
                <c:pt idx="34">
                  <c:v>1125747.9423890966</c:v>
                </c:pt>
                <c:pt idx="35">
                  <c:v>1426964.2848528519</c:v>
                </c:pt>
                <c:pt idx="36">
                  <c:v>1499779.1092150095</c:v>
                </c:pt>
                <c:pt idx="37">
                  <c:v>1513769.3592911367</c:v>
                </c:pt>
                <c:pt idx="38">
                  <c:v>1580695.2605072609</c:v>
                </c:pt>
                <c:pt idx="39">
                  <c:v>2001760.7547611981</c:v>
                </c:pt>
                <c:pt idx="40">
                  <c:v>1917840.3980434977</c:v>
                </c:pt>
                <c:pt idx="41">
                  <c:v>1414698.7314693341</c:v>
                </c:pt>
                <c:pt idx="42">
                  <c:v>1461240.4820531586</c:v>
                </c:pt>
                <c:pt idx="43">
                  <c:v>3090506.4724208089</c:v>
                </c:pt>
                <c:pt idx="44">
                  <c:v>3153249.912465963</c:v>
                </c:pt>
                <c:pt idx="45">
                  <c:v>1757162.3379765367</c:v>
                </c:pt>
                <c:pt idx="46">
                  <c:v>2556856.4778380245</c:v>
                </c:pt>
                <c:pt idx="47">
                  <c:v>2767037.3722820883</c:v>
                </c:pt>
                <c:pt idx="48">
                  <c:v>3598536.7402449087</c:v>
                </c:pt>
                <c:pt idx="49">
                  <c:v>2282280.9874157952</c:v>
                </c:pt>
                <c:pt idx="50">
                  <c:v>1868815.476374689</c:v>
                </c:pt>
                <c:pt idx="51">
                  <c:v>2826441.7434068136</c:v>
                </c:pt>
                <c:pt idx="52">
                  <c:v>1321724.4887396949</c:v>
                </c:pt>
                <c:pt idx="53">
                  <c:v>1276023.0810597537</c:v>
                </c:pt>
                <c:pt idx="54">
                  <c:v>825953.19904753449</c:v>
                </c:pt>
                <c:pt idx="55">
                  <c:v>653278.02039415657</c:v>
                </c:pt>
                <c:pt idx="56">
                  <c:v>1919071.1316682936</c:v>
                </c:pt>
                <c:pt idx="57">
                  <c:v>1341905.7511766064</c:v>
                </c:pt>
                <c:pt idx="58">
                  <c:v>1604701.5153639382</c:v>
                </c:pt>
                <c:pt idx="59">
                  <c:v>1593665.0002395585</c:v>
                </c:pt>
                <c:pt idx="60">
                  <c:v>1137156.4984471407</c:v>
                </c:pt>
                <c:pt idx="61">
                  <c:v>3027621.5269340547</c:v>
                </c:pt>
                <c:pt idx="62">
                  <c:v>803236.48907990858</c:v>
                </c:pt>
                <c:pt idx="63">
                  <c:v>920477.50134691002</c:v>
                </c:pt>
                <c:pt idx="64">
                  <c:v>389744.52714191086</c:v>
                </c:pt>
                <c:pt idx="65">
                  <c:v>718960.73682986316</c:v>
                </c:pt>
                <c:pt idx="66">
                  <c:v>464319.704024565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6F1-4699-BB12-EB95926AB8B5}"/>
            </c:ext>
          </c:extLst>
        </c:ser>
        <c:ser>
          <c:idx val="3"/>
          <c:order val="1"/>
          <c:tx>
            <c:strRef>
              <c:f>'Orig data'!$H$4</c:f>
              <c:strCache>
                <c:ptCount val="1"/>
                <c:pt idx="0">
                  <c:v>Recruits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'Orig data'!$AJ$5:$AJ$71</c:f>
              <c:numCache>
                <c:formatCode>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data'!$H$5:$H$71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6F1-4699-BB12-EB95926AB8B5}"/>
            </c:ext>
          </c:extLst>
        </c:ser>
        <c:ser>
          <c:idx val="0"/>
          <c:order val="2"/>
          <c:tx>
            <c:strRef>
              <c:f>'Orig data'!$AN$4</c:f>
              <c:strCache>
                <c:ptCount val="1"/>
                <c:pt idx="0">
                  <c:v>retro Recruits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data'!$AN$5:$AN$76</c:f>
              <c:numCache>
                <c:formatCode>0</c:formatCode>
                <c:ptCount val="72"/>
                <c:pt idx="0">
                  <c:v>595477.19999999984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541867.77399068745</c:v>
                </c:pt>
                <c:pt idx="5">
                  <c:v>455279.40000000014</c:v>
                </c:pt>
                <c:pt idx="6">
                  <c:v>294324.49999999994</c:v>
                </c:pt>
                <c:pt idx="7">
                  <c:v>252706.08220832862</c:v>
                </c:pt>
                <c:pt idx="8">
                  <c:v>299648.57189135428</c:v>
                </c:pt>
                <c:pt idx="9">
                  <c:v>339020.12042868685</c:v>
                </c:pt>
                <c:pt idx="10">
                  <c:v>253811.18975305173</c:v>
                </c:pt>
                <c:pt idx="11">
                  <c:v>325593.0215739361</c:v>
                </c:pt>
                <c:pt idx="12">
                  <c:v>421175.23225314409</c:v>
                </c:pt>
                <c:pt idx="13">
                  <c:v>837701.16614431178</c:v>
                </c:pt>
                <c:pt idx="14">
                  <c:v>757092.85671677755</c:v>
                </c:pt>
                <c:pt idx="15">
                  <c:v>640596.52517540462</c:v>
                </c:pt>
                <c:pt idx="16">
                  <c:v>569799.24986079114</c:v>
                </c:pt>
                <c:pt idx="17">
                  <c:v>1064954.3906102942</c:v>
                </c:pt>
                <c:pt idx="18">
                  <c:v>1363716.6118318574</c:v>
                </c:pt>
                <c:pt idx="19">
                  <c:v>915295.0864430404</c:v>
                </c:pt>
                <c:pt idx="20">
                  <c:v>598562.25169034488</c:v>
                </c:pt>
                <c:pt idx="21">
                  <c:v>813830.20834042178</c:v>
                </c:pt>
                <c:pt idx="22">
                  <c:v>843542.63054125034</c:v>
                </c:pt>
                <c:pt idx="23">
                  <c:v>946673.00312700053</c:v>
                </c:pt>
                <c:pt idx="24">
                  <c:v>624545.78209478094</c:v>
                </c:pt>
                <c:pt idx="25">
                  <c:v>683018.58902927244</c:v>
                </c:pt>
                <c:pt idx="26">
                  <c:v>640725.37362031045</c:v>
                </c:pt>
                <c:pt idx="27">
                  <c:v>625520.87074558774</c:v>
                </c:pt>
                <c:pt idx="28">
                  <c:v>555632.91515702964</c:v>
                </c:pt>
                <c:pt idx="29">
                  <c:v>688214.21270288958</c:v>
                </c:pt>
                <c:pt idx="30">
                  <c:v>1436967.0219350392</c:v>
                </c:pt>
                <c:pt idx="31">
                  <c:v>1537150.7306161192</c:v>
                </c:pt>
                <c:pt idx="32">
                  <c:v>860986.97153314902</c:v>
                </c:pt>
                <c:pt idx="33">
                  <c:v>871095.03446200781</c:v>
                </c:pt>
                <c:pt idx="34">
                  <c:v>1125747.9423890966</c:v>
                </c:pt>
                <c:pt idx="35">
                  <c:v>1426964.2848528519</c:v>
                </c:pt>
                <c:pt idx="36">
                  <c:v>1499779.1092150095</c:v>
                </c:pt>
                <c:pt idx="37">
                  <c:v>1513769.3592911367</c:v>
                </c:pt>
                <c:pt idx="38">
                  <c:v>1580695.2605072609</c:v>
                </c:pt>
                <c:pt idx="39">
                  <c:v>2001760.7547611981</c:v>
                </c:pt>
                <c:pt idx="40">
                  <c:v>1917840.3980434977</c:v>
                </c:pt>
                <c:pt idx="41">
                  <c:v>1414698.7314693341</c:v>
                </c:pt>
                <c:pt idx="42">
                  <c:v>1461240.4820531586</c:v>
                </c:pt>
                <c:pt idx="43">
                  <c:v>3090506.4724208089</c:v>
                </c:pt>
                <c:pt idx="44">
                  <c:v>3153249.912465963</c:v>
                </c:pt>
                <c:pt idx="45">
                  <c:v>1757162.3379765367</c:v>
                </c:pt>
                <c:pt idx="46">
                  <c:v>2556856.4778380245</c:v>
                </c:pt>
                <c:pt idx="47">
                  <c:v>2767037.3722820883</c:v>
                </c:pt>
                <c:pt idx="48">
                  <c:v>3598536.7402449087</c:v>
                </c:pt>
                <c:pt idx="49">
                  <c:v>2282280.9874157952</c:v>
                </c:pt>
                <c:pt idx="50">
                  <c:v>1868815.476374689</c:v>
                </c:pt>
                <c:pt idx="51">
                  <c:v>2826441.7434068136</c:v>
                </c:pt>
                <c:pt idx="52">
                  <c:v>1321724.4887396949</c:v>
                </c:pt>
                <c:pt idx="53">
                  <c:v>1276023.0810597537</c:v>
                </c:pt>
                <c:pt idx="54">
                  <c:v>825953.19904753449</c:v>
                </c:pt>
                <c:pt idx="55">
                  <c:v>653278.02039415657</c:v>
                </c:pt>
                <c:pt idx="56">
                  <c:v>1919071.1316682936</c:v>
                </c:pt>
                <c:pt idx="57">
                  <c:v>1341905.7511766064</c:v>
                </c:pt>
                <c:pt idx="58">
                  <c:v>1604701.5153639382</c:v>
                </c:pt>
                <c:pt idx="59">
                  <c:v>1593665.0002395585</c:v>
                </c:pt>
                <c:pt idx="60">
                  <c:v>1137156.4984471407</c:v>
                </c:pt>
                <c:pt idx="61">
                  <c:v>3027621.5269340547</c:v>
                </c:pt>
                <c:pt idx="62">
                  <c:v>803236.48907990858</c:v>
                </c:pt>
                <c:pt idx="63">
                  <c:v>920477.50134691002</c:v>
                </c:pt>
                <c:pt idx="64">
                  <c:v>389744.52714191086</c:v>
                </c:pt>
                <c:pt idx="65">
                  <c:v>718960.73682986316</c:v>
                </c:pt>
                <c:pt idx="66">
                  <c:v>464319.704024565</c:v>
                </c:pt>
                <c:pt idx="67">
                  <c:v>1768405.5043224066</c:v>
                </c:pt>
                <c:pt idx="68">
                  <c:v>303641.50484750437</c:v>
                </c:pt>
                <c:pt idx="69">
                  <c:v>542407.54735711846</c:v>
                </c:pt>
                <c:pt idx="70">
                  <c:v>600021.85485046823</c:v>
                </c:pt>
                <c:pt idx="71">
                  <c:v>1055613.2767198919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6F1-4699-BB12-EB95926AB8B5}"/>
            </c:ext>
          </c:extLst>
        </c:ser>
        <c:ser>
          <c:idx val="1"/>
          <c:order val="3"/>
          <c:tx>
            <c:strRef>
              <c:f>'Orig data'!$H$4</c:f>
              <c:strCache>
                <c:ptCount val="1"/>
                <c:pt idx="0">
                  <c:v>Recruits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data'!$H$5:$H$76</c:f>
              <c:numCache>
                <c:formatCode>#,##0</c:formatCode>
                <c:ptCount val="72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6F1-4699-BB12-EB95926A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8176"/>
        <c:axId val="121773104"/>
      </c:scatterChart>
      <c:valAx>
        <c:axId val="1301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3104"/>
        <c:crosses val="autoZero"/>
        <c:crossBetween val="midCat"/>
      </c:valAx>
      <c:valAx>
        <c:axId val="121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recruits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and historical run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data'!$AK$4</c:f>
              <c:strCache>
                <c:ptCount val="1"/>
                <c:pt idx="0">
                  <c:v>retro run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data'!$AK$5:$AK$76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 formatCode="#,##0.00">
                  <c:v>357389.09999999992</c:v>
                </c:pt>
                <c:pt idx="5" formatCode="#,##0.00">
                  <c:v>282627</c:v>
                </c:pt>
                <c:pt idx="6" formatCode="#,##0.00">
                  <c:v>308362.99999999994</c:v>
                </c:pt>
                <c:pt idx="7" formatCode="#,##0.00">
                  <c:v>544065.93186850043</c:v>
                </c:pt>
                <c:pt idx="8" formatCode="#,##0.00">
                  <c:v>614926.64487554599</c:v>
                </c:pt>
                <c:pt idx="9" formatCode="#,##0.00">
                  <c:v>387046.89724664099</c:v>
                </c:pt>
                <c:pt idx="10" formatCode="#,##0.00">
                  <c:v>251616.14214615227</c:v>
                </c:pt>
                <c:pt idx="11" formatCode="#,##0.00">
                  <c:v>241416.59881504547</c:v>
                </c:pt>
                <c:pt idx="12" formatCode="#,##0.00">
                  <c:v>327640.48668735276</c:v>
                </c:pt>
                <c:pt idx="13" formatCode="#,##0.00">
                  <c:v>366907.12082483614</c:v>
                </c:pt>
                <c:pt idx="14" formatCode="#,##0.00">
                  <c:v>168080.14817022541</c:v>
                </c:pt>
                <c:pt idx="15" formatCode="#,##0.00">
                  <c:v>408137.8468236422</c:v>
                </c:pt>
                <c:pt idx="16" formatCode="#,##0.00">
                  <c:v>314854.74380164361</c:v>
                </c:pt>
                <c:pt idx="17" formatCode="#,##0.00">
                  <c:v>1137747.2860377347</c:v>
                </c:pt>
                <c:pt idx="18" formatCode="#,##0.00">
                  <c:v>569626.99035989505</c:v>
                </c:pt>
                <c:pt idx="19" formatCode="#,##0.00">
                  <c:v>723902.38431985653</c:v>
                </c:pt>
                <c:pt idx="20" formatCode="#,##0.00">
                  <c:v>369685.00141850073</c:v>
                </c:pt>
                <c:pt idx="21" formatCode="#,##0.00">
                  <c:v>1335366.4493599997</c:v>
                </c:pt>
                <c:pt idx="22" formatCode="#,##0.00">
                  <c:v>1486677.9961585803</c:v>
                </c:pt>
                <c:pt idx="23" formatCode="#,##0.00">
                  <c:v>706353.48170722672</c:v>
                </c:pt>
                <c:pt idx="24" formatCode="#,##0.00">
                  <c:v>479931.4784806252</c:v>
                </c:pt>
                <c:pt idx="25" formatCode="#,##0.00">
                  <c:v>994075.48987078632</c:v>
                </c:pt>
                <c:pt idx="26" formatCode="#,##0.00">
                  <c:v>714340.4547522486</c:v>
                </c:pt>
                <c:pt idx="27" formatCode="#,##0.00">
                  <c:v>1170866.0084676552</c:v>
                </c:pt>
                <c:pt idx="28" formatCode="#,##0.00">
                  <c:v>305527.49775302288</c:v>
                </c:pt>
                <c:pt idx="29" formatCode="#,##0.00">
                  <c:v>902200.16125222784</c:v>
                </c:pt>
                <c:pt idx="30" formatCode="#,##0.00">
                  <c:v>496309.57123742858</c:v>
                </c:pt>
                <c:pt idx="31" formatCode="#,##0.00">
                  <c:v>717475.26979736437</c:v>
                </c:pt>
                <c:pt idx="32" formatCode="#,##0.00">
                  <c:v>466288.34473084798</c:v>
                </c:pt>
                <c:pt idx="33" formatCode="#,##0.00">
                  <c:v>608862.3007138829</c:v>
                </c:pt>
                <c:pt idx="34" formatCode="#,##0.00">
                  <c:v>1827484.5645123832</c:v>
                </c:pt>
                <c:pt idx="35" formatCode="#,##0.00">
                  <c:v>1570122.7310952323</c:v>
                </c:pt>
                <c:pt idx="36" formatCode="#,##0.00">
                  <c:v>478298.90081635024</c:v>
                </c:pt>
                <c:pt idx="37" formatCode="#,##0.00">
                  <c:v>1031497.6766307169</c:v>
                </c:pt>
                <c:pt idx="38" formatCode="#,##0.00">
                  <c:v>1092698.4667264996</c:v>
                </c:pt>
                <c:pt idx="39" formatCode="#,##0.00">
                  <c:v>1590057.2213418295</c:v>
                </c:pt>
                <c:pt idx="40" formatCode="#,##0.00">
                  <c:v>1448841.0143012691</c:v>
                </c:pt>
                <c:pt idx="41" formatCode="#,##0.00">
                  <c:v>1552362.3730925554</c:v>
                </c:pt>
                <c:pt idx="42" formatCode="#,##0.00">
                  <c:v>1474817.6983316527</c:v>
                </c:pt>
                <c:pt idx="43" formatCode="#,##0.00">
                  <c:v>2292293.5496719992</c:v>
                </c:pt>
                <c:pt idx="44" formatCode="#,##0.00">
                  <c:v>1842445.1840150789</c:v>
                </c:pt>
                <c:pt idx="45" formatCode="#,##0.00">
                  <c:v>1247525.1793623904</c:v>
                </c:pt>
                <c:pt idx="46" formatCode="#,##0.00">
                  <c:v>1133685.8245013235</c:v>
                </c:pt>
                <c:pt idx="47" formatCode="#,##0.00">
                  <c:v>4069562.5432835938</c:v>
                </c:pt>
                <c:pt idx="48" formatCode="#,##0.00">
                  <c:v>3083507.8780233189</c:v>
                </c:pt>
                <c:pt idx="49" formatCode="#,##0.00">
                  <c:v>821194.304927652</c:v>
                </c:pt>
                <c:pt idx="50" formatCode="#,##0.00">
                  <c:v>3395840.9212409169</c:v>
                </c:pt>
                <c:pt idx="51" formatCode="#,##0.00">
                  <c:v>2701980.7562391218</c:v>
                </c:pt>
                <c:pt idx="52" formatCode="#,##0.00">
                  <c:v>2003453.7036245412</c:v>
                </c:pt>
                <c:pt idx="53" formatCode="#,##0.00">
                  <c:v>3348300.0367474952</c:v>
                </c:pt>
                <c:pt idx="54" formatCode="#,##0.00">
                  <c:v>1794323.8982165304</c:v>
                </c:pt>
                <c:pt idx="55" formatCode="#,##0.00">
                  <c:v>2683639.5726586096</c:v>
                </c:pt>
                <c:pt idx="56" formatCode="#,##0.00">
                  <c:v>1382600.7638578219</c:v>
                </c:pt>
                <c:pt idx="57" formatCode="#,##0.00">
                  <c:v>1232707.4700926775</c:v>
                </c:pt>
                <c:pt idx="58" formatCode="#,##0.00">
                  <c:v>816443.22330445587</c:v>
                </c:pt>
                <c:pt idx="59" formatCode="#,##0.00">
                  <c:v>659539.7334426723</c:v>
                </c:pt>
                <c:pt idx="60" formatCode="#,##0.00">
                  <c:v>1420920.271489149</c:v>
                </c:pt>
                <c:pt idx="61" formatCode="#,##0.00">
                  <c:v>1702180.4100898972</c:v>
                </c:pt>
                <c:pt idx="62" formatCode="#,##0.00">
                  <c:v>1587914.8449579652</c:v>
                </c:pt>
                <c:pt idx="63" formatCode="#,##0.00">
                  <c:v>1505232.4783333885</c:v>
                </c:pt>
                <c:pt idx="64" formatCode="#,##0.00">
                  <c:v>1449275.9871404259</c:v>
                </c:pt>
                <c:pt idx="65" formatCode="#,##0.00">
                  <c:v>2938495.2258277331</c:v>
                </c:pt>
                <c:pt idx="66" formatCode="#,##0.00">
                  <c:v>1068450.2983042465</c:v>
                </c:pt>
                <c:pt idx="67" formatCode="#,##0.00">
                  <c:v>787555.98977639445</c:v>
                </c:pt>
                <c:pt idx="68" formatCode="#,##0.00">
                  <c:v>325911.25786833616</c:v>
                </c:pt>
                <c:pt idx="69" formatCode="#,##0.00">
                  <c:v>674495.91978459386</c:v>
                </c:pt>
                <c:pt idx="70" formatCode="#,##0.00">
                  <c:v>700998.23639917164</c:v>
                </c:pt>
                <c:pt idx="71" formatCode="#,##0.00">
                  <c:v>1154090.649235846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B2-411B-BC75-6B9ADB8CDFFF}"/>
            </c:ext>
          </c:extLst>
        </c:ser>
        <c:ser>
          <c:idx val="1"/>
          <c:order val="1"/>
          <c:tx>
            <c:strRef>
              <c:f>'Orig data'!$R$4</c:f>
              <c:strCache>
                <c:ptCount val="1"/>
                <c:pt idx="0">
                  <c:v>total Stock, hr from Grant then Brittany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data'!$R$5:$R$76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>
                  <c:v>397099</c:v>
                </c:pt>
                <c:pt idx="5">
                  <c:v>282627</c:v>
                </c:pt>
                <c:pt idx="6">
                  <c:v>308363</c:v>
                </c:pt>
                <c:pt idx="7">
                  <c:v>559829</c:v>
                </c:pt>
                <c:pt idx="8">
                  <c:v>651622</c:v>
                </c:pt>
                <c:pt idx="9">
                  <c:v>390714</c:v>
                </c:pt>
                <c:pt idx="10">
                  <c:v>253644</c:v>
                </c:pt>
                <c:pt idx="11">
                  <c:v>249239</c:v>
                </c:pt>
                <c:pt idx="12">
                  <c:v>339884</c:v>
                </c:pt>
                <c:pt idx="13">
                  <c:v>371556</c:v>
                </c:pt>
                <c:pt idx="14">
                  <c:v>170472</c:v>
                </c:pt>
                <c:pt idx="15">
                  <c:v>419759</c:v>
                </c:pt>
                <c:pt idx="16">
                  <c:v>323003</c:v>
                </c:pt>
                <c:pt idx="17">
                  <c:v>1153257</c:v>
                </c:pt>
                <c:pt idx="18">
                  <c:v>578493</c:v>
                </c:pt>
                <c:pt idx="19">
                  <c:v>739355</c:v>
                </c:pt>
                <c:pt idx="20">
                  <c:v>376364</c:v>
                </c:pt>
                <c:pt idx="21">
                  <c:v>1349820</c:v>
                </c:pt>
                <c:pt idx="22">
                  <c:v>1506960</c:v>
                </c:pt>
                <c:pt idx="23">
                  <c:v>717854</c:v>
                </c:pt>
                <c:pt idx="24">
                  <c:v>486199</c:v>
                </c:pt>
                <c:pt idx="25">
                  <c:v>1003722</c:v>
                </c:pt>
                <c:pt idx="26">
                  <c:v>722536</c:v>
                </c:pt>
                <c:pt idx="27">
                  <c:v>1185223</c:v>
                </c:pt>
                <c:pt idx="28">
                  <c:v>308732</c:v>
                </c:pt>
                <c:pt idx="29">
                  <c:v>909353</c:v>
                </c:pt>
                <c:pt idx="30">
                  <c:v>500271</c:v>
                </c:pt>
                <c:pt idx="31">
                  <c:v>724011</c:v>
                </c:pt>
                <c:pt idx="32">
                  <c:v>470101</c:v>
                </c:pt>
                <c:pt idx="33">
                  <c:v>612803</c:v>
                </c:pt>
                <c:pt idx="34">
                  <c:v>1839044</c:v>
                </c:pt>
                <c:pt idx="35">
                  <c:v>1580868</c:v>
                </c:pt>
                <c:pt idx="36">
                  <c:v>481076</c:v>
                </c:pt>
                <c:pt idx="37">
                  <c:v>1035111</c:v>
                </c:pt>
                <c:pt idx="38">
                  <c:v>1094661</c:v>
                </c:pt>
                <c:pt idx="39">
                  <c:v>1594885</c:v>
                </c:pt>
                <c:pt idx="40">
                  <c:v>1454169</c:v>
                </c:pt>
                <c:pt idx="41">
                  <c:v>1555718</c:v>
                </c:pt>
                <c:pt idx="42">
                  <c:v>1476663</c:v>
                </c:pt>
                <c:pt idx="43">
                  <c:v>2295288</c:v>
                </c:pt>
                <c:pt idx="44">
                  <c:v>1844441</c:v>
                </c:pt>
                <c:pt idx="45">
                  <c:v>1248442.946191224</c:v>
                </c:pt>
                <c:pt idx="46">
                  <c:v>1134098.414512618</c:v>
                </c:pt>
                <c:pt idx="47">
                  <c:v>4069680.1971950848</c:v>
                </c:pt>
                <c:pt idx="48">
                  <c:v>3083677.2941336296</c:v>
                </c:pt>
                <c:pt idx="49">
                  <c:v>821323.89458584297</c:v>
                </c:pt>
                <c:pt idx="50">
                  <c:v>3396137.3550203633</c:v>
                </c:pt>
                <c:pt idx="51">
                  <c:v>2701922.5280034388</c:v>
                </c:pt>
                <c:pt idx="52">
                  <c:v>2006286.4153176486</c:v>
                </c:pt>
                <c:pt idx="53">
                  <c:v>3352861.1030926574</c:v>
                </c:pt>
                <c:pt idx="54">
                  <c:v>1804337.1315494739</c:v>
                </c:pt>
                <c:pt idx="55">
                  <c:v>2683669.7926117284</c:v>
                </c:pt>
                <c:pt idx="56">
                  <c:v>1382634.3049989361</c:v>
                </c:pt>
                <c:pt idx="57">
                  <c:v>1231940.0157277284</c:v>
                </c:pt>
                <c:pt idx="58">
                  <c:v>816921.59766111372</c:v>
                </c:pt>
                <c:pt idx="59">
                  <c:v>661736.70499843312</c:v>
                </c:pt>
                <c:pt idx="60">
                  <c:v>1420924.6212415406</c:v>
                </c:pt>
                <c:pt idx="61">
                  <c:v>1702019.9096711003</c:v>
                </c:pt>
                <c:pt idx="62">
                  <c:v>1601307.957646556</c:v>
                </c:pt>
                <c:pt idx="63">
                  <c:v>1507866.1449047895</c:v>
                </c:pt>
                <c:pt idx="64">
                  <c:v>1452703.6357440299</c:v>
                </c:pt>
                <c:pt idx="65">
                  <c:v>2944872.5193175911</c:v>
                </c:pt>
                <c:pt idx="66">
                  <c:v>1072321.8899999999</c:v>
                </c:pt>
                <c:pt idx="67">
                  <c:v>789466.79299999995</c:v>
                </c:pt>
                <c:pt idx="68">
                  <c:v>326141.64</c:v>
                </c:pt>
                <c:pt idx="69">
                  <c:v>674438.89</c:v>
                </c:pt>
                <c:pt idx="70">
                  <c:v>527027</c:v>
                </c:pt>
                <c:pt idx="71">
                  <c:v>1158175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B2-411B-BC75-6B9ADB8CD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8176"/>
        <c:axId val="121773104"/>
      </c:scatterChart>
      <c:valAx>
        <c:axId val="1301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3104"/>
        <c:crosses val="autoZero"/>
        <c:crossBetween val="midCat"/>
      </c:valAx>
      <c:valAx>
        <c:axId val="121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run size (catch+escapement)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Yield vs retro 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data'!$AR$7:$AR$19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</c:numCache>
            </c:numRef>
          </c:xVal>
          <c:yVal>
            <c:numRef>
              <c:f>'Orig data'!$AS$7:$AS$19</c:f>
              <c:numCache>
                <c:formatCode>General</c:formatCode>
                <c:ptCount val="13"/>
                <c:pt idx="0">
                  <c:v>26591286.282524522</c:v>
                </c:pt>
                <c:pt idx="1">
                  <c:v>26591286.282524522</c:v>
                </c:pt>
                <c:pt idx="2">
                  <c:v>26591286.282524522</c:v>
                </c:pt>
                <c:pt idx="3">
                  <c:v>26591286.282524522</c:v>
                </c:pt>
                <c:pt idx="4">
                  <c:v>26591286.282524522</c:v>
                </c:pt>
                <c:pt idx="5">
                  <c:v>26591286.282524522</c:v>
                </c:pt>
                <c:pt idx="6">
                  <c:v>26591286.282524522</c:v>
                </c:pt>
                <c:pt idx="7">
                  <c:v>26591286.282524522</c:v>
                </c:pt>
                <c:pt idx="8">
                  <c:v>26591286.282524522</c:v>
                </c:pt>
                <c:pt idx="9">
                  <c:v>26591286.282524522</c:v>
                </c:pt>
                <c:pt idx="10">
                  <c:v>26591286.282524522</c:v>
                </c:pt>
                <c:pt idx="11">
                  <c:v>26591286.282524522</c:v>
                </c:pt>
                <c:pt idx="12">
                  <c:v>26591286.282524522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4-467F-BC5C-F25826AF8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241120"/>
        <c:axId val="1983803568"/>
      </c:scatterChart>
      <c:valAx>
        <c:axId val="198324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Exploitation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03568"/>
        <c:crosses val="autoZero"/>
        <c:crossBetween val="midCat"/>
      </c:valAx>
      <c:valAx>
        <c:axId val="19838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1951-2022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4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and historical run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data'!$AK$4</c:f>
              <c:strCache>
                <c:ptCount val="1"/>
                <c:pt idx="0">
                  <c:v>retro run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data'!$AK$5:$AK$76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 formatCode="#,##0.00">
                  <c:v>357389.09999999992</c:v>
                </c:pt>
                <c:pt idx="5" formatCode="#,##0.00">
                  <c:v>282627</c:v>
                </c:pt>
                <c:pt idx="6" formatCode="#,##0.00">
                  <c:v>308362.99999999994</c:v>
                </c:pt>
                <c:pt idx="7" formatCode="#,##0.00">
                  <c:v>544065.93186850043</c:v>
                </c:pt>
                <c:pt idx="8" formatCode="#,##0.00">
                  <c:v>614926.64487554599</c:v>
                </c:pt>
                <c:pt idx="9" formatCode="#,##0.00">
                  <c:v>387046.89724664099</c:v>
                </c:pt>
                <c:pt idx="10" formatCode="#,##0.00">
                  <c:v>251616.14214615227</c:v>
                </c:pt>
                <c:pt idx="11" formatCode="#,##0.00">
                  <c:v>241416.59881504547</c:v>
                </c:pt>
                <c:pt idx="12" formatCode="#,##0.00">
                  <c:v>327640.48668735276</c:v>
                </c:pt>
                <c:pt idx="13" formatCode="#,##0.00">
                  <c:v>366907.12082483614</c:v>
                </c:pt>
                <c:pt idx="14" formatCode="#,##0.00">
                  <c:v>168080.14817022541</c:v>
                </c:pt>
                <c:pt idx="15" formatCode="#,##0.00">
                  <c:v>408137.8468236422</c:v>
                </c:pt>
                <c:pt idx="16" formatCode="#,##0.00">
                  <c:v>314854.74380164361</c:v>
                </c:pt>
                <c:pt idx="17" formatCode="#,##0.00">
                  <c:v>1137747.2860377347</c:v>
                </c:pt>
                <c:pt idx="18" formatCode="#,##0.00">
                  <c:v>569626.99035989505</c:v>
                </c:pt>
                <c:pt idx="19" formatCode="#,##0.00">
                  <c:v>723902.38431985653</c:v>
                </c:pt>
                <c:pt idx="20" formatCode="#,##0.00">
                  <c:v>369685.00141850073</c:v>
                </c:pt>
                <c:pt idx="21" formatCode="#,##0.00">
                  <c:v>1335366.4493599997</c:v>
                </c:pt>
                <c:pt idx="22" formatCode="#,##0.00">
                  <c:v>1486677.9961585803</c:v>
                </c:pt>
                <c:pt idx="23" formatCode="#,##0.00">
                  <c:v>706353.48170722672</c:v>
                </c:pt>
                <c:pt idx="24" formatCode="#,##0.00">
                  <c:v>479931.4784806252</c:v>
                </c:pt>
                <c:pt idx="25" formatCode="#,##0.00">
                  <c:v>994075.48987078632</c:v>
                </c:pt>
                <c:pt idx="26" formatCode="#,##0.00">
                  <c:v>714340.4547522486</c:v>
                </c:pt>
                <c:pt idx="27" formatCode="#,##0.00">
                  <c:v>1170866.0084676552</c:v>
                </c:pt>
                <c:pt idx="28" formatCode="#,##0.00">
                  <c:v>305527.49775302288</c:v>
                </c:pt>
                <c:pt idx="29" formatCode="#,##0.00">
                  <c:v>902200.16125222784</c:v>
                </c:pt>
                <c:pt idx="30" formatCode="#,##0.00">
                  <c:v>496309.57123742858</c:v>
                </c:pt>
                <c:pt idx="31" formatCode="#,##0.00">
                  <c:v>717475.26979736437</c:v>
                </c:pt>
                <c:pt idx="32" formatCode="#,##0.00">
                  <c:v>466288.34473084798</c:v>
                </c:pt>
                <c:pt idx="33" formatCode="#,##0.00">
                  <c:v>608862.3007138829</c:v>
                </c:pt>
                <c:pt idx="34" formatCode="#,##0.00">
                  <c:v>1827484.5645123832</c:v>
                </c:pt>
                <c:pt idx="35" formatCode="#,##0.00">
                  <c:v>1570122.7310952323</c:v>
                </c:pt>
                <c:pt idx="36" formatCode="#,##0.00">
                  <c:v>478298.90081635024</c:v>
                </c:pt>
                <c:pt idx="37" formatCode="#,##0.00">
                  <c:v>1031497.6766307169</c:v>
                </c:pt>
                <c:pt idx="38" formatCode="#,##0.00">
                  <c:v>1092698.4667264996</c:v>
                </c:pt>
                <c:pt idx="39" formatCode="#,##0.00">
                  <c:v>1590057.2213418295</c:v>
                </c:pt>
                <c:pt idx="40" formatCode="#,##0.00">
                  <c:v>1448841.0143012691</c:v>
                </c:pt>
                <c:pt idx="41" formatCode="#,##0.00">
                  <c:v>1552362.3730925554</c:v>
                </c:pt>
                <c:pt idx="42" formatCode="#,##0.00">
                  <c:v>1474817.6983316527</c:v>
                </c:pt>
                <c:pt idx="43" formatCode="#,##0.00">
                  <c:v>2292293.5496719992</c:v>
                </c:pt>
                <c:pt idx="44" formatCode="#,##0.00">
                  <c:v>1842445.1840150789</c:v>
                </c:pt>
                <c:pt idx="45" formatCode="#,##0.00">
                  <c:v>1247525.1793623904</c:v>
                </c:pt>
                <c:pt idx="46" formatCode="#,##0.00">
                  <c:v>1133685.8245013235</c:v>
                </c:pt>
                <c:pt idx="47" formatCode="#,##0.00">
                  <c:v>4069562.5432835938</c:v>
                </c:pt>
                <c:pt idx="48" formatCode="#,##0.00">
                  <c:v>3083507.8780233189</c:v>
                </c:pt>
                <c:pt idx="49" formatCode="#,##0.00">
                  <c:v>821194.304927652</c:v>
                </c:pt>
                <c:pt idx="50" formatCode="#,##0.00">
                  <c:v>3395840.9212409169</c:v>
                </c:pt>
                <c:pt idx="51" formatCode="#,##0.00">
                  <c:v>2701980.7562391218</c:v>
                </c:pt>
                <c:pt idx="52" formatCode="#,##0.00">
                  <c:v>2003453.7036245412</c:v>
                </c:pt>
                <c:pt idx="53" formatCode="#,##0.00">
                  <c:v>3348300.0367474952</c:v>
                </c:pt>
                <c:pt idx="54" formatCode="#,##0.00">
                  <c:v>1794323.8982165304</c:v>
                </c:pt>
                <c:pt idx="55" formatCode="#,##0.00">
                  <c:v>2683639.5726586096</c:v>
                </c:pt>
                <c:pt idx="56" formatCode="#,##0.00">
                  <c:v>1382600.7638578219</c:v>
                </c:pt>
                <c:pt idx="57" formatCode="#,##0.00">
                  <c:v>1232707.4700926775</c:v>
                </c:pt>
                <c:pt idx="58" formatCode="#,##0.00">
                  <c:v>816443.22330445587</c:v>
                </c:pt>
                <c:pt idx="59" formatCode="#,##0.00">
                  <c:v>659539.7334426723</c:v>
                </c:pt>
                <c:pt idx="60" formatCode="#,##0.00">
                  <c:v>1420920.271489149</c:v>
                </c:pt>
                <c:pt idx="61" formatCode="#,##0.00">
                  <c:v>1702180.4100898972</c:v>
                </c:pt>
                <c:pt idx="62" formatCode="#,##0.00">
                  <c:v>1587914.8449579652</c:v>
                </c:pt>
                <c:pt idx="63" formatCode="#,##0.00">
                  <c:v>1505232.4783333885</c:v>
                </c:pt>
                <c:pt idx="64" formatCode="#,##0.00">
                  <c:v>1449275.9871404259</c:v>
                </c:pt>
                <c:pt idx="65" formatCode="#,##0.00">
                  <c:v>2938495.2258277331</c:v>
                </c:pt>
                <c:pt idx="66" formatCode="#,##0.00">
                  <c:v>1068450.2983042465</c:v>
                </c:pt>
                <c:pt idx="67" formatCode="#,##0.00">
                  <c:v>787555.98977639445</c:v>
                </c:pt>
                <c:pt idx="68" formatCode="#,##0.00">
                  <c:v>325911.25786833616</c:v>
                </c:pt>
                <c:pt idx="69" formatCode="#,##0.00">
                  <c:v>674495.91978459386</c:v>
                </c:pt>
                <c:pt idx="70" formatCode="#,##0.00">
                  <c:v>700998.23639917164</c:v>
                </c:pt>
                <c:pt idx="71" formatCode="#,##0.00">
                  <c:v>1154090.649235846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E7-4472-AFFE-16094E052EB3}"/>
            </c:ext>
          </c:extLst>
        </c:ser>
        <c:ser>
          <c:idx val="1"/>
          <c:order val="1"/>
          <c:tx>
            <c:strRef>
              <c:f>'Orig data'!$R$4</c:f>
              <c:strCache>
                <c:ptCount val="1"/>
                <c:pt idx="0">
                  <c:v>total Stock, hr from Grant then Brittany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data'!$R$5:$R$76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>
                  <c:v>397099</c:v>
                </c:pt>
                <c:pt idx="5">
                  <c:v>282627</c:v>
                </c:pt>
                <c:pt idx="6">
                  <c:v>308363</c:v>
                </c:pt>
                <c:pt idx="7">
                  <c:v>559829</c:v>
                </c:pt>
                <c:pt idx="8">
                  <c:v>651622</c:v>
                </c:pt>
                <c:pt idx="9">
                  <c:v>390714</c:v>
                </c:pt>
                <c:pt idx="10">
                  <c:v>253644</c:v>
                </c:pt>
                <c:pt idx="11">
                  <c:v>249239</c:v>
                </c:pt>
                <c:pt idx="12">
                  <c:v>339884</c:v>
                </c:pt>
                <c:pt idx="13">
                  <c:v>371556</c:v>
                </c:pt>
                <c:pt idx="14">
                  <c:v>170472</c:v>
                </c:pt>
                <c:pt idx="15">
                  <c:v>419759</c:v>
                </c:pt>
                <c:pt idx="16">
                  <c:v>323003</c:v>
                </c:pt>
                <c:pt idx="17">
                  <c:v>1153257</c:v>
                </c:pt>
                <c:pt idx="18">
                  <c:v>578493</c:v>
                </c:pt>
                <c:pt idx="19">
                  <c:v>739355</c:v>
                </c:pt>
                <c:pt idx="20">
                  <c:v>376364</c:v>
                </c:pt>
                <c:pt idx="21">
                  <c:v>1349820</c:v>
                </c:pt>
                <c:pt idx="22">
                  <c:v>1506960</c:v>
                </c:pt>
                <c:pt idx="23">
                  <c:v>717854</c:v>
                </c:pt>
                <c:pt idx="24">
                  <c:v>486199</c:v>
                </c:pt>
                <c:pt idx="25">
                  <c:v>1003722</c:v>
                </c:pt>
                <c:pt idx="26">
                  <c:v>722536</c:v>
                </c:pt>
                <c:pt idx="27">
                  <c:v>1185223</c:v>
                </c:pt>
                <c:pt idx="28">
                  <c:v>308732</c:v>
                </c:pt>
                <c:pt idx="29">
                  <c:v>909353</c:v>
                </c:pt>
                <c:pt idx="30">
                  <c:v>500271</c:v>
                </c:pt>
                <c:pt idx="31">
                  <c:v>724011</c:v>
                </c:pt>
                <c:pt idx="32">
                  <c:v>470101</c:v>
                </c:pt>
                <c:pt idx="33">
                  <c:v>612803</c:v>
                </c:pt>
                <c:pt idx="34">
                  <c:v>1839044</c:v>
                </c:pt>
                <c:pt idx="35">
                  <c:v>1580868</c:v>
                </c:pt>
                <c:pt idx="36">
                  <c:v>481076</c:v>
                </c:pt>
                <c:pt idx="37">
                  <c:v>1035111</c:v>
                </c:pt>
                <c:pt idx="38">
                  <c:v>1094661</c:v>
                </c:pt>
                <c:pt idx="39">
                  <c:v>1594885</c:v>
                </c:pt>
                <c:pt idx="40">
                  <c:v>1454169</c:v>
                </c:pt>
                <c:pt idx="41">
                  <c:v>1555718</c:v>
                </c:pt>
                <c:pt idx="42">
                  <c:v>1476663</c:v>
                </c:pt>
                <c:pt idx="43">
                  <c:v>2295288</c:v>
                </c:pt>
                <c:pt idx="44">
                  <c:v>1844441</c:v>
                </c:pt>
                <c:pt idx="45">
                  <c:v>1248442.946191224</c:v>
                </c:pt>
                <c:pt idx="46">
                  <c:v>1134098.414512618</c:v>
                </c:pt>
                <c:pt idx="47">
                  <c:v>4069680.1971950848</c:v>
                </c:pt>
                <c:pt idx="48">
                  <c:v>3083677.2941336296</c:v>
                </c:pt>
                <c:pt idx="49">
                  <c:v>821323.89458584297</c:v>
                </c:pt>
                <c:pt idx="50">
                  <c:v>3396137.3550203633</c:v>
                </c:pt>
                <c:pt idx="51">
                  <c:v>2701922.5280034388</c:v>
                </c:pt>
                <c:pt idx="52">
                  <c:v>2006286.4153176486</c:v>
                </c:pt>
                <c:pt idx="53">
                  <c:v>3352861.1030926574</c:v>
                </c:pt>
                <c:pt idx="54">
                  <c:v>1804337.1315494739</c:v>
                </c:pt>
                <c:pt idx="55">
                  <c:v>2683669.7926117284</c:v>
                </c:pt>
                <c:pt idx="56">
                  <c:v>1382634.3049989361</c:v>
                </c:pt>
                <c:pt idx="57">
                  <c:v>1231940.0157277284</c:v>
                </c:pt>
                <c:pt idx="58">
                  <c:v>816921.59766111372</c:v>
                </c:pt>
                <c:pt idx="59">
                  <c:v>661736.70499843312</c:v>
                </c:pt>
                <c:pt idx="60">
                  <c:v>1420924.6212415406</c:v>
                </c:pt>
                <c:pt idx="61">
                  <c:v>1702019.9096711003</c:v>
                </c:pt>
                <c:pt idx="62">
                  <c:v>1601307.957646556</c:v>
                </c:pt>
                <c:pt idx="63">
                  <c:v>1507866.1449047895</c:v>
                </c:pt>
                <c:pt idx="64">
                  <c:v>1452703.6357440299</c:v>
                </c:pt>
                <c:pt idx="65">
                  <c:v>2944872.5193175911</c:v>
                </c:pt>
                <c:pt idx="66">
                  <c:v>1072321.8899999999</c:v>
                </c:pt>
                <c:pt idx="67">
                  <c:v>789466.79299999995</c:v>
                </c:pt>
                <c:pt idx="68">
                  <c:v>326141.64</c:v>
                </c:pt>
                <c:pt idx="69">
                  <c:v>674438.89</c:v>
                </c:pt>
                <c:pt idx="70">
                  <c:v>527027</c:v>
                </c:pt>
                <c:pt idx="71">
                  <c:v>1158175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E7-4472-AFFE-16094E05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8176"/>
        <c:axId val="121773104"/>
      </c:scatterChart>
      <c:valAx>
        <c:axId val="1301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3104"/>
        <c:crosses val="autoZero"/>
        <c:crossBetween val="midCat"/>
      </c:valAx>
      <c:valAx>
        <c:axId val="121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run size (catch+escapement)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data'!$AO$4</c:f>
              <c:strCache>
                <c:ptCount val="1"/>
                <c:pt idx="0">
                  <c:v>retro Yield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data'!$AO$5:$AO$76</c:f>
              <c:numCache>
                <c:formatCode>0</c:formatCode>
                <c:ptCount val="72"/>
                <c:pt idx="0">
                  <c:v>1016014</c:v>
                </c:pt>
                <c:pt idx="1">
                  <c:v>750750</c:v>
                </c:pt>
                <c:pt idx="2">
                  <c:v>780497</c:v>
                </c:pt>
                <c:pt idx="3">
                  <c:v>1010142</c:v>
                </c:pt>
                <c:pt idx="4">
                  <c:v>257939.09999999995</c:v>
                </c:pt>
                <c:pt idx="5">
                  <c:v>249677</c:v>
                </c:pt>
                <c:pt idx="6">
                  <c:v>223707.99999999997</c:v>
                </c:pt>
                <c:pt idx="7">
                  <c:v>457183.16175647703</c:v>
                </c:pt>
                <c:pt idx="8">
                  <c:v>471203.24693234323</c:v>
                </c:pt>
                <c:pt idx="9">
                  <c:v>243623.76964649564</c:v>
                </c:pt>
                <c:pt idx="10">
                  <c:v>148526.97192399783</c:v>
                </c:pt>
                <c:pt idx="11">
                  <c:v>115150.87165463765</c:v>
                </c:pt>
                <c:pt idx="12">
                  <c:v>142320.6559121173</c:v>
                </c:pt>
                <c:pt idx="13">
                  <c:v>123253.32462872873</c:v>
                </c:pt>
                <c:pt idx="14">
                  <c:v>40437.556413401937</c:v>
                </c:pt>
                <c:pt idx="15">
                  <c:v>57316.979343877989</c:v>
                </c:pt>
                <c:pt idx="16">
                  <c:v>106377.02495355575</c:v>
                </c:pt>
                <c:pt idx="17">
                  <c:v>476434.27189162269</c:v>
                </c:pt>
                <c:pt idx="18">
                  <c:v>265146.10993595433</c:v>
                </c:pt>
                <c:pt idx="19">
                  <c:v>445593.24629695923</c:v>
                </c:pt>
                <c:pt idx="20">
                  <c:v>84708.592844507133</c:v>
                </c:pt>
                <c:pt idx="21">
                  <c:v>916608.93772911991</c:v>
                </c:pt>
                <c:pt idx="22">
                  <c:v>1223192.5956077802</c:v>
                </c:pt>
                <c:pt idx="23">
                  <c:v>361650.77064861712</c:v>
                </c:pt>
                <c:pt idx="24">
                  <c:v>290979.04622395395</c:v>
                </c:pt>
                <c:pt idx="25">
                  <c:v>656831.10986882308</c:v>
                </c:pt>
                <c:pt idx="26">
                  <c:v>121797.62990799523</c:v>
                </c:pt>
                <c:pt idx="27">
                  <c:v>816224.57105055847</c:v>
                </c:pt>
                <c:pt idx="28">
                  <c:v>52546.866135321266</c:v>
                </c:pt>
                <c:pt idx="29">
                  <c:v>590659.1262141586</c:v>
                </c:pt>
                <c:pt idx="30">
                  <c:v>62773.952757701918</c:v>
                </c:pt>
                <c:pt idx="31">
                  <c:v>393983.07203050476</c:v>
                </c:pt>
                <c:pt idx="32">
                  <c:v>97533.507109597733</c:v>
                </c:pt>
                <c:pt idx="33">
                  <c:v>70866.336487284978</c:v>
                </c:pt>
                <c:pt idx="34">
                  <c:v>452374.58332174714</c:v>
                </c:pt>
                <c:pt idx="35">
                  <c:v>579574.63154801226</c:v>
                </c:pt>
                <c:pt idx="36">
                  <c:v>116727.25816782296</c:v>
                </c:pt>
                <c:pt idx="37">
                  <c:v>504875.42773566593</c:v>
                </c:pt>
                <c:pt idx="38">
                  <c:v>354377.52278234228</c:v>
                </c:pt>
                <c:pt idx="39">
                  <c:v>730694.44396637008</c:v>
                </c:pt>
                <c:pt idx="40">
                  <c:v>346546.60526753194</c:v>
                </c:pt>
                <c:pt idx="41">
                  <c:v>518737.68312349846</c:v>
                </c:pt>
                <c:pt idx="42">
                  <c:v>490570.19532373641</c:v>
                </c:pt>
                <c:pt idx="43">
                  <c:v>628388.12911302154</c:v>
                </c:pt>
                <c:pt idx="44">
                  <c:v>215665.38196866773</c:v>
                </c:pt>
                <c:pt idx="45">
                  <c:v>62217.174883168656</c:v>
                </c:pt>
                <c:pt idx="46">
                  <c:v>88251.29661656532</c:v>
                </c:pt>
                <c:pt idx="47">
                  <c:v>508622.49256158061</c:v>
                </c:pt>
                <c:pt idx="48">
                  <c:v>96415.996782757808</c:v>
                </c:pt>
                <c:pt idx="49">
                  <c:v>121328.74814156536</c:v>
                </c:pt>
                <c:pt idx="50">
                  <c:v>244223.03601300344</c:v>
                </c:pt>
                <c:pt idx="51">
                  <c:v>399681.14121344592</c:v>
                </c:pt>
                <c:pt idx="52">
                  <c:v>511072.80221197219</c:v>
                </c:pt>
                <c:pt idx="53">
                  <c:v>635361.61122211162</c:v>
                </c:pt>
                <c:pt idx="54">
                  <c:v>470329.45571025438</c:v>
                </c:pt>
                <c:pt idx="55">
                  <c:v>713040.76319576101</c:v>
                </c:pt>
                <c:pt idx="56">
                  <c:v>325378.41149598081</c:v>
                </c:pt>
                <c:pt idx="57">
                  <c:v>250079.70940950431</c:v>
                </c:pt>
                <c:pt idx="58">
                  <c:v>342171.11111107277</c:v>
                </c:pt>
                <c:pt idx="59">
                  <c:v>52842.682441538549</c:v>
                </c:pt>
                <c:pt idx="60">
                  <c:v>341855.57474573539</c:v>
                </c:pt>
                <c:pt idx="61">
                  <c:v>320978.17504791613</c:v>
                </c:pt>
                <c:pt idx="62">
                  <c:v>429843.48475169903</c:v>
                </c:pt>
                <c:pt idx="63">
                  <c:v>341688.30166735384</c:v>
                </c:pt>
                <c:pt idx="64">
                  <c:v>500654.54942613363</c:v>
                </c:pt>
                <c:pt idx="65">
                  <c:v>967387.03961937246</c:v>
                </c:pt>
                <c:pt idx="66">
                  <c:v>411165.00971290062</c:v>
                </c:pt>
                <c:pt idx="67">
                  <c:v>104338.64196565736</c:v>
                </c:pt>
                <c:pt idx="68">
                  <c:v>22309.869463818381</c:v>
                </c:pt>
                <c:pt idx="69">
                  <c:v>132073.0570030472</c:v>
                </c:pt>
                <c:pt idx="70">
                  <c:v>36896.954193453072</c:v>
                </c:pt>
                <c:pt idx="71">
                  <c:v>100896.92369264271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E-4398-AFEE-918946288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931407"/>
        <c:axId val="1147373151"/>
      </c:scatterChart>
      <c:valAx>
        <c:axId val="115493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73151"/>
        <c:crosses val="autoZero"/>
        <c:crossBetween val="midCat"/>
      </c:valAx>
      <c:valAx>
        <c:axId val="11473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3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 vs run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'policy compare'!$T$1</c:f>
              <c:strCache>
                <c:ptCount val="1"/>
                <c:pt idx="0">
                  <c:v>Historical 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'policy compare'!$S$2:$S$73</c:f>
              <c:numCache>
                <c:formatCode>General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>
                  <c:v>357389.09999999992</c:v>
                </c:pt>
                <c:pt idx="5">
                  <c:v>282627</c:v>
                </c:pt>
                <c:pt idx="6">
                  <c:v>308362.99999999994</c:v>
                </c:pt>
                <c:pt idx="7">
                  <c:v>544065.93186850043</c:v>
                </c:pt>
                <c:pt idx="8">
                  <c:v>614926.64487554599</c:v>
                </c:pt>
                <c:pt idx="9">
                  <c:v>387046.89724664099</c:v>
                </c:pt>
                <c:pt idx="10">
                  <c:v>251616.14214615227</c:v>
                </c:pt>
                <c:pt idx="11">
                  <c:v>241416.59881504547</c:v>
                </c:pt>
                <c:pt idx="12">
                  <c:v>327640.48668735276</c:v>
                </c:pt>
                <c:pt idx="13">
                  <c:v>366907.12082483614</c:v>
                </c:pt>
                <c:pt idx="14">
                  <c:v>168080.14817022541</c:v>
                </c:pt>
                <c:pt idx="15">
                  <c:v>408137.8468236422</c:v>
                </c:pt>
                <c:pt idx="16">
                  <c:v>314854.74380164361</c:v>
                </c:pt>
                <c:pt idx="17">
                  <c:v>1137747.2860377347</c:v>
                </c:pt>
                <c:pt idx="18">
                  <c:v>569626.99035989505</c:v>
                </c:pt>
                <c:pt idx="19">
                  <c:v>723902.38431985653</c:v>
                </c:pt>
                <c:pt idx="20">
                  <c:v>369685.00141850073</c:v>
                </c:pt>
                <c:pt idx="21">
                  <c:v>1335366.4493599997</c:v>
                </c:pt>
                <c:pt idx="22">
                  <c:v>1486677.9961585803</c:v>
                </c:pt>
                <c:pt idx="23">
                  <c:v>706353.48170722672</c:v>
                </c:pt>
                <c:pt idx="24">
                  <c:v>479931.4784806252</c:v>
                </c:pt>
                <c:pt idx="25">
                  <c:v>994075.48987078632</c:v>
                </c:pt>
                <c:pt idx="26">
                  <c:v>714340.4547522486</c:v>
                </c:pt>
                <c:pt idx="27">
                  <c:v>1170866.0084676552</c:v>
                </c:pt>
                <c:pt idx="28">
                  <c:v>305527.49775302288</c:v>
                </c:pt>
                <c:pt idx="29">
                  <c:v>902200.16125222784</c:v>
                </c:pt>
                <c:pt idx="30">
                  <c:v>496309.57123742858</c:v>
                </c:pt>
                <c:pt idx="31">
                  <c:v>717475.26979736437</c:v>
                </c:pt>
                <c:pt idx="32">
                  <c:v>466288.34473084798</c:v>
                </c:pt>
                <c:pt idx="33">
                  <c:v>608862.3007138829</c:v>
                </c:pt>
                <c:pt idx="34">
                  <c:v>1827484.5645123832</c:v>
                </c:pt>
                <c:pt idx="35">
                  <c:v>1570122.7310952323</c:v>
                </c:pt>
                <c:pt idx="36">
                  <c:v>478298.90081635024</c:v>
                </c:pt>
                <c:pt idx="37">
                  <c:v>1031497.6766307169</c:v>
                </c:pt>
                <c:pt idx="38">
                  <c:v>1092698.4667264996</c:v>
                </c:pt>
                <c:pt idx="39">
                  <c:v>1590057.2213418295</c:v>
                </c:pt>
                <c:pt idx="40">
                  <c:v>1448841.0143012691</c:v>
                </c:pt>
                <c:pt idx="41">
                  <c:v>1552362.3730925554</c:v>
                </c:pt>
                <c:pt idx="42">
                  <c:v>1474817.6983316527</c:v>
                </c:pt>
                <c:pt idx="43">
                  <c:v>2292293.5496719992</c:v>
                </c:pt>
                <c:pt idx="44">
                  <c:v>1842445.1840150789</c:v>
                </c:pt>
                <c:pt idx="45">
                  <c:v>1247525.1793623904</c:v>
                </c:pt>
                <c:pt idx="46">
                  <c:v>1133685.8245013235</c:v>
                </c:pt>
                <c:pt idx="47">
                  <c:v>4069562.5432835938</c:v>
                </c:pt>
                <c:pt idx="48">
                  <c:v>3083507.8780233189</c:v>
                </c:pt>
                <c:pt idx="49">
                  <c:v>821194.304927652</c:v>
                </c:pt>
                <c:pt idx="50">
                  <c:v>3395840.9212409169</c:v>
                </c:pt>
                <c:pt idx="51">
                  <c:v>2701980.7562391218</c:v>
                </c:pt>
                <c:pt idx="52">
                  <c:v>2003453.7036245412</c:v>
                </c:pt>
                <c:pt idx="53">
                  <c:v>3348300.0367474952</c:v>
                </c:pt>
                <c:pt idx="54">
                  <c:v>1794323.8982165304</c:v>
                </c:pt>
                <c:pt idx="55">
                  <c:v>2683639.5726586096</c:v>
                </c:pt>
                <c:pt idx="56">
                  <c:v>1382600.7638578219</c:v>
                </c:pt>
                <c:pt idx="57">
                  <c:v>1232707.4700926775</c:v>
                </c:pt>
                <c:pt idx="58">
                  <c:v>816443.22330445587</c:v>
                </c:pt>
                <c:pt idx="59">
                  <c:v>659539.7334426723</c:v>
                </c:pt>
                <c:pt idx="60">
                  <c:v>1420920.271489149</c:v>
                </c:pt>
                <c:pt idx="61">
                  <c:v>1702180.4100898972</c:v>
                </c:pt>
                <c:pt idx="62">
                  <c:v>1587914.8449579652</c:v>
                </c:pt>
                <c:pt idx="63">
                  <c:v>1505232.4783333885</c:v>
                </c:pt>
                <c:pt idx="64">
                  <c:v>1449275.9871404259</c:v>
                </c:pt>
                <c:pt idx="65">
                  <c:v>2938495.2258277331</c:v>
                </c:pt>
                <c:pt idx="66">
                  <c:v>1068450.2983042465</c:v>
                </c:pt>
                <c:pt idx="67">
                  <c:v>787555.98977639445</c:v>
                </c:pt>
                <c:pt idx="68">
                  <c:v>325911.25786833616</c:v>
                </c:pt>
                <c:pt idx="69">
                  <c:v>674495.91978459386</c:v>
                </c:pt>
                <c:pt idx="70">
                  <c:v>700998.23639917164</c:v>
                </c:pt>
                <c:pt idx="71">
                  <c:v>1154090.649235846</c:v>
                </c:pt>
              </c:numCache>
            </c:numRef>
          </c:xVal>
          <c:yVal>
            <c:numRef>
              <c:f>'policy compare'!$T$2:$T$73</c:f>
              <c:numCache>
                <c:formatCode>General</c:formatCode>
                <c:ptCount val="72"/>
                <c:pt idx="0">
                  <c:v>0.85541857259886223</c:v>
                </c:pt>
                <c:pt idx="1">
                  <c:v>0.80987055016181231</c:v>
                </c:pt>
                <c:pt idx="2">
                  <c:v>0.85010162048180959</c:v>
                </c:pt>
                <c:pt idx="3">
                  <c:v>0.92122785146057928</c:v>
                </c:pt>
                <c:pt idx="4">
                  <c:v>0.72173186031694869</c:v>
                </c:pt>
                <c:pt idx="5">
                  <c:v>0.88341524341269584</c:v>
                </c:pt>
                <c:pt idx="6">
                  <c:v>0.72546965751403381</c:v>
                </c:pt>
                <c:pt idx="7">
                  <c:v>0.84030837988028484</c:v>
                </c:pt>
                <c:pt idx="8">
                  <c:v>0.76627554011374688</c:v>
                </c:pt>
                <c:pt idx="9">
                  <c:v>0.62944250781901845</c:v>
                </c:pt>
                <c:pt idx="10">
                  <c:v>0.59029190518995134</c:v>
                </c:pt>
                <c:pt idx="11">
                  <c:v>0.47697992689747593</c:v>
                </c:pt>
                <c:pt idx="12">
                  <c:v>0.43438055336526582</c:v>
                </c:pt>
                <c:pt idx="13">
                  <c:v>0.33592513645318611</c:v>
                </c:pt>
                <c:pt idx="14">
                  <c:v>0.24058496409967622</c:v>
                </c:pt>
                <c:pt idx="15">
                  <c:v>0.14043534504322719</c:v>
                </c:pt>
                <c:pt idx="16">
                  <c:v>0.33786063906527186</c:v>
                </c:pt>
                <c:pt idx="17">
                  <c:v>0.41875228158164224</c:v>
                </c:pt>
                <c:pt idx="18">
                  <c:v>0.4654732209378506</c:v>
                </c:pt>
                <c:pt idx="19">
                  <c:v>0.61554327758654503</c:v>
                </c:pt>
                <c:pt idx="20">
                  <c:v>0.22913721822490996</c:v>
                </c:pt>
                <c:pt idx="21">
                  <c:v>0.6864100398571662</c:v>
                </c:pt>
                <c:pt idx="22">
                  <c:v>0.82276901842119232</c:v>
                </c:pt>
                <c:pt idx="23">
                  <c:v>0.51199686844400116</c:v>
                </c:pt>
                <c:pt idx="24">
                  <c:v>0.60629289653002161</c:v>
                </c:pt>
                <c:pt idx="25">
                  <c:v>0.66074570448789605</c:v>
                </c:pt>
                <c:pt idx="26">
                  <c:v>0.17050361504478673</c:v>
                </c:pt>
                <c:pt idx="27">
                  <c:v>0.69711185152498722</c:v>
                </c:pt>
                <c:pt idx="28">
                  <c:v>0.17198735472837279</c:v>
                </c:pt>
                <c:pt idx="29">
                  <c:v>0.65468745360712499</c:v>
                </c:pt>
                <c:pt idx="30">
                  <c:v>0.12648144705569586</c:v>
                </c:pt>
                <c:pt idx="31">
                  <c:v>0.54912425363703044</c:v>
                </c:pt>
                <c:pt idx="32">
                  <c:v>0.2091699443311118</c:v>
                </c:pt>
                <c:pt idx="33">
                  <c:v>0.11639140147812588</c:v>
                </c:pt>
                <c:pt idx="34">
                  <c:v>0.24753948247023994</c:v>
                </c:pt>
                <c:pt idx="35">
                  <c:v>0.36912696063175421</c:v>
                </c:pt>
                <c:pt idx="36">
                  <c:v>0.24404667869525809</c:v>
                </c:pt>
                <c:pt idx="37">
                  <c:v>0.48945861844768335</c:v>
                </c:pt>
                <c:pt idx="38">
                  <c:v>0.32431410272221262</c:v>
                </c:pt>
                <c:pt idx="39">
                  <c:v>0.45953971602968235</c:v>
                </c:pt>
                <c:pt idx="40">
                  <c:v>0.23918884256231565</c:v>
                </c:pt>
                <c:pt idx="41">
                  <c:v>0.3341601755588095</c:v>
                </c:pt>
                <c:pt idx="42">
                  <c:v>0.3326310742532318</c:v>
                </c:pt>
                <c:pt idx="43">
                  <c:v>0.2741307408917748</c:v>
                </c:pt>
                <c:pt idx="44">
                  <c:v>0.1170538932934152</c:v>
                </c:pt>
                <c:pt idx="45">
                  <c:v>4.9872480261254348E-2</c:v>
                </c:pt>
                <c:pt idx="46">
                  <c:v>7.7844579785042778E-2</c:v>
                </c:pt>
                <c:pt idx="47">
                  <c:v>0.12498210487046357</c:v>
                </c:pt>
                <c:pt idx="48">
                  <c:v>3.1268282941623315E-2</c:v>
                </c:pt>
                <c:pt idx="49">
                  <c:v>0.147746699427311</c:v>
                </c:pt>
                <c:pt idx="50">
                  <c:v>7.1918279353250347E-2</c:v>
                </c:pt>
                <c:pt idx="51">
                  <c:v>0.14792153507775563</c:v>
                </c:pt>
                <c:pt idx="52">
                  <c:v>0.25509588830895702</c:v>
                </c:pt>
                <c:pt idx="53">
                  <c:v>0.18975647470329315</c:v>
                </c:pt>
                <c:pt idx="54">
                  <c:v>0.2621207108581336</c:v>
                </c:pt>
                <c:pt idx="55">
                  <c:v>0.26569915366442842</c:v>
                </c:pt>
                <c:pt idx="56">
                  <c:v>0.23533793702535577</c:v>
                </c:pt>
                <c:pt idx="57">
                  <c:v>0.20287027983265393</c:v>
                </c:pt>
                <c:pt idx="58">
                  <c:v>0.41909970141729669</c:v>
                </c:pt>
                <c:pt idx="59">
                  <c:v>8.0120544316124476E-2</c:v>
                </c:pt>
                <c:pt idx="60">
                  <c:v>0.24058744294460999</c:v>
                </c:pt>
                <c:pt idx="61">
                  <c:v>0.18856883391753065</c:v>
                </c:pt>
                <c:pt idx="62">
                  <c:v>0.27069681105165166</c:v>
                </c:pt>
                <c:pt idx="63">
                  <c:v>0.22700035149764719</c:v>
                </c:pt>
                <c:pt idx="64">
                  <c:v>0.34545149017060428</c:v>
                </c:pt>
                <c:pt idx="65">
                  <c:v>0.32921171050971265</c:v>
                </c:pt>
                <c:pt idx="66">
                  <c:v>0.38482371184271913</c:v>
                </c:pt>
                <c:pt idx="67">
                  <c:v>0.13248409423599394</c:v>
                </c:pt>
                <c:pt idx="68">
                  <c:v>6.8453816568776693E-2</c:v>
                </c:pt>
                <c:pt idx="69">
                  <c:v>0.1958100162343841</c:v>
                </c:pt>
                <c:pt idx="70">
                  <c:v>5.2634874494096096E-2</c:v>
                </c:pt>
                <c:pt idx="71">
                  <c:v>8.7425475424698362E-2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E3-464B-81F5-1A87C4DC3659}"/>
            </c:ext>
          </c:extLst>
        </c:ser>
        <c:ser>
          <c:idx val="1"/>
          <c:order val="1"/>
          <c:tx>
            <c:v>Const U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'policy compare'!$I$1:$I$2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4000000</c:v>
                </c:pt>
              </c:numCache>
            </c:numRef>
          </c:xVal>
          <c:yVal>
            <c:numRef>
              <c:f>'policy compare'!$J$1:$J$2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3-464B-81F5-1A87C4DC3659}"/>
            </c:ext>
          </c:extLst>
        </c:ser>
        <c:ser>
          <c:idx val="2"/>
          <c:order val="2"/>
          <c:tx>
            <c:v>Max Yield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'policy compare'!$L$1:$L$15</c:f>
              <c:numCache>
                <c:formatCode>General</c:formatCode>
                <c:ptCount val="15"/>
                <c:pt idx="0">
                  <c:v>0</c:v>
                </c:pt>
                <c:pt idx="1">
                  <c:v>841001</c:v>
                </c:pt>
                <c:pt idx="2">
                  <c:v>1091001</c:v>
                </c:pt>
                <c:pt idx="3">
                  <c:v>1341001</c:v>
                </c:pt>
                <c:pt idx="4">
                  <c:v>1591001</c:v>
                </c:pt>
                <c:pt idx="5">
                  <c:v>1841001</c:v>
                </c:pt>
                <c:pt idx="6">
                  <c:v>2091001</c:v>
                </c:pt>
                <c:pt idx="7">
                  <c:v>2341001</c:v>
                </c:pt>
                <c:pt idx="8">
                  <c:v>2591001</c:v>
                </c:pt>
                <c:pt idx="9">
                  <c:v>2841001</c:v>
                </c:pt>
                <c:pt idx="10">
                  <c:v>3091001</c:v>
                </c:pt>
                <c:pt idx="11">
                  <c:v>3341001</c:v>
                </c:pt>
                <c:pt idx="12">
                  <c:v>3591001</c:v>
                </c:pt>
                <c:pt idx="13">
                  <c:v>3841001</c:v>
                </c:pt>
                <c:pt idx="14">
                  <c:v>4091001</c:v>
                </c:pt>
              </c:numCache>
            </c:numRef>
          </c:xVal>
          <c:yVal>
            <c:numRef>
              <c:f>'policy compare'!$M$1:$M$15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0.23304286613852782</c:v>
                </c:pt>
                <c:pt idx="3">
                  <c:v>0.37919434810264863</c:v>
                </c:pt>
                <c:pt idx="4">
                  <c:v>0.47941516064414785</c:v>
                </c:pt>
                <c:pt idx="5">
                  <c:v>0.55241686452098604</c:v>
                </c:pt>
                <c:pt idx="6">
                  <c:v>0.60796240652204359</c:v>
                </c:pt>
                <c:pt idx="7">
                  <c:v>0.65164431796483635</c:v>
                </c:pt>
                <c:pt idx="8">
                  <c:v>0.68689668587545882</c:v>
                </c:pt>
                <c:pt idx="9">
                  <c:v>0.71594483775260898</c:v>
                </c:pt>
                <c:pt idx="10">
                  <c:v>0.74029416360589984</c:v>
                </c:pt>
                <c:pt idx="11">
                  <c:v>0.76099947291245928</c:v>
                </c:pt>
                <c:pt idx="12">
                  <c:v>0.77882183825624096</c:v>
                </c:pt>
                <c:pt idx="13">
                  <c:v>0.79432418788748027</c:v>
                </c:pt>
                <c:pt idx="14">
                  <c:v>0.80793184846447108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E3-464B-81F5-1A87C4DC3659}"/>
            </c:ext>
          </c:extLst>
        </c:ser>
        <c:ser>
          <c:idx val="3"/>
          <c:order val="3"/>
          <c:tx>
            <c:v>Max Utility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'policy compare'!$O$1:$O$16</c:f>
              <c:numCache>
                <c:formatCode>General</c:formatCode>
                <c:ptCount val="16"/>
                <c:pt idx="0">
                  <c:v>0</c:v>
                </c:pt>
                <c:pt idx="1">
                  <c:v>487692</c:v>
                </c:pt>
                <c:pt idx="2">
                  <c:v>737692</c:v>
                </c:pt>
                <c:pt idx="3">
                  <c:v>987692</c:v>
                </c:pt>
                <c:pt idx="4">
                  <c:v>1237692</c:v>
                </c:pt>
                <c:pt idx="5">
                  <c:v>1487692</c:v>
                </c:pt>
                <c:pt idx="6">
                  <c:v>1737692</c:v>
                </c:pt>
                <c:pt idx="7">
                  <c:v>1987692</c:v>
                </c:pt>
                <c:pt idx="8">
                  <c:v>2237692</c:v>
                </c:pt>
                <c:pt idx="9">
                  <c:v>2487692</c:v>
                </c:pt>
                <c:pt idx="10">
                  <c:v>2737692</c:v>
                </c:pt>
                <c:pt idx="11">
                  <c:v>2987692</c:v>
                </c:pt>
                <c:pt idx="12">
                  <c:v>3237692</c:v>
                </c:pt>
                <c:pt idx="13">
                  <c:v>3487692</c:v>
                </c:pt>
                <c:pt idx="14">
                  <c:v>3737692</c:v>
                </c:pt>
                <c:pt idx="15">
                  <c:v>3987692</c:v>
                </c:pt>
              </c:numCache>
            </c:numRef>
          </c:xVal>
          <c:yVal>
            <c:numRef>
              <c:f>'policy compare'!$P$1:$P$16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0.26298238289150483</c:v>
                </c:pt>
                <c:pt idx="3">
                  <c:v>0.39283501334424092</c:v>
                </c:pt>
                <c:pt idx="4">
                  <c:v>0.47023007339467332</c:v>
                </c:pt>
                <c:pt idx="5">
                  <c:v>0.52161334469769283</c:v>
                </c:pt>
                <c:pt idx="6">
                  <c:v>0.55821169689450145</c:v>
                </c:pt>
                <c:pt idx="7">
                  <c:v>0.58560380582102256</c:v>
                </c:pt>
                <c:pt idx="8">
                  <c:v>0.60687529829842535</c:v>
                </c:pt>
                <c:pt idx="9">
                  <c:v>0.62387144389257188</c:v>
                </c:pt>
                <c:pt idx="10">
                  <c:v>0.63776348836903496</c:v>
                </c:pt>
                <c:pt idx="11">
                  <c:v>0.64933065389605082</c:v>
                </c:pt>
                <c:pt idx="12">
                  <c:v>0.65911149053090901</c:v>
                </c:pt>
                <c:pt idx="13">
                  <c:v>0.66749013387650058</c:v>
                </c:pt>
                <c:pt idx="14">
                  <c:v>0.67474794605869082</c:v>
                </c:pt>
                <c:pt idx="15">
                  <c:v>0.68109573156602865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E3-464B-81F5-1A87C4DC3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041391"/>
        <c:axId val="834473967"/>
      </c:scatterChart>
      <c:valAx>
        <c:axId val="82804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73967"/>
        <c:crosses val="autoZero"/>
        <c:crossBetween val="midCat"/>
      </c:valAx>
      <c:valAx>
        <c:axId val="8344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Exploitation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04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Utility vs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'policy compare'!$F$9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F3D3117-FE1C-4468-929B-C57A2C322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3B6-4303-BECE-6EFE92F73B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A67F9AE-0195-4A40-9B52-A44B632B91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3B6-4303-BECE-6EFE92F73B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E501FEC-A078-464F-BEAD-DB91E9F08F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3B6-4303-BECE-6EFE92F73B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528A630-B66E-42CE-AAD3-398C6A06A8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3B6-4303-BECE-6EFE92F73B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'policy compare'!$E$10:$E$13</c:f>
              <c:numCache>
                <c:formatCode>General</c:formatCode>
                <c:ptCount val="4"/>
                <c:pt idx="0">
                  <c:v>0.42431139815479518</c:v>
                </c:pt>
                <c:pt idx="1">
                  <c:v>0.81956536290388893</c:v>
                </c:pt>
                <c:pt idx="2">
                  <c:v>1</c:v>
                </c:pt>
                <c:pt idx="3">
                  <c:v>0.94630287046865524</c:v>
                </c:pt>
              </c:numCache>
            </c:numRef>
          </c:xVal>
          <c:yVal>
            <c:numRef>
              <c:f>'policy compare'!$F$10:$F$13</c:f>
              <c:numCache>
                <c:formatCode>General</c:formatCode>
                <c:ptCount val="4"/>
                <c:pt idx="0">
                  <c:v>0.62209008022977519</c:v>
                </c:pt>
                <c:pt idx="1">
                  <c:v>0.96018385055073152</c:v>
                </c:pt>
                <c:pt idx="2">
                  <c:v>0.94656707445517452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'policy compare'!$D$10:$D$13</c15:f>
                <c15:dlblRangeCache>
                  <c:ptCount val="4"/>
                  <c:pt idx="0">
                    <c:v>hist</c:v>
                  </c:pt>
                  <c:pt idx="1">
                    <c:v>umsy</c:v>
                  </c:pt>
                  <c:pt idx="2">
                    <c:v>maxY</c:v>
                  </c:pt>
                  <c:pt idx="3">
                    <c:v>maxU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3B6-4303-BECE-6EFE92F73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570959"/>
        <c:axId val="834471055"/>
      </c:scatterChart>
      <c:valAx>
        <c:axId val="96857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71055"/>
        <c:crosses val="autoZero"/>
        <c:crossBetween val="midCat"/>
      </c:valAx>
      <c:valAx>
        <c:axId val="8344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Utility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57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464820</xdr:colOff>
      <xdr:row>12</xdr:row>
      <xdr:rowOff>45720</xdr:rowOff>
    </xdr:from>
    <xdr:to>
      <xdr:col>78</xdr:col>
      <xdr:colOff>160020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B3448-E897-457D-8219-5D07562B1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555171</xdr:colOff>
      <xdr:row>77</xdr:row>
      <xdr:rowOff>87087</xdr:rowOff>
    </xdr:from>
    <xdr:to>
      <xdr:col>19</xdr:col>
      <xdr:colOff>107868</xdr:colOff>
      <xdr:row>92</xdr:row>
      <xdr:rowOff>117155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E2BD5A-74F1-4752-9CE8-4C2CEA251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130628</xdr:colOff>
      <xdr:row>84</xdr:row>
      <xdr:rowOff>125183</xdr:rowOff>
    </xdr:from>
    <xdr:to>
      <xdr:col>9</xdr:col>
      <xdr:colOff>957940</xdr:colOff>
      <xdr:row>105</xdr:row>
      <xdr:rowOff>83273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DC7844-AE23-48F0-99E0-9D38E4A1D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103413</xdr:colOff>
      <xdr:row>77</xdr:row>
      <xdr:rowOff>27214</xdr:rowOff>
    </xdr:from>
    <xdr:to>
      <xdr:col>51</xdr:col>
      <xdr:colOff>745670</xdr:colOff>
      <xdr:row>101</xdr:row>
      <xdr:rowOff>87085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2E5C1A-AD3A-45A2-B625-BF947E98C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446314</xdr:colOff>
      <xdr:row>77</xdr:row>
      <xdr:rowOff>54429</xdr:rowOff>
    </xdr:from>
    <xdr:to>
      <xdr:col>27</xdr:col>
      <xdr:colOff>772885</xdr:colOff>
      <xdr:row>101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8242B27-9737-4655-89F1-9229DBCE3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446314</xdr:colOff>
      <xdr:row>101</xdr:row>
      <xdr:rowOff>97972</xdr:rowOff>
    </xdr:from>
    <xdr:to>
      <xdr:col>27</xdr:col>
      <xdr:colOff>772885</xdr:colOff>
      <xdr:row>125</xdr:row>
      <xdr:rowOff>157842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01AD62-D4B1-4FC1-9B4B-2B65B8160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94</xdr:row>
      <xdr:rowOff>0</xdr:rowOff>
    </xdr:from>
    <xdr:to>
      <xdr:col>17</xdr:col>
      <xdr:colOff>342407</xdr:colOff>
      <xdr:row>109</xdr:row>
      <xdr:rowOff>30068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056B62-1CF3-4697-919A-E5C4BD6C8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43543</xdr:colOff>
      <xdr:row>10</xdr:row>
      <xdr:rowOff>57150</xdr:rowOff>
    </xdr:from>
    <xdr:to>
      <xdr:col>8</xdr:col>
      <xdr:colOff>740229</xdr:colOff>
      <xdr:row>25</xdr:row>
      <xdr:rowOff>24493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538717-4BF0-4D17-90E4-521BB2080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881745</xdr:colOff>
      <xdr:row>7</xdr:row>
      <xdr:rowOff>57152</xdr:rowOff>
    </xdr:from>
    <xdr:to>
      <xdr:col>16</xdr:col>
      <xdr:colOff>250373</xdr:colOff>
      <xdr:row>22</xdr:row>
      <xdr:rowOff>24495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FA1CAC0-98D8-401E-BE44-45FAD353A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620484</xdr:colOff>
      <xdr:row>47</xdr:row>
      <xdr:rowOff>43541</xdr:rowOff>
    </xdr:from>
    <xdr:to>
      <xdr:col>12</xdr:col>
      <xdr:colOff>364669</xdr:colOff>
      <xdr:row>65</xdr:row>
      <xdr:rowOff>146956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D683950-25C9-4FC1-B4BD-905AD787E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810985</xdr:colOff>
      <xdr:row>24</xdr:row>
      <xdr:rowOff>21780</xdr:rowOff>
    </xdr:from>
    <xdr:to>
      <xdr:col>7</xdr:col>
      <xdr:colOff>674913</xdr:colOff>
      <xdr:row>38</xdr:row>
      <xdr:rowOff>59872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330F96F-DE56-4ED6-88F4-5BEA5F8F5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157842</xdr:colOff>
      <xdr:row>11</xdr:row>
      <xdr:rowOff>27216</xdr:rowOff>
    </xdr:from>
    <xdr:to>
      <xdr:col>22</xdr:col>
      <xdr:colOff>97970</xdr:colOff>
      <xdr:row>27</xdr:row>
      <xdr:rowOff>70749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BAD651C-BDE9-4465-A380-9E10EF704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201386</xdr:colOff>
      <xdr:row>10</xdr:row>
      <xdr:rowOff>174172</xdr:rowOff>
    </xdr:from>
    <xdr:to>
      <xdr:col>30</xdr:col>
      <xdr:colOff>854529</xdr:colOff>
      <xdr:row>30</xdr:row>
      <xdr:rowOff>304791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7B3B382-2B75-4EE3-8080-C15C06A17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38</xdr:col>
      <xdr:colOff>179615</xdr:colOff>
      <xdr:row>23</xdr:row>
      <xdr:rowOff>43542</xdr:rowOff>
    </xdr:from>
    <xdr:to>
      <xdr:col>46</xdr:col>
      <xdr:colOff>600347</xdr:colOff>
      <xdr:row>41</xdr:row>
      <xdr:rowOff>65324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35A1F27-665D-4855-BB86-96BFCB29E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794657</xdr:colOff>
      <xdr:row>5</xdr:row>
      <xdr:rowOff>190503</xdr:rowOff>
    </xdr:from>
    <xdr:to>
      <xdr:col>46</xdr:col>
      <xdr:colOff>339089</xdr:colOff>
      <xdr:row>24</xdr:row>
      <xdr:rowOff>119755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05CD392-292B-49ED-908A-AEBD62118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604157</xdr:colOff>
      <xdr:row>6</xdr:row>
      <xdr:rowOff>163286</xdr:rowOff>
    </xdr:from>
    <xdr:to>
      <xdr:col>53</xdr:col>
      <xdr:colOff>266699</xdr:colOff>
      <xdr:row>21</xdr:row>
      <xdr:rowOff>130628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4FFA475-EBD7-426F-B99D-C4319363C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78</xdr:row>
      <xdr:rowOff>0</xdr:rowOff>
    </xdr:from>
    <xdr:to>
      <xdr:col>11</xdr:col>
      <xdr:colOff>164918</xdr:colOff>
      <xdr:row>98</xdr:row>
      <xdr:rowOff>108868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CBD8EE4-88CF-417B-89C7-7F24868CA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47</xdr:col>
      <xdr:colOff>16329</xdr:colOff>
      <xdr:row>18</xdr:row>
      <xdr:rowOff>35379</xdr:rowOff>
    </xdr:from>
    <xdr:to>
      <xdr:col>53</xdr:col>
      <xdr:colOff>446314</xdr:colOff>
      <xdr:row>30</xdr:row>
      <xdr:rowOff>557893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DAB6B5-554F-4F36-AE36-7CC01DA63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</xdr:row>
      <xdr:rowOff>167640</xdr:rowOff>
    </xdr:from>
    <xdr:to>
      <xdr:col>14</xdr:col>
      <xdr:colOff>186690</xdr:colOff>
      <xdr:row>22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FC9A9A-DCB3-46D0-9D39-46248A47B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339090</xdr:colOff>
      <xdr:row>9</xdr:row>
      <xdr:rowOff>110490</xdr:rowOff>
    </xdr:from>
    <xdr:to>
      <xdr:col>6</xdr:col>
      <xdr:colOff>541020</xdr:colOff>
      <xdr:row>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6F152-263A-436E-AC4C-725FBEA43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3471-D828-4F1C-B0E7-C80085A14480}">
  <dimension ref="A1:DM81"/>
  <sheetViews>
    <sheetView topLeftCell="AJ1" zoomScale="70" zoomScaleNormal="70" workbookViewId="0">
      <pane ySplit="4" topLeftCell="A5" activePane="bottomLeft" state="frozen"/>
      <selection pane="bottomLeft" activeCell="AO5" sqref="AO5"/>
    </sheetView>
  </sheetViews>
  <sheetFormatPr defaultRowHeight="14.4" x14ac:dyDescent="0.55000000000000004"/>
  <cols>
    <col min="3" max="3" width="13.7890625" customWidth="1"/>
    <col min="4" max="4" width="11.1015625" customWidth="1"/>
    <col min="5" max="10" width="13.3671875" customWidth="1"/>
    <col min="12" max="12" width="11.1015625" customWidth="1"/>
    <col min="13" max="13" width="11.89453125" customWidth="1"/>
    <col min="17" max="17" width="11.89453125" customWidth="1"/>
    <col min="18" max="20" width="11.5234375" customWidth="1"/>
    <col min="21" max="21" width="9.62890625" customWidth="1"/>
    <col min="22" max="22" width="10.62890625" customWidth="1"/>
    <col min="23" max="23" width="10.89453125" customWidth="1"/>
    <col min="25" max="38" width="12.1015625" customWidth="1"/>
    <col min="39" max="39" width="10.3671875" customWidth="1"/>
    <col min="40" max="40" width="12.1015625" customWidth="1"/>
    <col min="41" max="41" width="10.3671875" customWidth="1"/>
    <col min="42" max="42" width="9.62890625" bestFit="1" customWidth="1"/>
    <col min="43" max="43" width="9.15625" customWidth="1"/>
    <col min="44" max="44" width="12.89453125" customWidth="1"/>
    <col min="45" max="45" width="10.89453125" customWidth="1"/>
    <col min="47" max="47" width="11.3671875" bestFit="1" customWidth="1"/>
    <col min="51" max="51" width="11.15625" customWidth="1"/>
    <col min="52" max="52" width="10.62890625" customWidth="1"/>
    <col min="56" max="56" width="9.62890625" customWidth="1"/>
    <col min="57" max="57" width="11.1015625" customWidth="1"/>
    <col min="59" max="59" width="14.3671875" customWidth="1"/>
    <col min="60" max="60" width="11.47265625" bestFit="1" customWidth="1"/>
    <col min="64" max="64" width="10.3671875" customWidth="1"/>
    <col min="66" max="66" width="11.5234375" customWidth="1"/>
    <col min="68" max="68" width="9.62890625" customWidth="1"/>
    <col min="70" max="70" width="14.62890625" customWidth="1"/>
    <col min="80" max="80" width="12.1015625" customWidth="1"/>
    <col min="82" max="82" width="12.62890625" customWidth="1"/>
    <col min="84" max="84" width="10.3671875" customWidth="1"/>
    <col min="89" max="91" width="12.89453125" customWidth="1"/>
    <col min="92" max="92" width="12.5234375" customWidth="1"/>
    <col min="93" max="93" width="10.7890625" customWidth="1"/>
    <col min="99" max="99" width="10.3671875" customWidth="1"/>
    <col min="100" max="100" width="10.1015625" customWidth="1"/>
    <col min="110" max="110" width="11.1015625" customWidth="1"/>
    <col min="111" max="111" width="12.89453125" customWidth="1"/>
    <col min="112" max="113" width="10.62890625" customWidth="1"/>
    <col min="117" max="117" width="25.3671875" bestFit="1" customWidth="1"/>
  </cols>
  <sheetData>
    <row r="1" spans="1:95" ht="18.3" x14ac:dyDescent="0.7">
      <c r="A1" t="s">
        <v>88</v>
      </c>
      <c r="B1">
        <f>INTERCEPT(I5:I71,G5:G71)</f>
        <v>1.129052963556473</v>
      </c>
      <c r="C1" t="s">
        <v>90</v>
      </c>
      <c r="D1" s="46">
        <f>aa/bb*(1-0.07*aa)</f>
        <v>1688967.3715327287</v>
      </c>
      <c r="E1" t="s">
        <v>92</v>
      </c>
      <c r="F1" s="46">
        <f>D1/(1-D2)</f>
        <v>3218878.620993257</v>
      </c>
      <c r="G1" s="45"/>
      <c r="H1" s="45"/>
      <c r="I1" s="45"/>
      <c r="J1" s="45"/>
      <c r="U1" s="9" t="s">
        <v>58</v>
      </c>
      <c r="V1" s="9" t="s">
        <v>59</v>
      </c>
      <c r="W1" s="9" t="s">
        <v>60</v>
      </c>
      <c r="X1" s="9" t="s">
        <v>61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63" t="s">
        <v>111</v>
      </c>
      <c r="AK1" s="9"/>
      <c r="AL1" s="9"/>
      <c r="AM1" s="9"/>
      <c r="AN1" s="9"/>
      <c r="AO1" s="9"/>
      <c r="AQ1" s="61" t="s">
        <v>110</v>
      </c>
      <c r="AW1" s="61" t="s">
        <v>116</v>
      </c>
      <c r="AX1" s="65">
        <f>SUMPRODUCT(AO5:AO76^0.6)</f>
        <v>146494.56168974325</v>
      </c>
    </row>
    <row r="2" spans="1:95" ht="18.3" x14ac:dyDescent="0.7">
      <c r="A2" t="s">
        <v>89</v>
      </c>
      <c r="B2">
        <f>-SLOPE(I5:I71,G5:G71)</f>
        <v>6.1565412065761012E-7</v>
      </c>
      <c r="C2" t="s">
        <v>91</v>
      </c>
      <c r="D2">
        <f>0.5*aa-0.07*aa^2</f>
        <v>0.4752932401621407</v>
      </c>
      <c r="E2" t="s">
        <v>93</v>
      </c>
      <c r="F2" s="46">
        <f>F1-D1</f>
        <v>1529911.2494605284</v>
      </c>
      <c r="G2" s="45" t="s">
        <v>86</v>
      </c>
      <c r="H2" s="45"/>
      <c r="I2" s="45"/>
      <c r="J2" s="45"/>
      <c r="U2" s="44">
        <v>0.3</v>
      </c>
      <c r="V2" s="44">
        <v>0.6</v>
      </c>
      <c r="W2" s="44">
        <v>0.1</v>
      </c>
      <c r="X2" s="44">
        <v>0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64" t="s">
        <v>101</v>
      </c>
      <c r="AN2" s="61">
        <v>0.5</v>
      </c>
      <c r="AQ2" s="61" t="s">
        <v>109</v>
      </c>
      <c r="AR2" s="62">
        <v>1</v>
      </c>
      <c r="AS2" s="61" t="s">
        <v>112</v>
      </c>
      <c r="AW2">
        <f>retroY</f>
        <v>26591286.282524522</v>
      </c>
      <c r="AX2">
        <f>retroUtil</f>
        <v>146494.56168974325</v>
      </c>
    </row>
    <row r="3" spans="1:95" ht="18.3" x14ac:dyDescent="0.7">
      <c r="A3" t="s">
        <v>76</v>
      </c>
      <c r="G3" s="45" t="s">
        <v>84</v>
      </c>
      <c r="H3" s="45"/>
      <c r="I3" s="45"/>
      <c r="J3" s="45"/>
      <c r="K3" t="s">
        <v>71</v>
      </c>
      <c r="U3" t="s">
        <v>66</v>
      </c>
      <c r="AM3" s="61" t="s">
        <v>102</v>
      </c>
      <c r="AN3" s="66">
        <f>SUM(AO5:AO76)</f>
        <v>26591286.282524522</v>
      </c>
      <c r="AO3" t="s">
        <v>103</v>
      </c>
      <c r="AP3" s="5">
        <f>SUM(R5:R76)-SUM(G5:G76)</f>
        <v>26787905.697125509</v>
      </c>
      <c r="AR3" t="s">
        <v>115</v>
      </c>
      <c r="AS3" s="61" t="s">
        <v>113</v>
      </c>
      <c r="AT3" s="61">
        <v>0.77633553480640249</v>
      </c>
      <c r="AU3" s="61" t="s">
        <v>114</v>
      </c>
      <c r="AV3" s="61">
        <v>487692.73401100759</v>
      </c>
      <c r="AY3" t="s">
        <v>5</v>
      </c>
      <c r="AZ3" t="s">
        <v>6</v>
      </c>
      <c r="BA3" t="s">
        <v>7</v>
      </c>
      <c r="BC3" t="s">
        <v>8</v>
      </c>
      <c r="BD3" t="s">
        <v>14</v>
      </c>
      <c r="BE3" t="s">
        <v>9</v>
      </c>
      <c r="BF3" t="s">
        <v>3</v>
      </c>
      <c r="BG3" s="13" t="s">
        <v>17</v>
      </c>
      <c r="BH3" s="17" t="s">
        <v>19</v>
      </c>
      <c r="BI3" t="s">
        <v>12</v>
      </c>
      <c r="BJ3" t="s">
        <v>5</v>
      </c>
      <c r="BK3" t="s">
        <v>22</v>
      </c>
      <c r="BM3" t="s">
        <v>12</v>
      </c>
      <c r="BP3" t="s">
        <v>5</v>
      </c>
      <c r="BQ3" t="s">
        <v>22</v>
      </c>
    </row>
    <row r="4" spans="1:95" ht="58.5" x14ac:dyDescent="0.7">
      <c r="A4" t="s">
        <v>51</v>
      </c>
      <c r="B4" t="s">
        <v>72</v>
      </c>
      <c r="C4" t="s">
        <v>81</v>
      </c>
      <c r="D4" s="9" t="s">
        <v>85</v>
      </c>
      <c r="E4" t="s">
        <v>79</v>
      </c>
      <c r="F4" t="s">
        <v>51</v>
      </c>
      <c r="G4" s="45" t="s">
        <v>81</v>
      </c>
      <c r="H4" s="45" t="s">
        <v>62</v>
      </c>
      <c r="I4" s="45" t="s">
        <v>80</v>
      </c>
      <c r="J4" s="45" t="s">
        <v>87</v>
      </c>
      <c r="K4" t="s">
        <v>29</v>
      </c>
      <c r="L4" t="s">
        <v>30</v>
      </c>
      <c r="M4" t="s">
        <v>57</v>
      </c>
      <c r="O4" s="9" t="s">
        <v>51</v>
      </c>
      <c r="P4" s="9" t="s">
        <v>1</v>
      </c>
      <c r="Q4" s="9" t="s">
        <v>44</v>
      </c>
      <c r="R4" s="9" t="s">
        <v>74</v>
      </c>
      <c r="S4" s="9" t="s">
        <v>99</v>
      </c>
      <c r="T4" s="9" t="s">
        <v>77</v>
      </c>
      <c r="U4" s="9" t="s">
        <v>58</v>
      </c>
      <c r="V4" s="9" t="s">
        <v>59</v>
      </c>
      <c r="W4" s="9" t="s">
        <v>60</v>
      </c>
      <c r="X4" s="9" t="s">
        <v>61</v>
      </c>
      <c r="Y4" s="21" t="s">
        <v>94</v>
      </c>
      <c r="Z4" s="21"/>
      <c r="AA4" s="21"/>
      <c r="AB4" s="21"/>
      <c r="AC4" s="21"/>
      <c r="AD4" s="21" t="s">
        <v>75</v>
      </c>
      <c r="AE4" s="21" t="s">
        <v>98</v>
      </c>
      <c r="AF4" s="21" t="s">
        <v>97</v>
      </c>
      <c r="AG4" s="21" t="s">
        <v>95</v>
      </c>
      <c r="AH4" s="21" t="s">
        <v>96</v>
      </c>
      <c r="AI4" s="21"/>
      <c r="AJ4" s="21" t="s">
        <v>100</v>
      </c>
      <c r="AK4" s="21" t="s">
        <v>104</v>
      </c>
      <c r="AL4" s="21" t="s">
        <v>105</v>
      </c>
      <c r="AM4" s="9" t="s">
        <v>106</v>
      </c>
      <c r="AN4" s="9" t="s">
        <v>107</v>
      </c>
      <c r="AO4" s="9" t="s">
        <v>108</v>
      </c>
      <c r="AP4" s="21"/>
      <c r="AQ4" s="21"/>
      <c r="AW4" t="s">
        <v>51</v>
      </c>
      <c r="AX4" t="s">
        <v>1</v>
      </c>
      <c r="AY4" t="s">
        <v>10</v>
      </c>
      <c r="AZ4" t="s">
        <v>2</v>
      </c>
      <c r="BA4" t="s">
        <v>11</v>
      </c>
      <c r="BB4" t="s">
        <v>13</v>
      </c>
      <c r="BC4" t="s">
        <v>20</v>
      </c>
      <c r="BD4" t="s">
        <v>15</v>
      </c>
      <c r="BE4" t="s">
        <v>3</v>
      </c>
      <c r="BF4" t="s">
        <v>16</v>
      </c>
      <c r="BG4" s="13" t="s">
        <v>18</v>
      </c>
      <c r="BH4" s="17" t="s">
        <v>4</v>
      </c>
      <c r="BI4" t="s">
        <v>23</v>
      </c>
      <c r="BJ4" t="s">
        <v>21</v>
      </c>
      <c r="BK4" t="s">
        <v>23</v>
      </c>
      <c r="BL4" t="s">
        <v>24</v>
      </c>
      <c r="BM4" t="s">
        <v>31</v>
      </c>
      <c r="BN4" t="s">
        <v>32</v>
      </c>
      <c r="BP4" t="s">
        <v>21</v>
      </c>
      <c r="BQ4" t="s">
        <v>23</v>
      </c>
      <c r="BR4" t="s">
        <v>24</v>
      </c>
    </row>
    <row r="5" spans="1:95" x14ac:dyDescent="0.55000000000000004">
      <c r="A5" s="37" t="str">
        <f>O5</f>
        <v>Cass</v>
      </c>
      <c r="B5" s="37">
        <f>K5</f>
        <v>1951</v>
      </c>
      <c r="C5" s="36">
        <f>L5</f>
        <v>171725</v>
      </c>
      <c r="D5" s="31">
        <f>M5</f>
        <v>498986</v>
      </c>
      <c r="E5" s="26">
        <f>LN(D5/C5)</f>
        <v>1.0666836791457688</v>
      </c>
      <c r="F5" s="26" t="str">
        <f>A5</f>
        <v>Cass</v>
      </c>
      <c r="G5" s="5">
        <f>Q5</f>
        <v>171725</v>
      </c>
      <c r="H5" s="5">
        <f>Y5</f>
        <v>595477.19999999995</v>
      </c>
      <c r="I5" s="26">
        <f>LN(H5/G5)</f>
        <v>1.2434687408087852</v>
      </c>
      <c r="J5" s="26">
        <f t="shared" ref="J5:J36" si="0">I5-(aa-bb*G5)</f>
        <v>0.22013898112224028</v>
      </c>
      <c r="K5">
        <v>1951</v>
      </c>
      <c r="L5" s="5">
        <v>171725</v>
      </c>
      <c r="M5" s="31">
        <v>498986</v>
      </c>
      <c r="O5" t="str">
        <f>AW5</f>
        <v>Cass</v>
      </c>
      <c r="P5">
        <f>AX5</f>
        <v>1951</v>
      </c>
      <c r="Q5" s="36">
        <f>BG5</f>
        <v>171725</v>
      </c>
      <c r="R5" s="40">
        <f>BH5</f>
        <v>1187739</v>
      </c>
      <c r="S5" s="57">
        <f>1-Q5/R5</f>
        <v>0.85541857259886223</v>
      </c>
      <c r="T5" s="5"/>
      <c r="U5" s="5">
        <f>$R8*U$2</f>
        <v>328955.09999999998</v>
      </c>
      <c r="V5" s="5">
        <f>$R9*V$2</f>
        <v>238259.4</v>
      </c>
      <c r="W5" s="5">
        <f>$R10*W$2</f>
        <v>28262.7</v>
      </c>
      <c r="X5" s="5">
        <f>$R11*X$2</f>
        <v>0</v>
      </c>
      <c r="Y5" s="12">
        <f>SUM(U5:X5)</f>
        <v>595477.19999999995</v>
      </c>
      <c r="Z5" s="29"/>
      <c r="AA5" s="29"/>
      <c r="AB5" s="29"/>
      <c r="AC5" s="29"/>
      <c r="AD5" s="12">
        <f>Y5</f>
        <v>595477.19999999995</v>
      </c>
      <c r="AE5" s="12">
        <f>B5</f>
        <v>1951</v>
      </c>
      <c r="AF5" s="56">
        <f>U5/$Y5</f>
        <v>0.5524226620263547</v>
      </c>
      <c r="AG5" s="56">
        <f>V5/$Y5</f>
        <v>0.4001150673778946</v>
      </c>
      <c r="AH5" s="56">
        <f t="shared" ref="AH5" si="1">W5/$Y5</f>
        <v>4.7462270595750776E-2</v>
      </c>
      <c r="AI5" s="56"/>
      <c r="AJ5" s="68">
        <f>B5</f>
        <v>1951</v>
      </c>
      <c r="AK5" s="31">
        <f>R5</f>
        <v>1187739</v>
      </c>
      <c r="AL5" s="56">
        <f>CHOOSE(umethod,S5,retroU,MAX(0,cslope*(AK5-nlim)/AK5))</f>
        <v>0.85541857259886223</v>
      </c>
      <c r="AM5">
        <f>AK5*(1-AL5)</f>
        <v>171724.99999999997</v>
      </c>
      <c r="AN5" s="59">
        <f t="shared" ref="AN5:AN36" si="2">AM5*EXP(aa-bb*AM5+J5)</f>
        <v>595477.19999999984</v>
      </c>
      <c r="AO5" s="59">
        <f>AK5-AM5</f>
        <v>1016014</v>
      </c>
      <c r="AP5" s="5"/>
      <c r="AQ5" s="5"/>
      <c r="AW5" t="s">
        <v>52</v>
      </c>
      <c r="AX5" s="19">
        <v>1951</v>
      </c>
      <c r="AY5" s="3">
        <v>523874</v>
      </c>
      <c r="AZ5" s="4" t="s">
        <v>0</v>
      </c>
      <c r="BA5" s="4">
        <v>302</v>
      </c>
      <c r="BB5" s="4">
        <v>0</v>
      </c>
      <c r="BC5" s="4">
        <v>23</v>
      </c>
      <c r="BD5" s="3">
        <v>491815</v>
      </c>
      <c r="BE5" s="3">
        <v>1016014</v>
      </c>
      <c r="BF5" s="1">
        <v>0.86</v>
      </c>
      <c r="BG5" s="16">
        <v>171725</v>
      </c>
      <c r="BH5" s="18">
        <v>1187739</v>
      </c>
      <c r="BI5" s="7">
        <f>BE5/BH5</f>
        <v>0.85541857259886223</v>
      </c>
      <c r="BJ5" s="1">
        <f>AY5/BH5</f>
        <v>0.44106828183632935</v>
      </c>
      <c r="BK5" s="2">
        <f>BA5/(BH5-AY5)</f>
        <v>4.5491176669955487E-4</v>
      </c>
      <c r="BL5" s="1">
        <f>BD5/(BH5-AY5-BA5-BC5)</f>
        <v>0.74119872200620907</v>
      </c>
      <c r="BM5" s="8">
        <f>BE5/BH5</f>
        <v>0.85541857259886223</v>
      </c>
      <c r="BN5" s="5">
        <f>BG5*BM5/(1-BM5)</f>
        <v>1016014.0000000001</v>
      </c>
      <c r="BP5" s="6">
        <f>BJ5/(SUM($BJ5:$BL5))</f>
        <v>0.37292644705000533</v>
      </c>
      <c r="BQ5" s="6">
        <f t="shared" ref="BQ5:BR5" si="3">BK5/(SUM($BJ5:$BL5))</f>
        <v>3.8463121440108171E-4</v>
      </c>
      <c r="BR5" s="6">
        <f t="shared" si="3"/>
        <v>0.62668892173559365</v>
      </c>
      <c r="CO5" t="s">
        <v>56</v>
      </c>
    </row>
    <row r="6" spans="1:95" ht="43.2" x14ac:dyDescent="0.55000000000000004">
      <c r="A6" s="37" t="str">
        <f>O6</f>
        <v>Cass</v>
      </c>
      <c r="B6" s="37">
        <f t="shared" ref="B6:B69" si="4">K6</f>
        <v>1952</v>
      </c>
      <c r="C6" s="36">
        <f t="shared" ref="C6:C47" si="5">L6</f>
        <v>176250</v>
      </c>
      <c r="D6" s="31">
        <f t="shared" ref="D6:D42" si="6">M6</f>
        <v>283055</v>
      </c>
      <c r="E6" s="26">
        <f t="shared" ref="E6:E69" si="7">LN(D6/C6)</f>
        <v>0.47373778335781852</v>
      </c>
      <c r="F6" s="26" t="str">
        <f t="shared" ref="F6:F49" si="8">A6</f>
        <v>Cass</v>
      </c>
      <c r="G6" s="5">
        <f>Q6</f>
        <v>176250</v>
      </c>
      <c r="H6" s="5">
        <f t="shared" ref="H6:H69" si="9">Y6</f>
        <v>319542.19999999995</v>
      </c>
      <c r="I6" s="26">
        <f t="shared" ref="I6:I69" si="10">LN(H6/G6)</f>
        <v>0.59498590478038604</v>
      </c>
      <c r="J6" s="26">
        <f t="shared" si="0"/>
        <v>-0.42555802001018317</v>
      </c>
      <c r="K6">
        <v>1952</v>
      </c>
      <c r="L6" s="5">
        <v>176250</v>
      </c>
      <c r="M6" s="31">
        <v>283055</v>
      </c>
      <c r="O6" t="str">
        <f>AW6</f>
        <v>Cass</v>
      </c>
      <c r="P6">
        <f>AX6</f>
        <v>1952</v>
      </c>
      <c r="Q6" s="36">
        <f>BG6</f>
        <v>176250</v>
      </c>
      <c r="R6" s="40">
        <f>BH6</f>
        <v>927000</v>
      </c>
      <c r="S6" s="57">
        <f t="shared" ref="S6:S69" si="11">1-Q6/R6</f>
        <v>0.80987055016181231</v>
      </c>
      <c r="T6" s="5"/>
      <c r="U6" s="5">
        <f>$R9*U$2</f>
        <v>119129.7</v>
      </c>
      <c r="V6" s="5">
        <f t="shared" ref="V6:V41" si="12">$R10*V$2</f>
        <v>169576.19999999998</v>
      </c>
      <c r="W6" s="5">
        <f t="shared" ref="W6:W40" si="13">$R11*W$2</f>
        <v>30836.300000000003</v>
      </c>
      <c r="X6" s="5">
        <f t="shared" ref="X6:X41" si="14">$R12*X$2</f>
        <v>0</v>
      </c>
      <c r="Y6" s="12">
        <f t="shared" ref="Y6:Y46" si="15">SUM(U6:X6)</f>
        <v>319542.19999999995</v>
      </c>
      <c r="Z6" s="29"/>
      <c r="AA6" s="29"/>
      <c r="AB6" s="29"/>
      <c r="AC6" s="29"/>
      <c r="AD6" s="12">
        <f t="shared" ref="AD6:AD41" si="16">Y6</f>
        <v>319542.19999999995</v>
      </c>
      <c r="AE6" s="12">
        <f t="shared" ref="AE6:AE69" si="17">B6</f>
        <v>1952</v>
      </c>
      <c r="AF6" s="56">
        <f t="shared" ref="AF6:AF69" si="18">U6/$Y6</f>
        <v>0.37281366905529228</v>
      </c>
      <c r="AG6" s="56">
        <f t="shared" ref="AG6:AG69" si="19">V6/$Y6</f>
        <v>0.53068483599349325</v>
      </c>
      <c r="AH6" s="56">
        <f t="shared" ref="AH6:AH69" si="20">W6/$Y6</f>
        <v>9.65014949512146E-2</v>
      </c>
      <c r="AI6" s="56"/>
      <c r="AJ6" s="68">
        <f t="shared" ref="AJ6:AJ69" si="21">B6</f>
        <v>1952</v>
      </c>
      <c r="AK6" s="31">
        <f t="shared" ref="AK6:AK8" si="22">R6</f>
        <v>927000</v>
      </c>
      <c r="AL6" s="56">
        <f>CHOOSE(umethod,S6,retroU,MAX(0,cslope*(AK6-nlim)/AK6))</f>
        <v>0.80987055016181231</v>
      </c>
      <c r="AM6">
        <f t="shared" ref="AM6:AM69" si="23">AK6*(1-AL6)</f>
        <v>176250</v>
      </c>
      <c r="AN6" s="59">
        <f t="shared" si="2"/>
        <v>319542.19999999995</v>
      </c>
      <c r="AO6" s="59">
        <f t="shared" ref="AO6:AO69" si="24">AK6-AM6</f>
        <v>750750</v>
      </c>
      <c r="AP6" s="5"/>
      <c r="AQ6" s="5"/>
      <c r="AS6">
        <f>retroY</f>
        <v>26591286.282524522</v>
      </c>
      <c r="AW6" t="s">
        <v>52</v>
      </c>
      <c r="AX6" s="19">
        <v>1952</v>
      </c>
      <c r="AY6" s="3">
        <v>191249</v>
      </c>
      <c r="AZ6" s="4" t="s">
        <v>0</v>
      </c>
      <c r="BA6" s="4">
        <v>108</v>
      </c>
      <c r="BB6" s="4">
        <v>0</v>
      </c>
      <c r="BC6" s="4">
        <v>0</v>
      </c>
      <c r="BD6" s="3">
        <v>559393</v>
      </c>
      <c r="BE6" s="3">
        <v>750750</v>
      </c>
      <c r="BF6" s="1">
        <v>0.81</v>
      </c>
      <c r="BG6" s="16">
        <v>176250</v>
      </c>
      <c r="BH6" s="18">
        <v>927000</v>
      </c>
      <c r="BI6" s="7">
        <f t="shared" ref="BI6:BI44" si="25">BE6/BH6</f>
        <v>0.80987055016181231</v>
      </c>
      <c r="BJ6" s="1">
        <f t="shared" ref="BJ6:BJ44" si="26">AY6/BH6</f>
        <v>0.20630960086299893</v>
      </c>
      <c r="BK6" s="2">
        <f t="shared" ref="BK6:BK44" si="27">BA6/(BH6-AY6)</f>
        <v>1.467887913166275E-4</v>
      </c>
      <c r="BL6" s="1">
        <f t="shared" ref="BL6:BL44" si="28">BD6/(BH6-AY6-BA6-BC6)</f>
        <v>0.76041367891762712</v>
      </c>
      <c r="BM6" s="8">
        <f t="shared" ref="BM6:BM44" si="29">BE6/BH6</f>
        <v>0.80987055016181231</v>
      </c>
      <c r="BN6" s="5">
        <f t="shared" ref="BN6:BN44" si="30">BG6*BM6/(1-BM6)</f>
        <v>750750</v>
      </c>
      <c r="BP6" s="6">
        <f t="shared" ref="BP6:BP44" si="31">BJ6/(SUM($BJ6:$BL6))</f>
        <v>0.21337882676181727</v>
      </c>
      <c r="BQ6" s="6">
        <f t="shared" ref="BQ6:BQ44" si="32">BK6/(SUM($BJ6:$BL6))</f>
        <v>1.5181852876409036E-4</v>
      </c>
      <c r="BR6" s="6">
        <f t="shared" ref="BR6:BR44" si="33">BL6/(SUM($BJ6:$BL6))</f>
        <v>0.7864693547094187</v>
      </c>
      <c r="CB6" t="s">
        <v>54</v>
      </c>
      <c r="CC6" s="9" t="s">
        <v>1</v>
      </c>
      <c r="CD6" s="11" t="s">
        <v>37</v>
      </c>
      <c r="CE6" s="9" t="s">
        <v>38</v>
      </c>
      <c r="CF6" s="9" t="s">
        <v>39</v>
      </c>
      <c r="CG6" s="9" t="s">
        <v>40</v>
      </c>
      <c r="CH6" s="9" t="s">
        <v>41</v>
      </c>
      <c r="CI6" s="9" t="s">
        <v>42</v>
      </c>
      <c r="CJ6" s="9" t="s">
        <v>43</v>
      </c>
      <c r="CK6" s="15" t="s">
        <v>44</v>
      </c>
      <c r="CL6" s="9" t="s">
        <v>48</v>
      </c>
      <c r="CM6" s="9"/>
      <c r="CN6" s="9" t="s">
        <v>45</v>
      </c>
      <c r="CO6" s="9" t="s">
        <v>1</v>
      </c>
      <c r="CP6" s="10" t="s">
        <v>46</v>
      </c>
      <c r="CQ6" s="9" t="s">
        <v>47</v>
      </c>
    </row>
    <row r="7" spans="1:95" x14ac:dyDescent="0.55000000000000004">
      <c r="A7" t="str">
        <f>O7</f>
        <v>Grant</v>
      </c>
      <c r="B7">
        <f t="shared" si="4"/>
        <v>1953</v>
      </c>
      <c r="C7" s="36">
        <f t="shared" si="5"/>
        <v>137225</v>
      </c>
      <c r="D7" s="31">
        <f t="shared" si="6"/>
        <v>312122</v>
      </c>
      <c r="E7" s="26">
        <f t="shared" si="7"/>
        <v>0.82177222258395266</v>
      </c>
      <c r="F7" s="26" t="str">
        <f t="shared" si="8"/>
        <v>Grant</v>
      </c>
      <c r="G7" s="5">
        <f>Q7</f>
        <v>137625</v>
      </c>
      <c r="H7" s="5">
        <f t="shared" si="9"/>
        <v>325788.79999999999</v>
      </c>
      <c r="I7" s="26">
        <f t="shared" si="10"/>
        <v>0.86171672361584606</v>
      </c>
      <c r="J7" s="26">
        <f t="shared" si="0"/>
        <v>-0.18260684158512341</v>
      </c>
      <c r="K7">
        <v>1953</v>
      </c>
      <c r="L7" s="5">
        <v>137225</v>
      </c>
      <c r="M7" s="31">
        <v>312122</v>
      </c>
      <c r="O7" t="str">
        <f>CB7</f>
        <v>Grant</v>
      </c>
      <c r="P7">
        <f>CC7</f>
        <v>1953</v>
      </c>
      <c r="Q7" s="35">
        <f>CK7</f>
        <v>137625</v>
      </c>
      <c r="R7" s="39">
        <f>CD7</f>
        <v>918122</v>
      </c>
      <c r="S7" s="57">
        <f t="shared" si="11"/>
        <v>0.85010162048180959</v>
      </c>
      <c r="T7" s="5"/>
      <c r="U7" s="5">
        <f t="shared" ref="U7:U40" si="34">$R10*U$2</f>
        <v>84788.099999999991</v>
      </c>
      <c r="V7" s="5">
        <f t="shared" si="12"/>
        <v>185017.8</v>
      </c>
      <c r="W7" s="5">
        <f t="shared" si="13"/>
        <v>55982.9</v>
      </c>
      <c r="X7" s="5">
        <f t="shared" si="14"/>
        <v>0</v>
      </c>
      <c r="Y7" s="12">
        <f t="shared" si="15"/>
        <v>325788.79999999999</v>
      </c>
      <c r="Z7" s="29"/>
      <c r="AA7" s="29"/>
      <c r="AB7" s="29"/>
      <c r="AC7" s="29"/>
      <c r="AD7" s="12">
        <f t="shared" si="16"/>
        <v>325788.79999999999</v>
      </c>
      <c r="AE7" s="12">
        <f t="shared" si="17"/>
        <v>1953</v>
      </c>
      <c r="AF7" s="56">
        <f t="shared" si="18"/>
        <v>0.26025480311170918</v>
      </c>
      <c r="AG7" s="56">
        <f t="shared" si="19"/>
        <v>0.56790718404070362</v>
      </c>
      <c r="AH7" s="56">
        <f t="shared" si="20"/>
        <v>0.17183801284758715</v>
      </c>
      <c r="AI7" s="56"/>
      <c r="AJ7" s="68">
        <f t="shared" si="21"/>
        <v>1953</v>
      </c>
      <c r="AK7" s="31">
        <f t="shared" si="22"/>
        <v>918122</v>
      </c>
      <c r="AL7" s="56">
        <f>CHOOSE(umethod,S7,retroU,MAX(0,cslope*(AK7-nlim)/AK7))</f>
        <v>0.85010162048180959</v>
      </c>
      <c r="AM7">
        <f t="shared" si="23"/>
        <v>137625</v>
      </c>
      <c r="AN7" s="59">
        <f t="shared" si="2"/>
        <v>325788.79999999999</v>
      </c>
      <c r="AO7" s="59">
        <f t="shared" si="24"/>
        <v>780497</v>
      </c>
      <c r="AP7" s="5"/>
      <c r="AQ7" s="5"/>
      <c r="AR7">
        <v>0.05</v>
      </c>
      <c r="AS7">
        <f t="dataTable" ref="AS7:AS19" dt2D="0" dtr="0" r1="AN2"/>
        <v>26591286.282524522</v>
      </c>
      <c r="AW7" t="s">
        <v>52</v>
      </c>
      <c r="AX7">
        <v>1953</v>
      </c>
      <c r="AY7" s="3">
        <v>465021</v>
      </c>
      <c r="AZ7" s="4" t="s">
        <v>0</v>
      </c>
      <c r="BA7" s="4">
        <v>404</v>
      </c>
      <c r="BB7" s="4">
        <v>0</v>
      </c>
      <c r="BC7" s="4">
        <v>0</v>
      </c>
      <c r="BD7" s="3">
        <v>331804</v>
      </c>
      <c r="BE7" s="3">
        <v>797229</v>
      </c>
      <c r="BF7" s="1">
        <v>0.85</v>
      </c>
      <c r="BG7" s="16">
        <v>137225</v>
      </c>
      <c r="BH7" s="18">
        <v>934454</v>
      </c>
      <c r="BI7" s="7">
        <f t="shared" si="25"/>
        <v>0.85314953973122276</v>
      </c>
      <c r="BJ7" s="1">
        <f t="shared" si="26"/>
        <v>0.49763926314189888</v>
      </c>
      <c r="BK7" s="2">
        <f t="shared" si="27"/>
        <v>8.6061269659355006E-4</v>
      </c>
      <c r="BL7" s="1">
        <f t="shared" si="28"/>
        <v>0.70742747250170035</v>
      </c>
      <c r="BM7" s="8">
        <f t="shared" si="29"/>
        <v>0.85314953973122276</v>
      </c>
      <c r="BN7" s="5">
        <f t="shared" si="30"/>
        <v>797229.00000000023</v>
      </c>
      <c r="BP7" s="6">
        <f t="shared" si="31"/>
        <v>0.41266106438902539</v>
      </c>
      <c r="BQ7" s="6">
        <f t="shared" si="32"/>
        <v>7.1365219287718715E-4</v>
      </c>
      <c r="BR7" s="6">
        <f t="shared" si="33"/>
        <v>0.5866252834180975</v>
      </c>
      <c r="CB7" t="s">
        <v>55</v>
      </c>
      <c r="CC7" s="19">
        <v>1953</v>
      </c>
      <c r="CD7" s="12">
        <v>918122</v>
      </c>
      <c r="CE7" s="5">
        <v>434551</v>
      </c>
      <c r="CF7" s="5">
        <v>10184</v>
      </c>
      <c r="CG7" s="5">
        <v>3947</v>
      </c>
      <c r="CH7">
        <v>0</v>
      </c>
      <c r="CI7">
        <v>0</v>
      </c>
      <c r="CJ7" s="5">
        <v>331815</v>
      </c>
      <c r="CK7" s="14">
        <v>137625</v>
      </c>
      <c r="CL7" s="5">
        <f>SUM(CE7:CK7)</f>
        <v>918122</v>
      </c>
      <c r="CM7" s="5"/>
      <c r="CN7" s="41">
        <v>0.85</v>
      </c>
      <c r="CO7">
        <f>CC7</f>
        <v>1953</v>
      </c>
      <c r="CP7" s="6">
        <f t="shared" ref="CP7:CP44" si="35">(CD7-BH7)/BH7</f>
        <v>-1.7477585841571656E-2</v>
      </c>
      <c r="CQ7" s="6">
        <f>(CK7-BG7)/BG7</f>
        <v>2.9149207505920934E-3</v>
      </c>
    </row>
    <row r="8" spans="1:95" x14ac:dyDescent="0.55000000000000004">
      <c r="A8" t="str">
        <f t="shared" ref="A8:A49" si="36">O8</f>
        <v>Grant</v>
      </c>
      <c r="B8">
        <f t="shared" si="4"/>
        <v>1954</v>
      </c>
      <c r="C8" s="36">
        <f t="shared" si="5"/>
        <v>86375</v>
      </c>
      <c r="D8" s="31">
        <f t="shared" si="6"/>
        <v>504589</v>
      </c>
      <c r="E8" s="26">
        <f t="shared" si="7"/>
        <v>1.765045954436407</v>
      </c>
      <c r="F8" s="26" t="str">
        <f t="shared" si="8"/>
        <v>Grant</v>
      </c>
      <c r="G8" s="5">
        <f t="shared" ref="G8:G49" si="37">Q8</f>
        <v>86375</v>
      </c>
      <c r="H8" s="5">
        <f t="shared" si="9"/>
        <v>493568.49999999994</v>
      </c>
      <c r="I8" s="26">
        <f t="shared" si="10"/>
        <v>1.7429633716112083</v>
      </c>
      <c r="J8" s="26">
        <f t="shared" si="0"/>
        <v>0.66708753272653643</v>
      </c>
      <c r="K8">
        <v>1954</v>
      </c>
      <c r="L8" s="5">
        <v>86375</v>
      </c>
      <c r="M8" s="31">
        <v>504589</v>
      </c>
      <c r="O8" t="str">
        <f t="shared" ref="O8:O49" si="38">CB8</f>
        <v>Grant</v>
      </c>
      <c r="P8">
        <f t="shared" ref="P8:P48" si="39">CC8</f>
        <v>1954</v>
      </c>
      <c r="Q8" s="35">
        <f t="shared" ref="Q8:Q48" si="40">CK8</f>
        <v>86375</v>
      </c>
      <c r="R8" s="39">
        <f t="shared" ref="R8:R41" si="41">CD8</f>
        <v>1096517</v>
      </c>
      <c r="S8" s="57">
        <f t="shared" si="11"/>
        <v>0.92122785146057928</v>
      </c>
      <c r="T8" s="5"/>
      <c r="U8" s="5">
        <f t="shared" si="34"/>
        <v>92508.9</v>
      </c>
      <c r="V8" s="5">
        <f t="shared" si="12"/>
        <v>335897.39999999997</v>
      </c>
      <c r="W8" s="5">
        <f>$R13*W$2</f>
        <v>65162.200000000004</v>
      </c>
      <c r="X8" s="5">
        <f t="shared" si="14"/>
        <v>0</v>
      </c>
      <c r="Y8" s="12">
        <f t="shared" si="15"/>
        <v>493568.49999999994</v>
      </c>
      <c r="Z8" s="29"/>
      <c r="AA8" s="29"/>
      <c r="AB8" s="29"/>
      <c r="AC8" s="29"/>
      <c r="AD8" s="12">
        <f t="shared" si="16"/>
        <v>493568.49999999994</v>
      </c>
      <c r="AE8" s="12">
        <f t="shared" si="17"/>
        <v>1954</v>
      </c>
      <c r="AF8" s="56">
        <f t="shared" si="18"/>
        <v>0.1874286953077435</v>
      </c>
      <c r="AG8" s="56">
        <f t="shared" si="19"/>
        <v>0.68054869790110184</v>
      </c>
      <c r="AH8" s="56">
        <f t="shared" si="20"/>
        <v>0.13202260679115466</v>
      </c>
      <c r="AI8" s="56"/>
      <c r="AJ8" s="68">
        <f t="shared" si="21"/>
        <v>1954</v>
      </c>
      <c r="AK8" s="31">
        <f t="shared" si="22"/>
        <v>1096517</v>
      </c>
      <c r="AL8" s="56">
        <f>CHOOSE(umethod,S8,retroU,MAX(0,cslope*(AK8-nlim)/AK8))</f>
        <v>0.92122785146057928</v>
      </c>
      <c r="AM8">
        <f t="shared" si="23"/>
        <v>86374.999999999985</v>
      </c>
      <c r="AN8" s="59">
        <f t="shared" si="2"/>
        <v>493568.49999999994</v>
      </c>
      <c r="AO8" s="59">
        <f t="shared" si="24"/>
        <v>1010142</v>
      </c>
      <c r="AP8" s="5"/>
      <c r="AQ8" s="5"/>
      <c r="AR8">
        <v>0.1</v>
      </c>
      <c r="AS8">
        <v>26591286.282524522</v>
      </c>
      <c r="AW8" t="s">
        <v>52</v>
      </c>
      <c r="AX8">
        <v>1954</v>
      </c>
      <c r="AY8" s="3">
        <v>590473</v>
      </c>
      <c r="AZ8" s="4" t="s">
        <v>0</v>
      </c>
      <c r="BA8" s="4">
        <v>253</v>
      </c>
      <c r="BB8" s="4">
        <v>0</v>
      </c>
      <c r="BC8" s="4">
        <v>0</v>
      </c>
      <c r="BD8" s="3">
        <v>457750</v>
      </c>
      <c r="BE8" s="3">
        <v>1048476</v>
      </c>
      <c r="BF8" s="1">
        <v>0.92</v>
      </c>
      <c r="BG8" s="16">
        <v>86375</v>
      </c>
      <c r="BH8" s="18">
        <v>1134851</v>
      </c>
      <c r="BI8" s="7">
        <f t="shared" si="25"/>
        <v>0.92388868670865165</v>
      </c>
      <c r="BJ8" s="1">
        <f t="shared" si="26"/>
        <v>0.52030883349444113</v>
      </c>
      <c r="BK8" s="2">
        <f t="shared" si="27"/>
        <v>4.6475059609315584E-4</v>
      </c>
      <c r="BL8" s="1">
        <f t="shared" si="28"/>
        <v>0.84125890190673103</v>
      </c>
      <c r="BM8" s="8">
        <f t="shared" si="29"/>
        <v>0.92388868670865165</v>
      </c>
      <c r="BN8" s="5">
        <f t="shared" si="30"/>
        <v>1048476.0000000003</v>
      </c>
      <c r="BP8" s="6">
        <f t="shared" si="31"/>
        <v>0.38200912154710959</v>
      </c>
      <c r="BQ8" s="6">
        <f t="shared" si="32"/>
        <v>3.4121843705722668E-4</v>
      </c>
      <c r="BR8" s="6">
        <f t="shared" si="33"/>
        <v>0.61764966001583321</v>
      </c>
      <c r="CB8" t="s">
        <v>55</v>
      </c>
      <c r="CC8" s="19">
        <v>1954</v>
      </c>
      <c r="CD8" s="12">
        <v>1096517</v>
      </c>
      <c r="CE8" s="5">
        <v>542719</v>
      </c>
      <c r="CF8" s="5">
        <v>8768</v>
      </c>
      <c r="CG8" s="5">
        <v>1248</v>
      </c>
      <c r="CH8">
        <v>0</v>
      </c>
      <c r="CI8">
        <v>0</v>
      </c>
      <c r="CJ8" s="5">
        <v>457407</v>
      </c>
      <c r="CK8" s="14">
        <v>86375</v>
      </c>
      <c r="CL8" s="5">
        <f t="shared" ref="CL8:CL60" si="42">SUM(CE8:CK8)</f>
        <v>1096517</v>
      </c>
      <c r="CM8" s="5"/>
      <c r="CN8" s="41">
        <v>0.92100000000000004</v>
      </c>
      <c r="CO8">
        <f t="shared" ref="CO8:CO44" si="43">CC8</f>
        <v>1954</v>
      </c>
      <c r="CP8" s="6">
        <f t="shared" si="35"/>
        <v>-3.3778883747734287E-2</v>
      </c>
      <c r="CQ8" s="6">
        <f t="shared" ref="CQ8:CQ44" si="44">(CK8-BG8)/BG8</f>
        <v>0</v>
      </c>
    </row>
    <row r="9" spans="1:95" x14ac:dyDescent="0.55000000000000004">
      <c r="A9" t="str">
        <f t="shared" si="36"/>
        <v>Grant</v>
      </c>
      <c r="B9">
        <f t="shared" si="4"/>
        <v>1955</v>
      </c>
      <c r="C9" s="36">
        <f t="shared" si="5"/>
        <v>110500</v>
      </c>
      <c r="D9" s="31">
        <f t="shared" si="6"/>
        <v>592568</v>
      </c>
      <c r="E9" s="26">
        <f t="shared" si="7"/>
        <v>1.6794501133986328</v>
      </c>
      <c r="F9" s="26" t="str">
        <f t="shared" si="8"/>
        <v>Grant</v>
      </c>
      <c r="G9" s="5">
        <f t="shared" si="37"/>
        <v>110500</v>
      </c>
      <c r="H9" s="5">
        <f t="shared" si="9"/>
        <v>597993.30000000005</v>
      </c>
      <c r="I9" s="26">
        <f t="shared" si="10"/>
        <v>1.688564028916681</v>
      </c>
      <c r="J9" s="26">
        <f t="shared" si="0"/>
        <v>0.62754084569287394</v>
      </c>
      <c r="K9">
        <v>1955</v>
      </c>
      <c r="L9" s="5">
        <v>110500</v>
      </c>
      <c r="M9" s="31">
        <v>592568</v>
      </c>
      <c r="O9" t="str">
        <f t="shared" si="38"/>
        <v>Grant</v>
      </c>
      <c r="P9">
        <f t="shared" si="39"/>
        <v>1955</v>
      </c>
      <c r="Q9" s="35">
        <f t="shared" si="40"/>
        <v>110500</v>
      </c>
      <c r="R9" s="39">
        <f t="shared" si="41"/>
        <v>397099</v>
      </c>
      <c r="S9" s="57">
        <f t="shared" si="11"/>
        <v>0.72173186031694869</v>
      </c>
      <c r="T9" s="5"/>
      <c r="U9" s="5">
        <f t="shared" si="34"/>
        <v>167948.69999999998</v>
      </c>
      <c r="V9" s="5">
        <f>$R13*V$2</f>
        <v>390973.2</v>
      </c>
      <c r="W9" s="5">
        <f t="shared" si="13"/>
        <v>39071.4</v>
      </c>
      <c r="X9" s="5">
        <f t="shared" si="14"/>
        <v>0</v>
      </c>
      <c r="Y9" s="12">
        <f t="shared" si="15"/>
        <v>597993.30000000005</v>
      </c>
      <c r="Z9" s="29"/>
      <c r="AA9" s="29"/>
      <c r="AB9" s="29"/>
      <c r="AC9" s="29"/>
      <c r="AD9" s="12">
        <f t="shared" si="16"/>
        <v>597993.30000000005</v>
      </c>
      <c r="AE9" s="12">
        <f t="shared" si="17"/>
        <v>1955</v>
      </c>
      <c r="AF9" s="56">
        <f t="shared" si="18"/>
        <v>0.28085381558622807</v>
      </c>
      <c r="AG9" s="56">
        <f t="shared" si="19"/>
        <v>0.65380866307364982</v>
      </c>
      <c r="AH9" s="56">
        <f t="shared" si="20"/>
        <v>6.5337521340122037E-2</v>
      </c>
      <c r="AI9" s="56"/>
      <c r="AJ9" s="68">
        <f t="shared" si="21"/>
        <v>1955</v>
      </c>
      <c r="AK9" s="56">
        <f>AF6*AN6+AG5*AN5</f>
        <v>357389.09999999992</v>
      </c>
      <c r="AL9" s="56">
        <f>CHOOSE(umethod,S9,retroU,MAX(0,cslope*(AK9-nlim)/AK9))</f>
        <v>0.72173186031694869</v>
      </c>
      <c r="AM9">
        <f t="shared" si="23"/>
        <v>99449.999999999971</v>
      </c>
      <c r="AN9" s="59">
        <f t="shared" si="2"/>
        <v>541867.77399068745</v>
      </c>
      <c r="AO9" s="59">
        <f t="shared" si="24"/>
        <v>257939.09999999995</v>
      </c>
      <c r="AP9" s="5"/>
      <c r="AQ9" s="5"/>
      <c r="AR9">
        <v>0.15</v>
      </c>
      <c r="AS9">
        <v>26591286.282524522</v>
      </c>
      <c r="AW9" t="s">
        <v>52</v>
      </c>
      <c r="AX9">
        <v>1955</v>
      </c>
      <c r="AY9" s="3">
        <v>143565</v>
      </c>
      <c r="AZ9" s="4" t="s">
        <v>0</v>
      </c>
      <c r="BA9" s="4">
        <v>759</v>
      </c>
      <c r="BB9" s="4">
        <v>0</v>
      </c>
      <c r="BC9" s="4">
        <v>9</v>
      </c>
      <c r="BD9" s="3">
        <v>103297</v>
      </c>
      <c r="BE9" s="3">
        <v>247630</v>
      </c>
      <c r="BF9" s="1">
        <v>0.69</v>
      </c>
      <c r="BG9" s="16">
        <v>110500</v>
      </c>
      <c r="BH9" s="18">
        <v>358130</v>
      </c>
      <c r="BI9" s="7">
        <f t="shared" si="25"/>
        <v>0.69145282439337674</v>
      </c>
      <c r="BJ9" s="1">
        <f t="shared" si="26"/>
        <v>0.40087398430737442</v>
      </c>
      <c r="BK9" s="2">
        <f t="shared" si="27"/>
        <v>3.5373896022184419E-3</v>
      </c>
      <c r="BL9" s="1">
        <f t="shared" si="28"/>
        <v>0.48315458121489074</v>
      </c>
      <c r="BM9" s="8">
        <f t="shared" si="29"/>
        <v>0.69145282439337674</v>
      </c>
      <c r="BN9" s="5">
        <f t="shared" si="30"/>
        <v>247630.00000000003</v>
      </c>
      <c r="BP9" s="6">
        <f t="shared" si="31"/>
        <v>0.45165543134329739</v>
      </c>
      <c r="BQ9" s="6">
        <f t="shared" si="32"/>
        <v>3.9854949165127823E-3</v>
      </c>
      <c r="BR9" s="6">
        <f t="shared" si="33"/>
        <v>0.54435907374018977</v>
      </c>
      <c r="CB9" t="s">
        <v>55</v>
      </c>
      <c r="CC9" s="19">
        <v>1955</v>
      </c>
      <c r="CD9" s="12">
        <v>397099</v>
      </c>
      <c r="CE9" s="5">
        <v>174665</v>
      </c>
      <c r="CF9">
        <v>634</v>
      </c>
      <c r="CG9" s="5">
        <v>8217</v>
      </c>
      <c r="CH9">
        <v>0</v>
      </c>
      <c r="CI9">
        <v>0</v>
      </c>
      <c r="CJ9" s="5">
        <v>103084</v>
      </c>
      <c r="CK9" s="14">
        <v>110500</v>
      </c>
      <c r="CL9" s="5">
        <f t="shared" si="42"/>
        <v>397100</v>
      </c>
      <c r="CM9" s="5"/>
      <c r="CN9" s="41">
        <v>0.72199999999999998</v>
      </c>
      <c r="CO9">
        <f t="shared" si="43"/>
        <v>1955</v>
      </c>
      <c r="CP9" s="6">
        <f t="shared" si="35"/>
        <v>0.10881244240918102</v>
      </c>
      <c r="CQ9" s="6">
        <f t="shared" si="44"/>
        <v>0</v>
      </c>
    </row>
    <row r="10" spans="1:95" x14ac:dyDescent="0.55000000000000004">
      <c r="A10" t="str">
        <f t="shared" si="36"/>
        <v>Grant</v>
      </c>
      <c r="B10">
        <f t="shared" si="4"/>
        <v>1956</v>
      </c>
      <c r="C10" s="36">
        <f t="shared" si="5"/>
        <v>32925</v>
      </c>
      <c r="D10" s="31">
        <f t="shared" si="6"/>
        <v>518932</v>
      </c>
      <c r="E10" s="26">
        <f t="shared" si="7"/>
        <v>2.7575406057579124</v>
      </c>
      <c r="F10" s="26" t="str">
        <f t="shared" si="8"/>
        <v>Grant</v>
      </c>
      <c r="G10" s="5">
        <f t="shared" si="37"/>
        <v>32950</v>
      </c>
      <c r="H10" s="5">
        <f t="shared" si="9"/>
        <v>455279.4</v>
      </c>
      <c r="I10" s="26">
        <f t="shared" si="10"/>
        <v>2.6259200354751622</v>
      </c>
      <c r="J10" s="26">
        <f t="shared" si="0"/>
        <v>1.5171528751943575</v>
      </c>
      <c r="K10">
        <v>1956</v>
      </c>
      <c r="L10" s="5">
        <v>32925</v>
      </c>
      <c r="M10" s="31">
        <v>518932</v>
      </c>
      <c r="O10" t="str">
        <f t="shared" si="38"/>
        <v>Grant</v>
      </c>
      <c r="P10">
        <f t="shared" si="39"/>
        <v>1956</v>
      </c>
      <c r="Q10" s="35">
        <f t="shared" si="40"/>
        <v>32950</v>
      </c>
      <c r="R10" s="39">
        <f t="shared" si="41"/>
        <v>282627</v>
      </c>
      <c r="S10" s="57">
        <f t="shared" si="11"/>
        <v>0.88341524341269584</v>
      </c>
      <c r="T10" s="5"/>
      <c r="U10" s="5">
        <f t="shared" si="34"/>
        <v>195486.6</v>
      </c>
      <c r="V10" s="5">
        <f t="shared" si="12"/>
        <v>234428.4</v>
      </c>
      <c r="W10" s="5">
        <f t="shared" si="13"/>
        <v>25364.400000000001</v>
      </c>
      <c r="X10" s="5">
        <f t="shared" si="14"/>
        <v>0</v>
      </c>
      <c r="Y10" s="12">
        <f t="shared" si="15"/>
        <v>455279.4</v>
      </c>
      <c r="Z10" s="29"/>
      <c r="AA10" s="29"/>
      <c r="AB10" s="29"/>
      <c r="AC10" s="29"/>
      <c r="AD10" s="12">
        <f t="shared" si="16"/>
        <v>455279.4</v>
      </c>
      <c r="AE10" s="12">
        <f t="shared" si="17"/>
        <v>1956</v>
      </c>
      <c r="AF10" s="56">
        <f t="shared" si="18"/>
        <v>0.429377213201388</v>
      </c>
      <c r="AG10" s="56">
        <f t="shared" si="19"/>
        <v>0.51491106340414261</v>
      </c>
      <c r="AH10" s="56">
        <f t="shared" si="20"/>
        <v>5.571172339446942E-2</v>
      </c>
      <c r="AI10" s="56"/>
      <c r="AJ10" s="68">
        <f t="shared" si="21"/>
        <v>1956</v>
      </c>
      <c r="AK10" s="60">
        <f>AF7*AN7+AG6*AN6+AH5*AN5</f>
        <v>282627</v>
      </c>
      <c r="AL10" s="56">
        <f>CHOOSE(umethod,S10,retroU,MAX(0,cslope*(AK10-nlim)/AK10))</f>
        <v>0.88341524341269584</v>
      </c>
      <c r="AM10">
        <f t="shared" si="23"/>
        <v>32950.000000000015</v>
      </c>
      <c r="AN10" s="59">
        <f t="shared" si="2"/>
        <v>455279.40000000014</v>
      </c>
      <c r="AO10" s="59">
        <f t="shared" si="24"/>
        <v>249677</v>
      </c>
      <c r="AP10" s="5"/>
      <c r="AR10">
        <v>0.2</v>
      </c>
      <c r="AS10">
        <v>26591286.282524522</v>
      </c>
      <c r="AW10" t="s">
        <v>52</v>
      </c>
      <c r="AX10">
        <v>1956</v>
      </c>
      <c r="AY10" s="3">
        <v>155668</v>
      </c>
      <c r="AZ10" s="4" t="s">
        <v>0</v>
      </c>
      <c r="BA10" s="4">
        <v>61</v>
      </c>
      <c r="BB10" s="4">
        <v>0</v>
      </c>
      <c r="BC10" s="4">
        <v>0</v>
      </c>
      <c r="BD10" s="3">
        <v>72958</v>
      </c>
      <c r="BE10" s="3">
        <v>228687</v>
      </c>
      <c r="BF10" s="1">
        <v>0.87</v>
      </c>
      <c r="BG10" s="16">
        <v>32925</v>
      </c>
      <c r="BH10" s="18">
        <v>261612</v>
      </c>
      <c r="BI10" s="7">
        <f t="shared" si="25"/>
        <v>0.87414568139076188</v>
      </c>
      <c r="BJ10" s="1">
        <f t="shared" si="26"/>
        <v>0.59503386694799931</v>
      </c>
      <c r="BK10" s="2">
        <f t="shared" si="27"/>
        <v>5.7577588159782528E-4</v>
      </c>
      <c r="BL10" s="1">
        <f t="shared" si="28"/>
        <v>0.68904356695597968</v>
      </c>
      <c r="BM10" s="8">
        <f t="shared" si="29"/>
        <v>0.87414568139076188</v>
      </c>
      <c r="BN10" s="5">
        <f t="shared" si="30"/>
        <v>228686.99999999997</v>
      </c>
      <c r="BP10" s="6">
        <f t="shared" si="31"/>
        <v>0.46318637778308835</v>
      </c>
      <c r="BQ10" s="6">
        <f t="shared" si="32"/>
        <v>4.481955731025097E-4</v>
      </c>
      <c r="BR10" s="6">
        <f t="shared" si="33"/>
        <v>0.53636542664380904</v>
      </c>
      <c r="CB10" t="s">
        <v>55</v>
      </c>
      <c r="CC10" s="19">
        <v>1956</v>
      </c>
      <c r="CD10" s="12">
        <v>282627</v>
      </c>
      <c r="CE10" s="5">
        <v>175589</v>
      </c>
      <c r="CF10">
        <v>685</v>
      </c>
      <c r="CG10">
        <v>591</v>
      </c>
      <c r="CH10">
        <v>0</v>
      </c>
      <c r="CI10">
        <v>0</v>
      </c>
      <c r="CJ10" s="5">
        <v>72812</v>
      </c>
      <c r="CK10" s="14">
        <v>32950</v>
      </c>
      <c r="CL10" s="5">
        <f t="shared" si="42"/>
        <v>282627</v>
      </c>
      <c r="CM10" s="5"/>
      <c r="CN10" s="41">
        <v>0.88300000000000001</v>
      </c>
      <c r="CO10">
        <f t="shared" si="43"/>
        <v>1956</v>
      </c>
      <c r="CP10" s="6">
        <f t="shared" si="35"/>
        <v>8.032888399614696E-2</v>
      </c>
      <c r="CQ10" s="6">
        <f t="shared" si="44"/>
        <v>7.5930144267274111E-4</v>
      </c>
    </row>
    <row r="11" spans="1:95" x14ac:dyDescent="0.55000000000000004">
      <c r="A11" t="str">
        <f t="shared" si="36"/>
        <v>Grant</v>
      </c>
      <c r="B11">
        <f t="shared" si="4"/>
        <v>1957</v>
      </c>
      <c r="C11" s="36">
        <f t="shared" si="5"/>
        <v>84630</v>
      </c>
      <c r="D11" s="31">
        <f t="shared" si="6"/>
        <v>353281</v>
      </c>
      <c r="E11" s="26">
        <f t="shared" si="7"/>
        <v>1.4289749605785971</v>
      </c>
      <c r="F11" s="26" t="str">
        <f t="shared" si="8"/>
        <v>Grant</v>
      </c>
      <c r="G11" s="5">
        <f t="shared" si="37"/>
        <v>84655</v>
      </c>
      <c r="H11" s="5">
        <f t="shared" si="9"/>
        <v>294324.5</v>
      </c>
      <c r="I11" s="26">
        <f t="shared" si="10"/>
        <v>1.2460987265802781</v>
      </c>
      <c r="J11" s="26">
        <f t="shared" si="0"/>
        <v>0.16916396260807498</v>
      </c>
      <c r="K11">
        <v>1957</v>
      </c>
      <c r="L11" s="5">
        <v>84630</v>
      </c>
      <c r="M11" s="31">
        <v>353281</v>
      </c>
      <c r="O11" t="str">
        <f t="shared" si="38"/>
        <v>Grant</v>
      </c>
      <c r="P11">
        <f t="shared" si="39"/>
        <v>1957</v>
      </c>
      <c r="Q11" s="35">
        <f t="shared" si="40"/>
        <v>84655</v>
      </c>
      <c r="R11" s="39">
        <f>CD11</f>
        <v>308363</v>
      </c>
      <c r="S11" s="57">
        <f t="shared" si="11"/>
        <v>0.72546965751403381</v>
      </c>
      <c r="T11" s="5"/>
      <c r="U11" s="5">
        <f t="shared" si="34"/>
        <v>117214.2</v>
      </c>
      <c r="V11" s="5">
        <f t="shared" si="12"/>
        <v>152186.4</v>
      </c>
      <c r="W11" s="5">
        <f t="shared" si="13"/>
        <v>24923.9</v>
      </c>
      <c r="X11" s="5">
        <f t="shared" si="14"/>
        <v>0</v>
      </c>
      <c r="Y11" s="12">
        <f t="shared" si="15"/>
        <v>294324.5</v>
      </c>
      <c r="Z11" s="29"/>
      <c r="AA11" s="29"/>
      <c r="AB11" s="29"/>
      <c r="AC11" s="29"/>
      <c r="AD11" s="12">
        <f t="shared" si="16"/>
        <v>294324.5</v>
      </c>
      <c r="AE11" s="12">
        <f t="shared" si="17"/>
        <v>1957</v>
      </c>
      <c r="AF11" s="56">
        <f t="shared" si="18"/>
        <v>0.39824819204653367</v>
      </c>
      <c r="AG11" s="56">
        <f t="shared" si="19"/>
        <v>0.51707010459543801</v>
      </c>
      <c r="AH11" s="56">
        <f t="shared" si="20"/>
        <v>8.4681703358028299E-2</v>
      </c>
      <c r="AI11" s="56"/>
      <c r="AJ11" s="68">
        <f t="shared" si="21"/>
        <v>1957</v>
      </c>
      <c r="AK11" s="60">
        <f t="shared" ref="AK11:AK74" si="45">AF8*AN8+AG7*AN7+AH6*AN6</f>
        <v>308362.99999999994</v>
      </c>
      <c r="AL11" s="56">
        <f>CHOOSE(umethod,S11,retroU,MAX(0,cslope*(AK11-nlim)/AK11))</f>
        <v>0.72546965751403381</v>
      </c>
      <c r="AM11">
        <f t="shared" si="23"/>
        <v>84654.999999999971</v>
      </c>
      <c r="AN11" s="59">
        <f t="shared" si="2"/>
        <v>294324.49999999994</v>
      </c>
      <c r="AO11" s="59">
        <f t="shared" si="24"/>
        <v>223707.99999999997</v>
      </c>
      <c r="AP11" s="5"/>
      <c r="AR11">
        <v>0.25</v>
      </c>
      <c r="AS11">
        <v>26591286.282524522</v>
      </c>
      <c r="AW11" t="s">
        <v>52</v>
      </c>
      <c r="AX11">
        <v>1957</v>
      </c>
      <c r="AY11" s="3">
        <v>92528</v>
      </c>
      <c r="AZ11" s="4" t="s">
        <v>0</v>
      </c>
      <c r="BA11" s="4">
        <v>123</v>
      </c>
      <c r="BB11" s="4">
        <v>0</v>
      </c>
      <c r="BC11" s="4">
        <v>48</v>
      </c>
      <c r="BD11" s="3">
        <v>124319</v>
      </c>
      <c r="BE11" s="3">
        <v>217018</v>
      </c>
      <c r="BF11" s="1">
        <v>0.72</v>
      </c>
      <c r="BG11" s="16">
        <v>84630</v>
      </c>
      <c r="BH11" s="18">
        <v>301648</v>
      </c>
      <c r="BI11" s="7">
        <f t="shared" si="25"/>
        <v>0.71944120299156633</v>
      </c>
      <c r="BJ11" s="1">
        <f t="shared" si="26"/>
        <v>0.30674163263141146</v>
      </c>
      <c r="BK11" s="2">
        <f t="shared" si="27"/>
        <v>5.8817903596021428E-4</v>
      </c>
      <c r="BL11" s="1">
        <f t="shared" si="28"/>
        <v>0.59497293597959311</v>
      </c>
      <c r="BM11" s="8">
        <f t="shared" si="29"/>
        <v>0.71944120299156633</v>
      </c>
      <c r="BN11" s="5">
        <f t="shared" si="30"/>
        <v>217018</v>
      </c>
      <c r="BP11" s="6">
        <f t="shared" si="31"/>
        <v>0.33995422648477547</v>
      </c>
      <c r="BQ11" s="6">
        <f t="shared" si="32"/>
        <v>6.5186439639475127E-4</v>
      </c>
      <c r="BR11" s="6">
        <f t="shared" si="33"/>
        <v>0.65939390911882989</v>
      </c>
      <c r="CB11" t="s">
        <v>55</v>
      </c>
      <c r="CC11" s="19">
        <v>1957</v>
      </c>
      <c r="CD11" s="12">
        <v>308363</v>
      </c>
      <c r="CE11" s="5">
        <v>97399</v>
      </c>
      <c r="CF11">
        <v>600</v>
      </c>
      <c r="CG11" s="5">
        <v>1444</v>
      </c>
      <c r="CH11">
        <v>0</v>
      </c>
      <c r="CI11">
        <v>0</v>
      </c>
      <c r="CJ11" s="5">
        <v>124265</v>
      </c>
      <c r="CK11" s="14">
        <v>84655</v>
      </c>
      <c r="CL11" s="5">
        <f t="shared" si="42"/>
        <v>308363</v>
      </c>
      <c r="CM11" s="5"/>
      <c r="CN11" s="41">
        <v>0.72499999999999998</v>
      </c>
      <c r="CO11">
        <f t="shared" si="43"/>
        <v>1957</v>
      </c>
      <c r="CP11" s="6">
        <f t="shared" si="35"/>
        <v>2.2261045987376014E-2</v>
      </c>
      <c r="CQ11" s="6">
        <f t="shared" si="44"/>
        <v>2.9540352120997282E-4</v>
      </c>
    </row>
    <row r="12" spans="1:95" x14ac:dyDescent="0.55000000000000004">
      <c r="A12" t="str">
        <f t="shared" si="36"/>
        <v>Grant</v>
      </c>
      <c r="B12">
        <f t="shared" si="4"/>
        <v>1958</v>
      </c>
      <c r="C12" s="36">
        <f t="shared" si="5"/>
        <v>89375</v>
      </c>
      <c r="D12" s="31">
        <f t="shared" si="6"/>
        <v>302174</v>
      </c>
      <c r="E12" s="26">
        <f t="shared" si="7"/>
        <v>1.2181620093852592</v>
      </c>
      <c r="F12" s="26" t="str">
        <f t="shared" si="8"/>
        <v>Grant</v>
      </c>
      <c r="G12" s="5">
        <f t="shared" si="37"/>
        <v>89400</v>
      </c>
      <c r="H12" s="5">
        <f t="shared" si="9"/>
        <v>259624.99999999997</v>
      </c>
      <c r="I12" s="26">
        <f t="shared" si="10"/>
        <v>1.0661176000168078</v>
      </c>
      <c r="J12" s="26">
        <f t="shared" si="0"/>
        <v>-7.8958851528749818E-3</v>
      </c>
      <c r="K12">
        <v>1958</v>
      </c>
      <c r="L12" s="5">
        <v>89375</v>
      </c>
      <c r="M12" s="31">
        <v>302174</v>
      </c>
      <c r="O12" t="str">
        <f t="shared" si="38"/>
        <v>Grant</v>
      </c>
      <c r="P12">
        <f t="shared" si="39"/>
        <v>1958</v>
      </c>
      <c r="Q12" s="35">
        <f t="shared" si="40"/>
        <v>89400</v>
      </c>
      <c r="R12" s="39">
        <f>CD12</f>
        <v>559829</v>
      </c>
      <c r="S12" s="57">
        <f t="shared" si="11"/>
        <v>0.84030837988028484</v>
      </c>
      <c r="T12" s="5"/>
      <c r="U12" s="5">
        <f t="shared" si="34"/>
        <v>76093.2</v>
      </c>
      <c r="V12" s="5">
        <f t="shared" si="12"/>
        <v>149543.4</v>
      </c>
      <c r="W12" s="5">
        <f t="shared" si="13"/>
        <v>33988.400000000001</v>
      </c>
      <c r="X12" s="5">
        <f t="shared" si="14"/>
        <v>0</v>
      </c>
      <c r="Y12" s="12">
        <f t="shared" si="15"/>
        <v>259624.99999999997</v>
      </c>
      <c r="Z12" s="29"/>
      <c r="AA12" s="29"/>
      <c r="AB12" s="29"/>
      <c r="AC12" s="29"/>
      <c r="AD12" s="12">
        <f t="shared" si="16"/>
        <v>259624.99999999997</v>
      </c>
      <c r="AE12" s="12">
        <f t="shared" si="17"/>
        <v>1958</v>
      </c>
      <c r="AF12" s="56">
        <f t="shared" si="18"/>
        <v>0.2930888781896967</v>
      </c>
      <c r="AG12" s="56">
        <f t="shared" si="19"/>
        <v>0.57599768897448245</v>
      </c>
      <c r="AH12" s="56">
        <f t="shared" si="20"/>
        <v>0.13091343283582091</v>
      </c>
      <c r="AI12" s="56"/>
      <c r="AJ12" s="68">
        <f t="shared" si="21"/>
        <v>1958</v>
      </c>
      <c r="AK12" s="60">
        <f t="shared" si="45"/>
        <v>544065.93186850043</v>
      </c>
      <c r="AL12" s="56">
        <f>CHOOSE(umethod,S12,retroU,MAX(0,cslope*(AK12-nlim)/AK12))</f>
        <v>0.84030837988028484</v>
      </c>
      <c r="AM12">
        <f t="shared" si="23"/>
        <v>86882.770112023398</v>
      </c>
      <c r="AN12" s="59">
        <f t="shared" si="2"/>
        <v>252706.08220832862</v>
      </c>
      <c r="AO12" s="59">
        <f t="shared" si="24"/>
        <v>457183.16175647703</v>
      </c>
      <c r="AP12" s="5"/>
      <c r="AR12">
        <v>0.3</v>
      </c>
      <c r="AS12">
        <v>26591286.282524522</v>
      </c>
      <c r="AW12" t="s">
        <v>52</v>
      </c>
      <c r="AX12">
        <v>1958</v>
      </c>
      <c r="AY12" s="3">
        <v>252287</v>
      </c>
      <c r="AZ12" s="4" t="s">
        <v>0</v>
      </c>
      <c r="BA12" s="3">
        <v>1178</v>
      </c>
      <c r="BB12" s="4">
        <v>0</v>
      </c>
      <c r="BC12" s="4">
        <v>690</v>
      </c>
      <c r="BD12" s="3">
        <v>202075</v>
      </c>
      <c r="BE12" s="3">
        <v>456230</v>
      </c>
      <c r="BF12" s="1">
        <v>0.84</v>
      </c>
      <c r="BG12" s="16">
        <v>89375</v>
      </c>
      <c r="BH12" s="18">
        <v>545605</v>
      </c>
      <c r="BI12" s="7">
        <f t="shared" si="25"/>
        <v>0.83619101731105838</v>
      </c>
      <c r="BJ12" s="1">
        <f t="shared" si="26"/>
        <v>0.4623986217135107</v>
      </c>
      <c r="BK12" s="2">
        <f t="shared" si="27"/>
        <v>4.016119024403548E-3</v>
      </c>
      <c r="BL12" s="1">
        <f t="shared" si="28"/>
        <v>0.69334362669411564</v>
      </c>
      <c r="BM12" s="8">
        <f t="shared" si="29"/>
        <v>0.83619101731105838</v>
      </c>
      <c r="BN12" s="5">
        <f t="shared" si="30"/>
        <v>456230.00000000006</v>
      </c>
      <c r="BP12" s="6">
        <f t="shared" si="31"/>
        <v>0.39870255278896322</v>
      </c>
      <c r="BQ12" s="6">
        <f t="shared" si="32"/>
        <v>3.4628929069907494E-3</v>
      </c>
      <c r="BR12" s="6">
        <f t="shared" si="33"/>
        <v>0.59783455430404597</v>
      </c>
      <c r="CB12" t="s">
        <v>55</v>
      </c>
      <c r="CC12" s="19">
        <v>1958</v>
      </c>
      <c r="CD12" s="12">
        <v>559829</v>
      </c>
      <c r="CE12" s="5">
        <v>247648</v>
      </c>
      <c r="CF12" s="5">
        <v>8879</v>
      </c>
      <c r="CG12" s="5">
        <v>11935</v>
      </c>
      <c r="CH12">
        <v>0</v>
      </c>
      <c r="CI12">
        <v>0</v>
      </c>
      <c r="CJ12" s="5">
        <v>201968</v>
      </c>
      <c r="CK12" s="14">
        <v>89400</v>
      </c>
      <c r="CL12" s="5">
        <f t="shared" si="42"/>
        <v>559830</v>
      </c>
      <c r="CM12" s="5"/>
      <c r="CN12" s="41">
        <v>0.84</v>
      </c>
      <c r="CO12">
        <f t="shared" si="43"/>
        <v>1958</v>
      </c>
      <c r="CP12" s="6">
        <f t="shared" si="35"/>
        <v>2.6070142319076988E-2</v>
      </c>
      <c r="CQ12" s="6">
        <f t="shared" si="44"/>
        <v>2.7972027972027972E-4</v>
      </c>
    </row>
    <row r="13" spans="1:95" x14ac:dyDescent="0.55000000000000004">
      <c r="A13" t="str">
        <f t="shared" si="36"/>
        <v>Grant</v>
      </c>
      <c r="B13">
        <f t="shared" si="4"/>
        <v>1959</v>
      </c>
      <c r="C13" s="36">
        <f t="shared" si="5"/>
        <v>152300</v>
      </c>
      <c r="D13" s="31">
        <f t="shared" si="6"/>
        <v>361837</v>
      </c>
      <c r="E13" s="26">
        <f t="shared" si="7"/>
        <v>0.86534157427677216</v>
      </c>
      <c r="F13" s="26" t="str">
        <f t="shared" si="8"/>
        <v>Grant</v>
      </c>
      <c r="G13" s="5">
        <f t="shared" si="37"/>
        <v>152300</v>
      </c>
      <c r="H13" s="5">
        <f t="shared" si="9"/>
        <v>315857.69999999995</v>
      </c>
      <c r="I13" s="26">
        <f t="shared" si="10"/>
        <v>0.72943953580719501</v>
      </c>
      <c r="J13" s="26">
        <f t="shared" si="0"/>
        <v>-0.30584930517312392</v>
      </c>
      <c r="K13">
        <v>1959</v>
      </c>
      <c r="L13" s="5">
        <v>152300</v>
      </c>
      <c r="M13" s="31">
        <v>361837</v>
      </c>
      <c r="O13" t="str">
        <f t="shared" si="38"/>
        <v>Grant</v>
      </c>
      <c r="P13">
        <f t="shared" si="39"/>
        <v>1959</v>
      </c>
      <c r="Q13" s="35">
        <f t="shared" si="40"/>
        <v>152300</v>
      </c>
      <c r="R13" s="39">
        <f t="shared" si="41"/>
        <v>651622</v>
      </c>
      <c r="S13" s="57">
        <f t="shared" si="11"/>
        <v>0.76627554011374688</v>
      </c>
      <c r="T13" s="5"/>
      <c r="U13" s="5">
        <f>$R16*U$2</f>
        <v>74771.7</v>
      </c>
      <c r="V13" s="5">
        <f t="shared" si="12"/>
        <v>203930.4</v>
      </c>
      <c r="W13" s="5">
        <f t="shared" si="13"/>
        <v>37155.599999999999</v>
      </c>
      <c r="X13" s="5">
        <f t="shared" si="14"/>
        <v>0</v>
      </c>
      <c r="Y13" s="12">
        <f t="shared" si="15"/>
        <v>315857.69999999995</v>
      </c>
      <c r="Z13" s="29"/>
      <c r="AA13" s="29"/>
      <c r="AB13" s="29"/>
      <c r="AC13" s="29"/>
      <c r="AD13" s="12">
        <f t="shared" si="16"/>
        <v>315857.69999999995</v>
      </c>
      <c r="AE13" s="12">
        <f t="shared" si="17"/>
        <v>1959</v>
      </c>
      <c r="AF13" s="56">
        <f t="shared" si="18"/>
        <v>0.23672590536814525</v>
      </c>
      <c r="AG13" s="56">
        <f t="shared" si="19"/>
        <v>0.64564010945435246</v>
      </c>
      <c r="AH13" s="56">
        <f t="shared" si="20"/>
        <v>0.11763398517750241</v>
      </c>
      <c r="AI13" s="56"/>
      <c r="AJ13" s="68">
        <f t="shared" si="21"/>
        <v>1959</v>
      </c>
      <c r="AK13" s="60">
        <f t="shared" si="45"/>
        <v>614926.64487554599</v>
      </c>
      <c r="AL13" s="56">
        <f>CHOOSE(umethod,S13,retroU,MAX(0,cslope*(AK13-nlim)/AK13))</f>
        <v>0.76627554011374688</v>
      </c>
      <c r="AM13">
        <f t="shared" si="23"/>
        <v>143723.39794320276</v>
      </c>
      <c r="AN13" s="59">
        <f t="shared" si="2"/>
        <v>299648.57189135428</v>
      </c>
      <c r="AO13" s="59">
        <f t="shared" si="24"/>
        <v>471203.24693234323</v>
      </c>
      <c r="AP13" s="5"/>
      <c r="AR13">
        <v>0.35</v>
      </c>
      <c r="AS13">
        <v>26591286.282524522</v>
      </c>
      <c r="AW13" t="s">
        <v>52</v>
      </c>
      <c r="AX13">
        <v>1959</v>
      </c>
      <c r="AY13" s="3">
        <v>218898</v>
      </c>
      <c r="AZ13" s="4" t="s">
        <v>0</v>
      </c>
      <c r="BA13" s="3">
        <v>1448</v>
      </c>
      <c r="BB13" s="4">
        <v>0</v>
      </c>
      <c r="BC13" s="4">
        <v>996</v>
      </c>
      <c r="BD13" s="3">
        <v>237091</v>
      </c>
      <c r="BE13" s="3">
        <v>458433</v>
      </c>
      <c r="BF13" s="1">
        <v>0.75</v>
      </c>
      <c r="BG13" s="16">
        <v>152300</v>
      </c>
      <c r="BH13" s="18">
        <v>610733</v>
      </c>
      <c r="BI13" s="7">
        <f t="shared" si="25"/>
        <v>0.75062752463023941</v>
      </c>
      <c r="BJ13" s="1">
        <f t="shared" si="26"/>
        <v>0.35841849056789138</v>
      </c>
      <c r="BK13" s="2">
        <f t="shared" si="27"/>
        <v>3.6954330266566284E-3</v>
      </c>
      <c r="BL13" s="1">
        <f t="shared" si="28"/>
        <v>0.60887642498157379</v>
      </c>
      <c r="BM13" s="8">
        <f t="shared" si="29"/>
        <v>0.75062752463023941</v>
      </c>
      <c r="BN13" s="5">
        <f t="shared" si="30"/>
        <v>458433</v>
      </c>
      <c r="BP13" s="6">
        <f t="shared" si="31"/>
        <v>0.36912672828672594</v>
      </c>
      <c r="BQ13" s="6">
        <f t="shared" si="32"/>
        <v>3.805839092093634E-3</v>
      </c>
      <c r="BR13" s="6">
        <f t="shared" si="33"/>
        <v>0.62706743262118048</v>
      </c>
      <c r="CB13" t="s">
        <v>55</v>
      </c>
      <c r="CC13" s="19">
        <v>1959</v>
      </c>
      <c r="CD13" s="12">
        <v>651622</v>
      </c>
      <c r="CE13" s="5">
        <v>241353</v>
      </c>
      <c r="CF13" s="5">
        <v>5430</v>
      </c>
      <c r="CG13" s="5">
        <v>15632</v>
      </c>
      <c r="CH13">
        <v>0</v>
      </c>
      <c r="CI13">
        <v>0</v>
      </c>
      <c r="CJ13" s="5">
        <v>236907</v>
      </c>
      <c r="CK13" s="14">
        <v>152300</v>
      </c>
      <c r="CL13" s="5">
        <f t="shared" si="42"/>
        <v>651622</v>
      </c>
      <c r="CM13" s="5"/>
      <c r="CN13" s="41">
        <v>0.76600000000000001</v>
      </c>
      <c r="CO13">
        <f t="shared" si="43"/>
        <v>1959</v>
      </c>
      <c r="CP13" s="6">
        <f t="shared" si="35"/>
        <v>6.6950696949403421E-2</v>
      </c>
      <c r="CQ13" s="6">
        <f t="shared" si="44"/>
        <v>0</v>
      </c>
    </row>
    <row r="14" spans="1:95" x14ac:dyDescent="0.55000000000000004">
      <c r="A14" t="str">
        <f t="shared" si="36"/>
        <v>Grant</v>
      </c>
      <c r="B14">
        <f t="shared" si="4"/>
        <v>1960</v>
      </c>
      <c r="C14" s="36">
        <f t="shared" si="5"/>
        <v>263700</v>
      </c>
      <c r="D14" s="31">
        <f t="shared" si="6"/>
        <v>416907</v>
      </c>
      <c r="E14" s="26">
        <f t="shared" si="7"/>
        <v>0.45805108198381522</v>
      </c>
      <c r="F14" s="26" t="str">
        <f t="shared" si="8"/>
        <v>Grant</v>
      </c>
      <c r="G14" s="5">
        <f t="shared" si="37"/>
        <v>144782</v>
      </c>
      <c r="H14" s="5">
        <f t="shared" si="9"/>
        <v>341946</v>
      </c>
      <c r="I14" s="26">
        <f t="shared" si="10"/>
        <v>0.85942366702677886</v>
      </c>
      <c r="J14" s="26">
        <f t="shared" si="0"/>
        <v>-0.18049366163264413</v>
      </c>
      <c r="K14">
        <v>1960</v>
      </c>
      <c r="L14" s="5">
        <v>263700</v>
      </c>
      <c r="M14" s="31">
        <v>416907</v>
      </c>
      <c r="O14" t="str">
        <f t="shared" si="38"/>
        <v>Grant</v>
      </c>
      <c r="P14">
        <f t="shared" si="39"/>
        <v>1960</v>
      </c>
      <c r="Q14" s="35">
        <f t="shared" si="40"/>
        <v>144782</v>
      </c>
      <c r="R14" s="39">
        <f t="shared" si="41"/>
        <v>390714</v>
      </c>
      <c r="S14" s="57">
        <f t="shared" si="11"/>
        <v>0.62944250781901845</v>
      </c>
      <c r="T14" s="5"/>
      <c r="U14" s="5">
        <f t="shared" si="34"/>
        <v>101965.2</v>
      </c>
      <c r="V14" s="5">
        <f t="shared" si="12"/>
        <v>222933.6</v>
      </c>
      <c r="W14" s="5">
        <f t="shared" si="13"/>
        <v>17047.2</v>
      </c>
      <c r="X14" s="5">
        <f t="shared" si="14"/>
        <v>0</v>
      </c>
      <c r="Y14" s="12">
        <f t="shared" si="15"/>
        <v>341946</v>
      </c>
      <c r="Z14" s="29"/>
      <c r="AA14" s="29"/>
      <c r="AB14" s="29"/>
      <c r="AC14" s="29"/>
      <c r="AD14" s="12">
        <f t="shared" si="16"/>
        <v>341946</v>
      </c>
      <c r="AE14" s="12">
        <f t="shared" si="17"/>
        <v>1960</v>
      </c>
      <c r="AF14" s="56">
        <f t="shared" si="18"/>
        <v>0.29819094242950639</v>
      </c>
      <c r="AG14" s="56">
        <f t="shared" si="19"/>
        <v>0.65195557193241038</v>
      </c>
      <c r="AH14" s="56">
        <f t="shared" si="20"/>
        <v>4.9853485638083207E-2</v>
      </c>
      <c r="AI14" s="56"/>
      <c r="AJ14" s="68">
        <f t="shared" si="21"/>
        <v>1960</v>
      </c>
      <c r="AK14" s="60">
        <f t="shared" si="45"/>
        <v>387046.89724664099</v>
      </c>
      <c r="AL14" s="56">
        <f>CHOOSE(umethod,S14,retroU,MAX(0,cslope*(AK14-nlim)/AK14))</f>
        <v>0.62944250781901845</v>
      </c>
      <c r="AM14">
        <f t="shared" si="23"/>
        <v>143423.12760014535</v>
      </c>
      <c r="AN14" s="59">
        <f t="shared" si="2"/>
        <v>339020.12042868685</v>
      </c>
      <c r="AO14" s="59">
        <f t="shared" si="24"/>
        <v>243623.76964649564</v>
      </c>
      <c r="AP14" s="5"/>
      <c r="AR14">
        <v>0.4</v>
      </c>
      <c r="AS14">
        <v>26591286.282524522</v>
      </c>
      <c r="AW14" t="s">
        <v>52</v>
      </c>
      <c r="AX14">
        <v>1960</v>
      </c>
      <c r="AY14" s="3">
        <v>146889</v>
      </c>
      <c r="AZ14" s="4" t="s">
        <v>0</v>
      </c>
      <c r="BA14" s="3">
        <v>4618</v>
      </c>
      <c r="BB14" s="3">
        <v>21523</v>
      </c>
      <c r="BC14" s="4">
        <v>185</v>
      </c>
      <c r="BD14" s="3">
        <v>77262</v>
      </c>
      <c r="BE14" s="3">
        <v>250476</v>
      </c>
      <c r="BF14" s="1">
        <v>0.49</v>
      </c>
      <c r="BG14" s="16">
        <v>263700</v>
      </c>
      <c r="BH14" s="18">
        <v>514176</v>
      </c>
      <c r="BI14" s="7">
        <f t="shared" si="25"/>
        <v>0.48714058999253174</v>
      </c>
      <c r="BJ14" s="1">
        <f t="shared" si="26"/>
        <v>0.28567844473487675</v>
      </c>
      <c r="BK14" s="2">
        <f t="shared" si="27"/>
        <v>1.2573273761390957E-2</v>
      </c>
      <c r="BL14" s="1">
        <f t="shared" si="28"/>
        <v>0.21314595954580065</v>
      </c>
      <c r="BM14" s="8">
        <f t="shared" si="29"/>
        <v>0.48714058999253174</v>
      </c>
      <c r="BN14" s="5">
        <f t="shared" si="30"/>
        <v>250476</v>
      </c>
      <c r="BP14" s="6">
        <f t="shared" si="31"/>
        <v>0.55862288195875698</v>
      </c>
      <c r="BQ14" s="6">
        <f t="shared" si="32"/>
        <v>2.4586098649350262E-2</v>
      </c>
      <c r="BR14" s="6">
        <f t="shared" si="33"/>
        <v>0.41679101939189278</v>
      </c>
      <c r="CB14" t="s">
        <v>55</v>
      </c>
      <c r="CC14" s="19">
        <v>1960</v>
      </c>
      <c r="CD14" s="12">
        <v>390714</v>
      </c>
      <c r="CE14" s="5">
        <v>141635</v>
      </c>
      <c r="CF14" s="5">
        <v>1189</v>
      </c>
      <c r="CG14" s="5">
        <v>4310</v>
      </c>
      <c r="CH14" s="5">
        <v>21523</v>
      </c>
      <c r="CI14">
        <v>185</v>
      </c>
      <c r="CJ14" s="5">
        <v>77090</v>
      </c>
      <c r="CK14" s="14">
        <v>144782</v>
      </c>
      <c r="CL14" s="5">
        <f t="shared" si="42"/>
        <v>390714</v>
      </c>
      <c r="CM14" s="5"/>
      <c r="CN14" s="41">
        <v>0.629</v>
      </c>
      <c r="CO14">
        <f t="shared" si="43"/>
        <v>1960</v>
      </c>
      <c r="CP14" s="6">
        <f t="shared" si="35"/>
        <v>-0.24011622479462286</v>
      </c>
      <c r="CQ14" s="6">
        <f t="shared" si="44"/>
        <v>-0.45095942358740992</v>
      </c>
    </row>
    <row r="15" spans="1:95" x14ac:dyDescent="0.55000000000000004">
      <c r="A15" t="str">
        <f t="shared" si="36"/>
        <v>Grant</v>
      </c>
      <c r="B15">
        <f t="shared" si="4"/>
        <v>1961</v>
      </c>
      <c r="C15" s="36">
        <f t="shared" si="5"/>
        <v>172700</v>
      </c>
      <c r="D15" s="31">
        <f t="shared" si="6"/>
        <v>288161</v>
      </c>
      <c r="E15" s="26">
        <f t="shared" si="7"/>
        <v>0.51196336656327257</v>
      </c>
      <c r="F15" s="26" t="str">
        <f t="shared" si="8"/>
        <v>Grant</v>
      </c>
      <c r="G15" s="5">
        <f t="shared" si="37"/>
        <v>103920</v>
      </c>
      <c r="H15" s="5">
        <f t="shared" si="9"/>
        <v>255725.9</v>
      </c>
      <c r="I15" s="26">
        <f t="shared" si="10"/>
        <v>0.90048479538014536</v>
      </c>
      <c r="J15" s="26">
        <f t="shared" si="0"/>
        <v>-0.1645893919575887</v>
      </c>
      <c r="K15">
        <v>1961</v>
      </c>
      <c r="L15" s="5">
        <v>172700</v>
      </c>
      <c r="M15" s="31">
        <v>288161</v>
      </c>
      <c r="O15" t="str">
        <f t="shared" si="38"/>
        <v>Grant</v>
      </c>
      <c r="P15">
        <f t="shared" si="39"/>
        <v>1961</v>
      </c>
      <c r="Q15" s="35">
        <f t="shared" si="40"/>
        <v>103920</v>
      </c>
      <c r="R15" s="39">
        <f t="shared" si="41"/>
        <v>253644</v>
      </c>
      <c r="S15" s="57">
        <f t="shared" si="11"/>
        <v>0.59029190518995134</v>
      </c>
      <c r="T15" s="5"/>
      <c r="U15" s="5">
        <f t="shared" si="34"/>
        <v>111466.8</v>
      </c>
      <c r="V15" s="5">
        <f t="shared" si="12"/>
        <v>102283.2</v>
      </c>
      <c r="W15" s="5">
        <f t="shared" si="13"/>
        <v>41975.9</v>
      </c>
      <c r="X15" s="5">
        <f t="shared" si="14"/>
        <v>0</v>
      </c>
      <c r="Y15" s="12">
        <f t="shared" si="15"/>
        <v>255725.9</v>
      </c>
      <c r="Z15" s="29"/>
      <c r="AA15" s="29"/>
      <c r="AB15" s="29"/>
      <c r="AC15" s="29"/>
      <c r="AD15" s="12">
        <f t="shared" si="16"/>
        <v>255725.9</v>
      </c>
      <c r="AE15" s="12">
        <f t="shared" si="17"/>
        <v>1961</v>
      </c>
      <c r="AF15" s="56">
        <f t="shared" si="18"/>
        <v>0.43588388974288489</v>
      </c>
      <c r="AG15" s="56">
        <f t="shared" si="19"/>
        <v>0.39997200127167409</v>
      </c>
      <c r="AH15" s="56">
        <f t="shared" si="20"/>
        <v>0.16414410898544107</v>
      </c>
      <c r="AI15" s="56"/>
      <c r="AJ15" s="68">
        <f t="shared" si="21"/>
        <v>1961</v>
      </c>
      <c r="AK15" s="60">
        <f t="shared" si="45"/>
        <v>251616.14214615227</v>
      </c>
      <c r="AL15" s="56">
        <f>CHOOSE(umethod,S15,retroU,MAX(0,cslope*(AK15-nlim)/AK15))</f>
        <v>0.59029190518995134</v>
      </c>
      <c r="AM15">
        <f t="shared" si="23"/>
        <v>103089.17022215444</v>
      </c>
      <c r="AN15" s="59">
        <f t="shared" si="2"/>
        <v>253811.18975305173</v>
      </c>
      <c r="AO15" s="59">
        <f t="shared" si="24"/>
        <v>148526.97192399783</v>
      </c>
      <c r="AP15" s="5"/>
      <c r="AR15">
        <v>0.45</v>
      </c>
      <c r="AS15">
        <v>26591286.282524522</v>
      </c>
      <c r="AW15" t="s">
        <v>52</v>
      </c>
      <c r="AX15">
        <v>1961</v>
      </c>
      <c r="AY15" s="3">
        <v>65963</v>
      </c>
      <c r="AZ15" s="4" t="s">
        <v>0</v>
      </c>
      <c r="BA15" s="3">
        <v>5894</v>
      </c>
      <c r="BB15" s="3">
        <v>15803</v>
      </c>
      <c r="BC15" s="4">
        <v>20</v>
      </c>
      <c r="BD15" s="3">
        <v>57545</v>
      </c>
      <c r="BE15" s="3">
        <v>145224</v>
      </c>
      <c r="BF15" s="1">
        <v>0.46</v>
      </c>
      <c r="BG15" s="16">
        <v>172700</v>
      </c>
      <c r="BH15" s="18">
        <v>317924</v>
      </c>
      <c r="BI15" s="7">
        <f t="shared" si="25"/>
        <v>0.4567884148412828</v>
      </c>
      <c r="BJ15" s="1">
        <f t="shared" si="26"/>
        <v>0.20748040412173979</v>
      </c>
      <c r="BK15" s="2">
        <f t="shared" si="27"/>
        <v>2.3392509158163367E-2</v>
      </c>
      <c r="BL15" s="1">
        <f t="shared" si="28"/>
        <v>0.23387808020418863</v>
      </c>
      <c r="BM15" s="8">
        <f t="shared" si="29"/>
        <v>0.4567884148412828</v>
      </c>
      <c r="BN15" s="5">
        <f t="shared" si="30"/>
        <v>145224</v>
      </c>
      <c r="BP15" s="6">
        <f t="shared" si="31"/>
        <v>0.4464334816507321</v>
      </c>
      <c r="BQ15" s="6">
        <f t="shared" si="32"/>
        <v>5.0333424750310045E-2</v>
      </c>
      <c r="BR15" s="6">
        <f t="shared" si="33"/>
        <v>0.50323309359895785</v>
      </c>
      <c r="CB15" t="s">
        <v>55</v>
      </c>
      <c r="CC15" s="19">
        <v>1961</v>
      </c>
      <c r="CD15" s="12">
        <v>253644</v>
      </c>
      <c r="CE15" s="5">
        <v>69640</v>
      </c>
      <c r="CF15" s="5">
        <v>1131</v>
      </c>
      <c r="CG15" s="5">
        <v>5676</v>
      </c>
      <c r="CH15" s="5">
        <v>15803</v>
      </c>
      <c r="CI15">
        <v>20</v>
      </c>
      <c r="CJ15" s="5">
        <v>57454</v>
      </c>
      <c r="CK15" s="14">
        <v>103920</v>
      </c>
      <c r="CL15" s="5">
        <f t="shared" si="42"/>
        <v>253644</v>
      </c>
      <c r="CM15" s="5"/>
      <c r="CN15" s="41">
        <v>0.59</v>
      </c>
      <c r="CO15">
        <f t="shared" si="43"/>
        <v>1961</v>
      </c>
      <c r="CP15" s="6">
        <f t="shared" si="35"/>
        <v>-0.20218668612624402</v>
      </c>
      <c r="CQ15" s="6">
        <f t="shared" si="44"/>
        <v>-0.39826288361320211</v>
      </c>
    </row>
    <row r="16" spans="1:95" x14ac:dyDescent="0.55000000000000004">
      <c r="A16" t="str">
        <f t="shared" si="36"/>
        <v>Grant</v>
      </c>
      <c r="B16">
        <f t="shared" si="4"/>
        <v>1962</v>
      </c>
      <c r="C16" s="36">
        <f t="shared" si="5"/>
        <v>180200</v>
      </c>
      <c r="D16" s="31">
        <f t="shared" si="6"/>
        <v>423280</v>
      </c>
      <c r="E16" s="26">
        <f t="shared" si="7"/>
        <v>0.85396655342163885</v>
      </c>
      <c r="F16" s="26" t="str">
        <f t="shared" si="8"/>
        <v>Grant</v>
      </c>
      <c r="G16" s="5">
        <f t="shared" si="37"/>
        <v>130357</v>
      </c>
      <c r="H16" s="5">
        <f t="shared" si="9"/>
        <v>335297.3</v>
      </c>
      <c r="I16" s="26">
        <f t="shared" si="10"/>
        <v>0.94474076043913235</v>
      </c>
      <c r="J16" s="26">
        <f t="shared" si="0"/>
        <v>-0.10405737891077649</v>
      </c>
      <c r="K16">
        <v>1962</v>
      </c>
      <c r="L16" s="5">
        <v>180200</v>
      </c>
      <c r="M16" s="31">
        <v>423280</v>
      </c>
      <c r="O16" t="str">
        <f t="shared" si="38"/>
        <v>Grant</v>
      </c>
      <c r="P16">
        <f t="shared" si="39"/>
        <v>1962</v>
      </c>
      <c r="Q16" s="35">
        <f t="shared" si="40"/>
        <v>130357</v>
      </c>
      <c r="R16" s="39">
        <f t="shared" si="41"/>
        <v>249239</v>
      </c>
      <c r="S16" s="57">
        <f t="shared" si="11"/>
        <v>0.47697992689747593</v>
      </c>
      <c r="T16" s="5"/>
      <c r="U16" s="5">
        <f t="shared" si="34"/>
        <v>51141.599999999999</v>
      </c>
      <c r="V16" s="5">
        <f t="shared" si="12"/>
        <v>251855.4</v>
      </c>
      <c r="W16" s="5">
        <f t="shared" si="13"/>
        <v>32300.300000000003</v>
      </c>
      <c r="X16" s="5">
        <f t="shared" si="14"/>
        <v>0</v>
      </c>
      <c r="Y16" s="12">
        <f t="shared" si="15"/>
        <v>335297.3</v>
      </c>
      <c r="Z16" s="29"/>
      <c r="AA16" s="29"/>
      <c r="AB16" s="29"/>
      <c r="AC16" s="29"/>
      <c r="AD16" s="12">
        <f t="shared" si="16"/>
        <v>335297.3</v>
      </c>
      <c r="AE16" s="12">
        <f t="shared" si="17"/>
        <v>1962</v>
      </c>
      <c r="AF16" s="56">
        <f t="shared" si="18"/>
        <v>0.15252613128706971</v>
      </c>
      <c r="AG16" s="56">
        <f t="shared" si="19"/>
        <v>0.7511405549642064</v>
      </c>
      <c r="AH16" s="56">
        <f t="shared" si="20"/>
        <v>9.6333313748723906E-2</v>
      </c>
      <c r="AI16" s="56"/>
      <c r="AJ16" s="68">
        <f t="shared" si="21"/>
        <v>1962</v>
      </c>
      <c r="AK16" s="60">
        <f t="shared" si="45"/>
        <v>241416.59881504547</v>
      </c>
      <c r="AL16" s="56">
        <f>CHOOSE(umethod,S16,retroU,MAX(0,cslope*(AK16-nlim)/AK16))</f>
        <v>0.47697992689747593</v>
      </c>
      <c r="AM16">
        <f t="shared" si="23"/>
        <v>126265.72716040781</v>
      </c>
      <c r="AN16" s="59">
        <f t="shared" si="2"/>
        <v>325593.0215739361</v>
      </c>
      <c r="AO16" s="59">
        <f t="shared" si="24"/>
        <v>115150.87165463765</v>
      </c>
      <c r="AP16" s="5"/>
      <c r="AR16">
        <v>0.5</v>
      </c>
      <c r="AS16">
        <v>26591286.282524522</v>
      </c>
      <c r="AW16" t="s">
        <v>52</v>
      </c>
      <c r="AX16">
        <v>1962</v>
      </c>
      <c r="AY16" s="3">
        <v>36568</v>
      </c>
      <c r="AZ16" s="4" t="s">
        <v>0</v>
      </c>
      <c r="BA16" s="3">
        <v>8034</v>
      </c>
      <c r="BB16" s="3">
        <v>8741</v>
      </c>
      <c r="BC16" s="4">
        <v>33</v>
      </c>
      <c r="BD16" s="3">
        <v>58870</v>
      </c>
      <c r="BE16" s="3">
        <v>112245</v>
      </c>
      <c r="BF16" s="1">
        <v>0.38</v>
      </c>
      <c r="BG16" s="16">
        <v>180200</v>
      </c>
      <c r="BH16" s="18">
        <v>292445</v>
      </c>
      <c r="BI16" s="7">
        <f t="shared" si="25"/>
        <v>0.38381576022841901</v>
      </c>
      <c r="BJ16" s="1">
        <f t="shared" si="26"/>
        <v>0.1250423156490964</v>
      </c>
      <c r="BK16" s="2">
        <f t="shared" si="27"/>
        <v>3.139789820890506E-2</v>
      </c>
      <c r="BL16" s="1">
        <f t="shared" si="28"/>
        <v>0.23756103466365361</v>
      </c>
      <c r="BM16" s="8">
        <f t="shared" si="29"/>
        <v>0.38381576022841901</v>
      </c>
      <c r="BN16" s="5">
        <f t="shared" si="30"/>
        <v>112244.99999999999</v>
      </c>
      <c r="BP16" s="6">
        <f t="shared" si="31"/>
        <v>0.31736527769460565</v>
      </c>
      <c r="BQ16" s="6">
        <f t="shared" si="32"/>
        <v>7.968984445281363E-2</v>
      </c>
      <c r="BR16" s="6">
        <f t="shared" si="33"/>
        <v>0.60294487785258066</v>
      </c>
      <c r="CB16" t="s">
        <v>55</v>
      </c>
      <c r="CC16" s="19">
        <v>1962</v>
      </c>
      <c r="CD16" s="12">
        <v>249239</v>
      </c>
      <c r="CE16" s="5">
        <v>42750</v>
      </c>
      <c r="CF16" s="5">
        <v>1338</v>
      </c>
      <c r="CG16" s="5">
        <v>7155</v>
      </c>
      <c r="CH16" s="5">
        <v>8741</v>
      </c>
      <c r="CI16">
        <v>33</v>
      </c>
      <c r="CJ16" s="5">
        <v>58866</v>
      </c>
      <c r="CK16" s="14">
        <v>130357</v>
      </c>
      <c r="CL16" s="5">
        <f t="shared" si="42"/>
        <v>249240</v>
      </c>
      <c r="CM16" s="5"/>
      <c r="CN16" s="41">
        <v>0.47699999999999998</v>
      </c>
      <c r="CO16">
        <f t="shared" si="43"/>
        <v>1962</v>
      </c>
      <c r="CP16" s="6">
        <f t="shared" si="35"/>
        <v>-0.14774060079673101</v>
      </c>
      <c r="CQ16" s="6">
        <f t="shared" si="44"/>
        <v>-0.27659822419533853</v>
      </c>
    </row>
    <row r="17" spans="1:102" x14ac:dyDescent="0.55000000000000004">
      <c r="A17" t="str">
        <f t="shared" si="36"/>
        <v>Grant</v>
      </c>
      <c r="B17">
        <f t="shared" si="4"/>
        <v>1963</v>
      </c>
      <c r="C17" s="36">
        <f t="shared" si="5"/>
        <v>214200</v>
      </c>
      <c r="D17" s="31">
        <f t="shared" si="6"/>
        <v>430785</v>
      </c>
      <c r="E17" s="26">
        <f t="shared" si="7"/>
        <v>0.69869896772088746</v>
      </c>
      <c r="F17" s="26" t="str">
        <f t="shared" si="8"/>
        <v>Grant</v>
      </c>
      <c r="G17" s="5">
        <f t="shared" si="37"/>
        <v>192245</v>
      </c>
      <c r="H17" s="5">
        <f t="shared" si="9"/>
        <v>435055.2</v>
      </c>
      <c r="I17" s="26">
        <f t="shared" si="10"/>
        <v>0.81670231934451809</v>
      </c>
      <c r="J17" s="26">
        <f t="shared" si="0"/>
        <v>-0.19399421778613257</v>
      </c>
      <c r="K17">
        <v>1963</v>
      </c>
      <c r="L17" s="5">
        <v>214200</v>
      </c>
      <c r="M17" s="31">
        <v>430785</v>
      </c>
      <c r="O17" t="str">
        <f t="shared" si="38"/>
        <v>Grant</v>
      </c>
      <c r="P17">
        <f t="shared" si="39"/>
        <v>1963</v>
      </c>
      <c r="Q17" s="35">
        <f t="shared" si="40"/>
        <v>192245</v>
      </c>
      <c r="R17" s="39">
        <f t="shared" si="41"/>
        <v>339884</v>
      </c>
      <c r="S17" s="57">
        <f t="shared" si="11"/>
        <v>0.43438055336526582</v>
      </c>
      <c r="T17" s="5"/>
      <c r="U17" s="5">
        <f t="shared" si="34"/>
        <v>125927.7</v>
      </c>
      <c r="V17" s="5">
        <f t="shared" si="12"/>
        <v>193801.8</v>
      </c>
      <c r="W17" s="5">
        <f t="shared" si="13"/>
        <v>115325.70000000001</v>
      </c>
      <c r="X17" s="5">
        <f t="shared" si="14"/>
        <v>0</v>
      </c>
      <c r="Y17" s="12">
        <f t="shared" si="15"/>
        <v>435055.2</v>
      </c>
      <c r="Z17" s="29"/>
      <c r="AA17" s="29"/>
      <c r="AB17" s="29"/>
      <c r="AC17" s="29"/>
      <c r="AD17" s="12">
        <f t="shared" si="16"/>
        <v>435055.2</v>
      </c>
      <c r="AE17" s="12">
        <f t="shared" si="17"/>
        <v>1963</v>
      </c>
      <c r="AF17" s="56">
        <f t="shared" si="18"/>
        <v>0.28945223502672762</v>
      </c>
      <c r="AG17" s="56">
        <f t="shared" si="19"/>
        <v>0.44546485135679331</v>
      </c>
      <c r="AH17" s="56">
        <f t="shared" si="20"/>
        <v>0.26508291361647901</v>
      </c>
      <c r="AI17" s="56"/>
      <c r="AJ17" s="68">
        <f t="shared" si="21"/>
        <v>1963</v>
      </c>
      <c r="AK17" s="60">
        <f t="shared" si="45"/>
        <v>327640.48668735276</v>
      </c>
      <c r="AL17" s="56">
        <f>CHOOSE(umethod,S17,retroU,MAX(0,cslope*(AK17-nlim)/AK17))</f>
        <v>0.43438055336526582</v>
      </c>
      <c r="AM17">
        <f t="shared" si="23"/>
        <v>185319.83077523546</v>
      </c>
      <c r="AN17" s="59">
        <f t="shared" si="2"/>
        <v>421175.23225314409</v>
      </c>
      <c r="AO17" s="59">
        <f t="shared" si="24"/>
        <v>142320.6559121173</v>
      </c>
      <c r="AP17" s="5"/>
      <c r="AR17">
        <v>0.55000000000000004</v>
      </c>
      <c r="AS17">
        <v>26591286.282524522</v>
      </c>
      <c r="AW17" t="s">
        <v>52</v>
      </c>
      <c r="AX17">
        <v>1963</v>
      </c>
      <c r="AY17" s="3">
        <v>75293</v>
      </c>
      <c r="AZ17" s="4" t="s">
        <v>0</v>
      </c>
      <c r="BA17" s="3">
        <v>9163</v>
      </c>
      <c r="BB17" s="3">
        <v>9807</v>
      </c>
      <c r="BC17" s="4">
        <v>360</v>
      </c>
      <c r="BD17" s="3">
        <v>64548</v>
      </c>
      <c r="BE17" s="3">
        <v>159172</v>
      </c>
      <c r="BF17" s="1">
        <v>0.43</v>
      </c>
      <c r="BG17" s="16">
        <v>214200</v>
      </c>
      <c r="BH17" s="18">
        <v>373372</v>
      </c>
      <c r="BI17" s="7">
        <f t="shared" si="25"/>
        <v>0.42630941795314059</v>
      </c>
      <c r="BJ17" s="1">
        <f t="shared" si="26"/>
        <v>0.2016567926893286</v>
      </c>
      <c r="BK17" s="2">
        <f t="shared" si="27"/>
        <v>3.0740172907182325E-2</v>
      </c>
      <c r="BL17" s="1">
        <f t="shared" si="28"/>
        <v>0.22369314795048448</v>
      </c>
      <c r="BM17" s="8">
        <f t="shared" si="29"/>
        <v>0.42630941795314059</v>
      </c>
      <c r="BN17" s="5">
        <f t="shared" si="30"/>
        <v>159172</v>
      </c>
      <c r="BP17" s="6">
        <f t="shared" si="31"/>
        <v>0.44214243347888299</v>
      </c>
      <c r="BQ17" s="6">
        <f t="shared" si="32"/>
        <v>6.7399340599859039E-2</v>
      </c>
      <c r="BR17" s="6">
        <f t="shared" si="33"/>
        <v>0.49045822592125804</v>
      </c>
      <c r="CB17" t="s">
        <v>55</v>
      </c>
      <c r="CC17" s="19">
        <v>1963</v>
      </c>
      <c r="CD17" s="12">
        <v>339884</v>
      </c>
      <c r="CE17" s="5">
        <v>65476</v>
      </c>
      <c r="CF17">
        <v>0</v>
      </c>
      <c r="CG17" s="5">
        <v>7567</v>
      </c>
      <c r="CH17" s="5">
        <v>9807</v>
      </c>
      <c r="CI17">
        <v>360</v>
      </c>
      <c r="CJ17" s="5">
        <v>64428</v>
      </c>
      <c r="CK17" s="14">
        <v>192245</v>
      </c>
      <c r="CL17" s="5">
        <f t="shared" si="42"/>
        <v>339883</v>
      </c>
      <c r="CM17" s="5"/>
      <c r="CN17" s="41">
        <v>0.434</v>
      </c>
      <c r="CO17">
        <f t="shared" si="43"/>
        <v>1963</v>
      </c>
      <c r="CP17" s="6">
        <f t="shared" si="35"/>
        <v>-8.9690710604973051E-2</v>
      </c>
      <c r="CQ17" s="6">
        <f t="shared" si="44"/>
        <v>-0.10249766573295985</v>
      </c>
    </row>
    <row r="18" spans="1:102" x14ac:dyDescent="0.55000000000000004">
      <c r="A18" t="str">
        <f t="shared" si="36"/>
        <v>Grant</v>
      </c>
      <c r="B18">
        <f t="shared" si="4"/>
        <v>1964</v>
      </c>
      <c r="C18" s="36">
        <f t="shared" si="5"/>
        <v>325400</v>
      </c>
      <c r="D18" s="31">
        <f t="shared" si="6"/>
        <v>1165723</v>
      </c>
      <c r="E18" s="26">
        <f t="shared" si="7"/>
        <v>1.2760415795801567</v>
      </c>
      <c r="F18" s="26" t="str">
        <f t="shared" si="8"/>
        <v>Grant</v>
      </c>
      <c r="G18" s="5">
        <f t="shared" si="37"/>
        <v>246741</v>
      </c>
      <c r="H18" s="5">
        <f t="shared" si="9"/>
        <v>846704.4</v>
      </c>
      <c r="I18" s="26">
        <f t="shared" si="10"/>
        <v>1.2330124337962716</v>
      </c>
      <c r="J18" s="26">
        <f t="shared" si="0"/>
        <v>0.25586658362497794</v>
      </c>
      <c r="K18">
        <v>1964</v>
      </c>
      <c r="L18" s="5">
        <v>325400</v>
      </c>
      <c r="M18" s="31">
        <v>1165723</v>
      </c>
      <c r="O18" t="str">
        <f t="shared" si="38"/>
        <v>Grant</v>
      </c>
      <c r="P18">
        <f t="shared" si="39"/>
        <v>1964</v>
      </c>
      <c r="Q18" s="35">
        <f t="shared" si="40"/>
        <v>246741</v>
      </c>
      <c r="R18" s="39">
        <f t="shared" si="41"/>
        <v>371556</v>
      </c>
      <c r="S18" s="57">
        <f t="shared" si="11"/>
        <v>0.33592513645318611</v>
      </c>
      <c r="T18" s="5"/>
      <c r="U18" s="5">
        <f t="shared" si="34"/>
        <v>96900.9</v>
      </c>
      <c r="V18" s="5">
        <f t="shared" si="12"/>
        <v>691954.2</v>
      </c>
      <c r="W18" s="5">
        <f t="shared" si="13"/>
        <v>57849.3</v>
      </c>
      <c r="X18" s="5">
        <f t="shared" si="14"/>
        <v>0</v>
      </c>
      <c r="Y18" s="12">
        <f t="shared" si="15"/>
        <v>846704.4</v>
      </c>
      <c r="Z18" s="29"/>
      <c r="AA18" s="29"/>
      <c r="AB18" s="29"/>
      <c r="AC18" s="29"/>
      <c r="AD18" s="12">
        <f t="shared" si="16"/>
        <v>846704.4</v>
      </c>
      <c r="AE18" s="12">
        <f t="shared" si="17"/>
        <v>1964</v>
      </c>
      <c r="AF18" s="56">
        <f t="shared" si="18"/>
        <v>0.11444478143729972</v>
      </c>
      <c r="AG18" s="56">
        <f t="shared" si="19"/>
        <v>0.81723231862265033</v>
      </c>
      <c r="AH18" s="56">
        <f t="shared" si="20"/>
        <v>6.8322899940049919E-2</v>
      </c>
      <c r="AI18" s="56"/>
      <c r="AJ18" s="68">
        <f t="shared" si="21"/>
        <v>1964</v>
      </c>
      <c r="AK18" s="60">
        <f t="shared" si="45"/>
        <v>366907.12082483614</v>
      </c>
      <c r="AL18" s="56">
        <f>CHOOSE(umethod,S18,retroU,MAX(0,cslope*(AK18-nlim)/AK18))</f>
        <v>0.33592513645318611</v>
      </c>
      <c r="AM18">
        <f t="shared" si="23"/>
        <v>243653.7961961074</v>
      </c>
      <c r="AN18" s="59">
        <f t="shared" si="2"/>
        <v>837701.16614431178</v>
      </c>
      <c r="AO18" s="59">
        <f t="shared" si="24"/>
        <v>123253.32462872873</v>
      </c>
      <c r="AP18" s="5"/>
      <c r="AR18">
        <v>0.6</v>
      </c>
      <c r="AS18">
        <v>26591286.282524522</v>
      </c>
      <c r="AW18" t="s">
        <v>52</v>
      </c>
      <c r="AX18">
        <v>1964</v>
      </c>
      <c r="AY18" s="3">
        <v>27470</v>
      </c>
      <c r="AZ18" s="4" t="s">
        <v>0</v>
      </c>
      <c r="BA18" s="3">
        <v>9025</v>
      </c>
      <c r="BB18" s="3">
        <v>11350</v>
      </c>
      <c r="BC18" s="4">
        <v>437</v>
      </c>
      <c r="BD18" s="3">
        <v>73031</v>
      </c>
      <c r="BE18" s="3">
        <v>121313</v>
      </c>
      <c r="BF18" s="1">
        <v>0.27</v>
      </c>
      <c r="BG18" s="16">
        <v>325400</v>
      </c>
      <c r="BH18" s="18">
        <v>446713</v>
      </c>
      <c r="BI18" s="7">
        <f t="shared" si="25"/>
        <v>0.27156809853306263</v>
      </c>
      <c r="BJ18" s="1">
        <f t="shared" si="26"/>
        <v>6.1493621184071208E-2</v>
      </c>
      <c r="BK18" s="2">
        <f t="shared" si="27"/>
        <v>2.1526894903433094E-2</v>
      </c>
      <c r="BL18" s="1">
        <f t="shared" si="28"/>
        <v>0.178219585583519</v>
      </c>
      <c r="BM18" s="8">
        <f t="shared" si="29"/>
        <v>0.27156809853306263</v>
      </c>
      <c r="BN18" s="5">
        <f t="shared" si="30"/>
        <v>121313.00000000001</v>
      </c>
      <c r="BP18" s="6">
        <f t="shared" si="31"/>
        <v>0.23539120062627072</v>
      </c>
      <c r="BQ18" s="6">
        <f t="shared" si="32"/>
        <v>8.240271981880358E-2</v>
      </c>
      <c r="BR18" s="6">
        <f t="shared" si="33"/>
        <v>0.68220607955492574</v>
      </c>
      <c r="CB18" t="s">
        <v>55</v>
      </c>
      <c r="CC18" s="19">
        <v>1964</v>
      </c>
      <c r="CD18" s="12">
        <v>371556</v>
      </c>
      <c r="CE18" s="5">
        <v>31979</v>
      </c>
      <c r="CF18">
        <v>0</v>
      </c>
      <c r="CG18" s="5">
        <v>8372</v>
      </c>
      <c r="CH18" s="5">
        <v>11350</v>
      </c>
      <c r="CI18">
        <v>437</v>
      </c>
      <c r="CJ18" s="5">
        <v>72677</v>
      </c>
      <c r="CK18" s="14">
        <v>246741</v>
      </c>
      <c r="CL18" s="5">
        <f t="shared" si="42"/>
        <v>371556</v>
      </c>
      <c r="CM18" s="5"/>
      <c r="CN18" s="41">
        <v>0.33600000000000002</v>
      </c>
      <c r="CO18">
        <f t="shared" si="43"/>
        <v>1964</v>
      </c>
      <c r="CP18" s="6">
        <f t="shared" si="35"/>
        <v>-0.16824448807175971</v>
      </c>
      <c r="CQ18" s="6">
        <f t="shared" si="44"/>
        <v>-0.2417301782421635</v>
      </c>
    </row>
    <row r="19" spans="1:102" x14ac:dyDescent="0.55000000000000004">
      <c r="A19" t="str">
        <f t="shared" si="36"/>
        <v>Grant</v>
      </c>
      <c r="B19">
        <f t="shared" si="4"/>
        <v>1965</v>
      </c>
      <c r="C19" s="36">
        <f t="shared" si="5"/>
        <v>184800</v>
      </c>
      <c r="D19" s="31">
        <f t="shared" si="6"/>
        <v>851349</v>
      </c>
      <c r="E19" s="26">
        <f t="shared" si="7"/>
        <v>1.5275479910533403</v>
      </c>
      <c r="F19" s="26" t="str">
        <f t="shared" si="8"/>
        <v>Grant</v>
      </c>
      <c r="G19" s="5">
        <f t="shared" si="37"/>
        <v>129459</v>
      </c>
      <c r="H19" s="5">
        <f t="shared" si="9"/>
        <v>767008.39999999991</v>
      </c>
      <c r="I19" s="26">
        <f t="shared" si="10"/>
        <v>1.7791335243734945</v>
      </c>
      <c r="J19" s="26">
        <f t="shared" si="0"/>
        <v>0.72978252762323503</v>
      </c>
      <c r="K19">
        <v>1965</v>
      </c>
      <c r="L19" s="5">
        <v>184800</v>
      </c>
      <c r="M19" s="31">
        <v>851349</v>
      </c>
      <c r="O19" t="str">
        <f t="shared" si="38"/>
        <v>Grant</v>
      </c>
      <c r="P19">
        <f t="shared" si="39"/>
        <v>1965</v>
      </c>
      <c r="Q19" s="35">
        <f t="shared" si="40"/>
        <v>129459</v>
      </c>
      <c r="R19" s="39">
        <f t="shared" si="41"/>
        <v>170472</v>
      </c>
      <c r="S19" s="57">
        <f t="shared" si="11"/>
        <v>0.24058496409967622</v>
      </c>
      <c r="T19" s="5"/>
      <c r="U19" s="5">
        <f t="shared" si="34"/>
        <v>345977.1</v>
      </c>
      <c r="V19" s="5">
        <f t="shared" si="12"/>
        <v>347095.8</v>
      </c>
      <c r="W19" s="5">
        <f t="shared" si="13"/>
        <v>73935.5</v>
      </c>
      <c r="X19" s="5">
        <f t="shared" si="14"/>
        <v>0</v>
      </c>
      <c r="Y19" s="12">
        <f t="shared" si="15"/>
        <v>767008.39999999991</v>
      </c>
      <c r="Z19" s="29"/>
      <c r="AA19" s="29"/>
      <c r="AB19" s="29"/>
      <c r="AC19" s="29"/>
      <c r="AD19" s="12">
        <f t="shared" si="16"/>
        <v>767008.39999999991</v>
      </c>
      <c r="AE19" s="12">
        <f t="shared" si="17"/>
        <v>1965</v>
      </c>
      <c r="AF19" s="56">
        <f t="shared" si="18"/>
        <v>0.45107341718812993</v>
      </c>
      <c r="AG19" s="56">
        <f t="shared" si="19"/>
        <v>0.45253194098004668</v>
      </c>
      <c r="AH19" s="56">
        <f t="shared" si="20"/>
        <v>9.6394641831823502E-2</v>
      </c>
      <c r="AI19" s="56"/>
      <c r="AJ19" s="68">
        <f t="shared" si="21"/>
        <v>1965</v>
      </c>
      <c r="AK19" s="60">
        <f t="shared" si="45"/>
        <v>168080.14817022541</v>
      </c>
      <c r="AL19" s="56">
        <f>CHOOSE(umethod,S19,retroU,MAX(0,cslope*(AK19-nlim)/AK19))</f>
        <v>0.24058496409967622</v>
      </c>
      <c r="AM19">
        <f t="shared" si="23"/>
        <v>127642.59175682347</v>
      </c>
      <c r="AN19" s="59">
        <f t="shared" si="2"/>
        <v>757092.85671677755</v>
      </c>
      <c r="AO19" s="59">
        <f t="shared" si="24"/>
        <v>40437.556413401937</v>
      </c>
      <c r="AP19" s="5"/>
      <c r="AR19">
        <v>0.65</v>
      </c>
      <c r="AS19">
        <v>26591286.282524522</v>
      </c>
      <c r="AW19" t="s">
        <v>52</v>
      </c>
      <c r="AX19">
        <v>1965</v>
      </c>
      <c r="AY19" s="3">
        <v>4270</v>
      </c>
      <c r="AZ19" s="4" t="s">
        <v>0</v>
      </c>
      <c r="BA19" s="3">
        <v>8713</v>
      </c>
      <c r="BB19" s="3">
        <v>5595</v>
      </c>
      <c r="BC19" s="4">
        <v>203</v>
      </c>
      <c r="BD19" s="3">
        <v>19329</v>
      </c>
      <c r="BE19" s="3">
        <v>38110</v>
      </c>
      <c r="BF19" s="1">
        <v>0.17</v>
      </c>
      <c r="BG19" s="16">
        <v>184800</v>
      </c>
      <c r="BH19" s="18">
        <v>222910</v>
      </c>
      <c r="BI19" s="7">
        <f t="shared" si="25"/>
        <v>0.17096586066125341</v>
      </c>
      <c r="BJ19" s="1">
        <f t="shared" si="26"/>
        <v>1.9155713068054372E-2</v>
      </c>
      <c r="BK19" s="2">
        <f t="shared" si="27"/>
        <v>3.9850896450786683E-2</v>
      </c>
      <c r="BL19" s="1">
        <f t="shared" si="28"/>
        <v>9.2163986954282767E-2</v>
      </c>
      <c r="BM19" s="8">
        <f t="shared" si="29"/>
        <v>0.17096586066125341</v>
      </c>
      <c r="BN19" s="5">
        <f t="shared" si="30"/>
        <v>38110</v>
      </c>
      <c r="BP19" s="6">
        <f t="shared" si="31"/>
        <v>0.12671586614702557</v>
      </c>
      <c r="BQ19" s="6">
        <f t="shared" si="32"/>
        <v>0.26361539466354927</v>
      </c>
      <c r="BR19" s="6">
        <f t="shared" si="33"/>
        <v>0.60966873918942521</v>
      </c>
      <c r="CB19" t="s">
        <v>55</v>
      </c>
      <c r="CC19" s="19">
        <v>1965</v>
      </c>
      <c r="CD19" s="12">
        <v>170472</v>
      </c>
      <c r="CE19" s="5">
        <v>8447</v>
      </c>
      <c r="CF19">
        <v>0</v>
      </c>
      <c r="CG19" s="5">
        <v>7566</v>
      </c>
      <c r="CH19" s="5">
        <v>5595</v>
      </c>
      <c r="CI19">
        <v>203</v>
      </c>
      <c r="CJ19" s="5">
        <v>19202</v>
      </c>
      <c r="CK19" s="14">
        <v>129459</v>
      </c>
      <c r="CL19" s="5">
        <f t="shared" si="42"/>
        <v>170472</v>
      </c>
      <c r="CM19" s="5"/>
      <c r="CN19" s="41">
        <v>0.24099999999999999</v>
      </c>
      <c r="CO19">
        <f t="shared" si="43"/>
        <v>1965</v>
      </c>
      <c r="CP19" s="6">
        <f t="shared" si="35"/>
        <v>-0.23524292315284195</v>
      </c>
      <c r="CQ19" s="6">
        <f t="shared" si="44"/>
        <v>-0.29946428571428574</v>
      </c>
    </row>
    <row r="20" spans="1:102" x14ac:dyDescent="0.55000000000000004">
      <c r="A20" t="str">
        <f t="shared" si="36"/>
        <v>Grant</v>
      </c>
      <c r="B20">
        <f t="shared" si="4"/>
        <v>1966</v>
      </c>
      <c r="C20" s="36">
        <f t="shared" si="5"/>
        <v>429700</v>
      </c>
      <c r="D20" s="31">
        <f t="shared" si="6"/>
        <v>719419</v>
      </c>
      <c r="E20" s="26">
        <f t="shared" si="7"/>
        <v>0.51535665102978301</v>
      </c>
      <c r="F20" s="26" t="str">
        <f t="shared" si="8"/>
        <v>Grant</v>
      </c>
      <c r="G20" s="5">
        <f t="shared" si="37"/>
        <v>360810</v>
      </c>
      <c r="H20" s="5">
        <f t="shared" si="9"/>
        <v>654797.30000000005</v>
      </c>
      <c r="I20" s="26">
        <f t="shared" si="10"/>
        <v>0.59597421810138684</v>
      </c>
      <c r="J20" s="26">
        <f t="shared" si="0"/>
        <v>-0.31094458218061383</v>
      </c>
      <c r="K20">
        <v>1966</v>
      </c>
      <c r="L20" s="5">
        <v>429700</v>
      </c>
      <c r="M20" s="31">
        <v>719419</v>
      </c>
      <c r="O20" t="str">
        <f t="shared" si="38"/>
        <v>Grant</v>
      </c>
      <c r="P20">
        <f t="shared" si="39"/>
        <v>1966</v>
      </c>
      <c r="Q20" s="35">
        <f t="shared" si="40"/>
        <v>360810</v>
      </c>
      <c r="R20" s="39">
        <f t="shared" si="41"/>
        <v>419759</v>
      </c>
      <c r="S20" s="57">
        <f t="shared" si="11"/>
        <v>0.14043534504322719</v>
      </c>
      <c r="T20" s="5"/>
      <c r="U20" s="5">
        <f t="shared" si="34"/>
        <v>173547.9</v>
      </c>
      <c r="V20" s="5">
        <f t="shared" si="12"/>
        <v>443613</v>
      </c>
      <c r="W20" s="5">
        <f t="shared" si="13"/>
        <v>37636.400000000001</v>
      </c>
      <c r="X20" s="5">
        <f t="shared" si="14"/>
        <v>0</v>
      </c>
      <c r="Y20" s="12">
        <f t="shared" si="15"/>
        <v>654797.30000000005</v>
      </c>
      <c r="Z20" s="29"/>
      <c r="AA20" s="29"/>
      <c r="AB20" s="29"/>
      <c r="AC20" s="29"/>
      <c r="AD20" s="12">
        <f t="shared" si="16"/>
        <v>654797.30000000005</v>
      </c>
      <c r="AE20" s="12">
        <f t="shared" si="17"/>
        <v>1966</v>
      </c>
      <c r="AF20" s="56">
        <f t="shared" si="18"/>
        <v>0.26504064692997359</v>
      </c>
      <c r="AG20" s="56">
        <f t="shared" si="19"/>
        <v>0.67748141295023656</v>
      </c>
      <c r="AH20" s="56">
        <f t="shared" si="20"/>
        <v>5.7477940119789739E-2</v>
      </c>
      <c r="AI20" s="56"/>
      <c r="AJ20" s="68">
        <f t="shared" si="21"/>
        <v>1966</v>
      </c>
      <c r="AK20" s="60">
        <f t="shared" si="45"/>
        <v>408137.8468236422</v>
      </c>
      <c r="AL20" s="56">
        <f>CHOOSE(umethod,S20,retroU,MAX(0,cslope*(AK20-nlim)/AK20))</f>
        <v>0.14043534504322719</v>
      </c>
      <c r="AM20">
        <f t="shared" si="23"/>
        <v>350820.86747976422</v>
      </c>
      <c r="AN20" s="59">
        <f t="shared" si="2"/>
        <v>640596.52517540462</v>
      </c>
      <c r="AO20" s="59">
        <f t="shared" si="24"/>
        <v>57316.979343877989</v>
      </c>
      <c r="AP20" s="5"/>
      <c r="AW20" t="s">
        <v>52</v>
      </c>
      <c r="AX20">
        <v>1966</v>
      </c>
      <c r="AY20" s="3">
        <v>8860</v>
      </c>
      <c r="AZ20" s="4" t="s">
        <v>0</v>
      </c>
      <c r="BA20" s="3">
        <v>8219</v>
      </c>
      <c r="BB20" s="3">
        <v>10083</v>
      </c>
      <c r="BC20" s="4">
        <v>216</v>
      </c>
      <c r="BD20" s="3">
        <v>26054</v>
      </c>
      <c r="BE20" s="3">
        <v>53432</v>
      </c>
      <c r="BF20" s="1">
        <v>0.11</v>
      </c>
      <c r="BG20" s="16">
        <v>429700</v>
      </c>
      <c r="BH20" s="18">
        <v>483132</v>
      </c>
      <c r="BI20" s="7">
        <f t="shared" si="25"/>
        <v>0.11059503406936406</v>
      </c>
      <c r="BJ20" s="1">
        <f t="shared" si="26"/>
        <v>1.8338673488818791E-2</v>
      </c>
      <c r="BK20" s="2">
        <f t="shared" si="27"/>
        <v>1.7329717967748466E-2</v>
      </c>
      <c r="BL20" s="1">
        <f t="shared" si="28"/>
        <v>5.5929434544701256E-2</v>
      </c>
      <c r="BM20" s="8">
        <f t="shared" si="29"/>
        <v>0.11059503406936406</v>
      </c>
      <c r="BN20" s="5">
        <f t="shared" si="30"/>
        <v>53432</v>
      </c>
      <c r="BP20" s="6">
        <f t="shared" si="31"/>
        <v>0.20020861072144688</v>
      </c>
      <c r="BQ20" s="6">
        <f t="shared" si="32"/>
        <v>0.18919355102934945</v>
      </c>
      <c r="BR20" s="6">
        <f t="shared" si="33"/>
        <v>0.61059783824920377</v>
      </c>
      <c r="CB20" t="s">
        <v>55</v>
      </c>
      <c r="CC20" s="19">
        <v>1966</v>
      </c>
      <c r="CD20" s="12">
        <v>419759</v>
      </c>
      <c r="CE20" s="5">
        <v>15213</v>
      </c>
      <c r="CF20">
        <v>0</v>
      </c>
      <c r="CG20" s="5">
        <v>7402</v>
      </c>
      <c r="CH20" s="5">
        <v>10083</v>
      </c>
      <c r="CI20">
        <v>216</v>
      </c>
      <c r="CJ20" s="5">
        <v>26035</v>
      </c>
      <c r="CK20" s="14">
        <v>360810</v>
      </c>
      <c r="CL20" s="5">
        <f t="shared" si="42"/>
        <v>419759</v>
      </c>
      <c r="CM20" s="5"/>
      <c r="CN20" s="41">
        <v>0.14000000000000001</v>
      </c>
      <c r="CO20">
        <f t="shared" si="43"/>
        <v>1966</v>
      </c>
      <c r="CP20" s="6">
        <f t="shared" si="35"/>
        <v>-0.13117119131003535</v>
      </c>
      <c r="CQ20" s="6">
        <f t="shared" si="44"/>
        <v>-0.16032115429369329</v>
      </c>
    </row>
    <row r="21" spans="1:102" x14ac:dyDescent="0.55000000000000004">
      <c r="A21" t="str">
        <f t="shared" si="36"/>
        <v>Grant</v>
      </c>
      <c r="B21">
        <f t="shared" si="4"/>
        <v>1967</v>
      </c>
      <c r="C21" s="36">
        <f t="shared" si="5"/>
        <v>213873</v>
      </c>
      <c r="D21" s="31">
        <f t="shared" si="6"/>
        <v>526762</v>
      </c>
      <c r="E21" s="26">
        <f t="shared" si="7"/>
        <v>0.90136645271825699</v>
      </c>
      <c r="F21" s="26" t="str">
        <f t="shared" si="8"/>
        <v>Grant</v>
      </c>
      <c r="G21" s="5">
        <f t="shared" si="37"/>
        <v>213873</v>
      </c>
      <c r="H21" s="5">
        <f t="shared" si="9"/>
        <v>582606.9</v>
      </c>
      <c r="I21" s="26">
        <f t="shared" si="10"/>
        <v>1.0021303070034921</v>
      </c>
      <c r="J21" s="26">
        <f t="shared" si="0"/>
        <v>4.7491371944241578E-3</v>
      </c>
      <c r="K21">
        <v>1967</v>
      </c>
      <c r="L21" s="5">
        <v>213873</v>
      </c>
      <c r="M21" s="31">
        <v>526762</v>
      </c>
      <c r="O21" t="str">
        <f t="shared" si="38"/>
        <v>Grant</v>
      </c>
      <c r="P21">
        <f t="shared" si="39"/>
        <v>1967</v>
      </c>
      <c r="Q21" s="35">
        <f t="shared" si="40"/>
        <v>213873</v>
      </c>
      <c r="R21" s="39">
        <f t="shared" si="41"/>
        <v>323003</v>
      </c>
      <c r="S21" s="57">
        <f t="shared" si="11"/>
        <v>0.33786063906527186</v>
      </c>
      <c r="T21" s="5"/>
      <c r="U21" s="5">
        <f t="shared" si="34"/>
        <v>221806.5</v>
      </c>
      <c r="V21" s="5">
        <f t="shared" si="12"/>
        <v>225818.4</v>
      </c>
      <c r="W21" s="5">
        <f t="shared" si="13"/>
        <v>134982</v>
      </c>
      <c r="X21" s="5">
        <f t="shared" si="14"/>
        <v>0</v>
      </c>
      <c r="Y21" s="12">
        <f t="shared" si="15"/>
        <v>582606.9</v>
      </c>
      <c r="Z21" s="29"/>
      <c r="AA21" s="29"/>
      <c r="AB21" s="29"/>
      <c r="AC21" s="29"/>
      <c r="AD21" s="12">
        <f t="shared" si="16"/>
        <v>582606.9</v>
      </c>
      <c r="AE21" s="12">
        <f t="shared" si="17"/>
        <v>1967</v>
      </c>
      <c r="AF21" s="56">
        <f t="shared" si="18"/>
        <v>0.38071382264782649</v>
      </c>
      <c r="AG21" s="56">
        <f t="shared" si="19"/>
        <v>0.38759994088638494</v>
      </c>
      <c r="AH21" s="56">
        <f t="shared" si="20"/>
        <v>0.23168623646578851</v>
      </c>
      <c r="AI21" s="56"/>
      <c r="AJ21" s="68">
        <f t="shared" si="21"/>
        <v>1967</v>
      </c>
      <c r="AK21" s="60">
        <f t="shared" si="45"/>
        <v>314854.74380164361</v>
      </c>
      <c r="AL21" s="56">
        <f>CHOOSE(umethod,S21,retroU,MAX(0,cslope*(AK21-nlim)/AK21))</f>
        <v>0.33786063906527186</v>
      </c>
      <c r="AM21">
        <f t="shared" si="23"/>
        <v>208477.71884808785</v>
      </c>
      <c r="AN21" s="59">
        <f t="shared" si="2"/>
        <v>569799.24986079114</v>
      </c>
      <c r="AO21" s="59">
        <f t="shared" si="24"/>
        <v>106377.02495355575</v>
      </c>
      <c r="AP21" s="5"/>
      <c r="AW21" t="s">
        <v>52</v>
      </c>
      <c r="AX21">
        <v>1967</v>
      </c>
      <c r="AY21" s="3">
        <v>36432</v>
      </c>
      <c r="AZ21" s="4" t="s">
        <v>0</v>
      </c>
      <c r="BA21" s="3">
        <v>11948</v>
      </c>
      <c r="BB21" s="3">
        <v>9206</v>
      </c>
      <c r="BC21" s="4">
        <v>688</v>
      </c>
      <c r="BD21" s="3">
        <v>55457</v>
      </c>
      <c r="BE21" s="3">
        <v>113731</v>
      </c>
      <c r="BF21" s="1">
        <v>0.35</v>
      </c>
      <c r="BG21" s="16">
        <v>213873</v>
      </c>
      <c r="BH21" s="18">
        <v>327604</v>
      </c>
      <c r="BI21" s="7">
        <f t="shared" si="25"/>
        <v>0.34715998583655877</v>
      </c>
      <c r="BJ21" s="1">
        <f t="shared" si="26"/>
        <v>0.11120743336467198</v>
      </c>
      <c r="BK21" s="2">
        <f t="shared" si="27"/>
        <v>4.1034165373044114E-2</v>
      </c>
      <c r="BL21" s="1">
        <f t="shared" si="28"/>
        <v>0.19910173191257144</v>
      </c>
      <c r="BM21" s="8">
        <f t="shared" si="29"/>
        <v>0.34715998583655877</v>
      </c>
      <c r="BN21" s="5">
        <f t="shared" si="30"/>
        <v>113731</v>
      </c>
      <c r="BP21" s="6">
        <f t="shared" si="31"/>
        <v>0.3165206897732839</v>
      </c>
      <c r="BQ21" s="6">
        <f t="shared" si="32"/>
        <v>0.11679221375028122</v>
      </c>
      <c r="BR21" s="6">
        <f t="shared" si="33"/>
        <v>0.56668709647643478</v>
      </c>
      <c r="CB21" t="s">
        <v>55</v>
      </c>
      <c r="CC21" s="19">
        <v>1967</v>
      </c>
      <c r="CD21" s="12">
        <v>323003</v>
      </c>
      <c r="CE21" s="5">
        <v>35962</v>
      </c>
      <c r="CF21">
        <v>0</v>
      </c>
      <c r="CG21" s="5">
        <v>7824</v>
      </c>
      <c r="CH21" s="5">
        <v>9206</v>
      </c>
      <c r="CI21">
        <v>688</v>
      </c>
      <c r="CJ21" s="5">
        <v>55450</v>
      </c>
      <c r="CK21" s="14">
        <v>213873</v>
      </c>
      <c r="CL21" s="5">
        <f t="shared" si="42"/>
        <v>323003</v>
      </c>
      <c r="CM21" s="5"/>
      <c r="CN21" s="41">
        <v>0.33800000000000002</v>
      </c>
      <c r="CO21">
        <f t="shared" si="43"/>
        <v>1967</v>
      </c>
      <c r="CP21" s="6">
        <f t="shared" si="35"/>
        <v>-1.4044395062331351E-2</v>
      </c>
      <c r="CQ21" s="6">
        <f t="shared" si="44"/>
        <v>0</v>
      </c>
    </row>
    <row r="22" spans="1:102" x14ac:dyDescent="0.55000000000000004">
      <c r="A22" t="str">
        <f t="shared" si="36"/>
        <v>Grant</v>
      </c>
      <c r="B22">
        <f t="shared" si="4"/>
        <v>1968</v>
      </c>
      <c r="C22" s="36">
        <f t="shared" si="5"/>
        <v>822200</v>
      </c>
      <c r="D22" s="31">
        <f t="shared" si="6"/>
        <v>1219850</v>
      </c>
      <c r="E22" s="26">
        <f t="shared" si="7"/>
        <v>0.39449950488478053</v>
      </c>
      <c r="F22" s="26" t="str">
        <f t="shared" si="8"/>
        <v>Grant</v>
      </c>
      <c r="G22" s="5">
        <f t="shared" si="37"/>
        <v>670328</v>
      </c>
      <c r="H22" s="5">
        <f t="shared" si="9"/>
        <v>1073497.2</v>
      </c>
      <c r="I22" s="26">
        <f t="shared" si="10"/>
        <v>0.47090986419258096</v>
      </c>
      <c r="J22" s="26">
        <f t="shared" si="0"/>
        <v>-0.2454529039717176</v>
      </c>
      <c r="K22">
        <v>1968</v>
      </c>
      <c r="L22" s="5">
        <v>822200</v>
      </c>
      <c r="M22" s="31">
        <v>1219850</v>
      </c>
      <c r="O22" t="str">
        <f t="shared" si="38"/>
        <v>Grant</v>
      </c>
      <c r="P22">
        <f t="shared" si="39"/>
        <v>1968</v>
      </c>
      <c r="Q22" s="35">
        <f t="shared" si="40"/>
        <v>670328</v>
      </c>
      <c r="R22" s="39">
        <f t="shared" si="41"/>
        <v>1153257</v>
      </c>
      <c r="S22" s="57">
        <f t="shared" si="11"/>
        <v>0.41875228158164224</v>
      </c>
      <c r="T22" s="5"/>
      <c r="U22" s="5">
        <f t="shared" si="34"/>
        <v>112909.2</v>
      </c>
      <c r="V22" s="5">
        <f t="shared" si="12"/>
        <v>809892</v>
      </c>
      <c r="W22" s="5">
        <f t="shared" si="13"/>
        <v>150696</v>
      </c>
      <c r="X22" s="5">
        <f t="shared" si="14"/>
        <v>0</v>
      </c>
      <c r="Y22" s="12">
        <f t="shared" si="15"/>
        <v>1073497.2</v>
      </c>
      <c r="Z22" s="29"/>
      <c r="AA22" s="29"/>
      <c r="AB22" s="29"/>
      <c r="AC22" s="29"/>
      <c r="AD22" s="12">
        <f t="shared" si="16"/>
        <v>1073497.2</v>
      </c>
      <c r="AE22" s="12">
        <f t="shared" si="17"/>
        <v>1968</v>
      </c>
      <c r="AF22" s="56">
        <f t="shared" si="18"/>
        <v>0.10517884909248017</v>
      </c>
      <c r="AG22" s="56">
        <f t="shared" si="19"/>
        <v>0.7544425826168899</v>
      </c>
      <c r="AH22" s="56">
        <f t="shared" si="20"/>
        <v>0.14037856829062992</v>
      </c>
      <c r="AI22" s="56"/>
      <c r="AJ22" s="68">
        <f t="shared" si="21"/>
        <v>1968</v>
      </c>
      <c r="AK22" s="60">
        <f t="shared" si="45"/>
        <v>1137747.2860377347</v>
      </c>
      <c r="AL22" s="56">
        <f>CHOOSE(umethod,S22,retroU,MAX(0,cslope*(AK22-nlim)/AK22))</f>
        <v>0.41875228158164224</v>
      </c>
      <c r="AM22">
        <f t="shared" si="23"/>
        <v>661313.01414611202</v>
      </c>
      <c r="AN22" s="59">
        <f t="shared" si="2"/>
        <v>1064954.3906102942</v>
      </c>
      <c r="AO22" s="59">
        <f t="shared" si="24"/>
        <v>476434.27189162269</v>
      </c>
      <c r="AP22" s="5"/>
      <c r="AW22" t="s">
        <v>52</v>
      </c>
      <c r="AX22">
        <v>1968</v>
      </c>
      <c r="AY22" s="3">
        <v>298253</v>
      </c>
      <c r="AZ22" s="4" t="s">
        <v>0</v>
      </c>
      <c r="BA22" s="3">
        <v>12960</v>
      </c>
      <c r="BB22" s="3">
        <v>77467</v>
      </c>
      <c r="BC22" s="4">
        <v>863</v>
      </c>
      <c r="BD22" s="3">
        <v>214264</v>
      </c>
      <c r="BE22" s="3">
        <v>603807</v>
      </c>
      <c r="BF22" s="1">
        <v>0.42</v>
      </c>
      <c r="BG22" s="16">
        <v>822200</v>
      </c>
      <c r="BH22" s="18">
        <v>1426007</v>
      </c>
      <c r="BI22" s="7">
        <f t="shared" si="25"/>
        <v>0.42342499019990787</v>
      </c>
      <c r="BJ22" s="1">
        <f t="shared" si="26"/>
        <v>0.20915254974204195</v>
      </c>
      <c r="BK22" s="2">
        <f t="shared" si="27"/>
        <v>1.1491867907362776E-2</v>
      </c>
      <c r="BL22" s="1">
        <f t="shared" si="28"/>
        <v>0.19234943636544813</v>
      </c>
      <c r="BM22" s="8">
        <f t="shared" si="29"/>
        <v>0.42342499019990787</v>
      </c>
      <c r="BN22" s="5">
        <f t="shared" si="30"/>
        <v>603807</v>
      </c>
      <c r="BP22" s="6">
        <f t="shared" si="31"/>
        <v>0.50643017495006115</v>
      </c>
      <c r="BQ22" s="6">
        <f t="shared" si="32"/>
        <v>2.7825760106709684E-2</v>
      </c>
      <c r="BR22" s="6">
        <f t="shared" si="33"/>
        <v>0.46574406494322912</v>
      </c>
      <c r="CB22" t="s">
        <v>55</v>
      </c>
      <c r="CC22" s="19">
        <v>1968</v>
      </c>
      <c r="CD22" s="12">
        <v>1153257</v>
      </c>
      <c r="CE22" s="5">
        <v>179004</v>
      </c>
      <c r="CF22">
        <v>0</v>
      </c>
      <c r="CG22" s="5">
        <v>11578</v>
      </c>
      <c r="CH22" s="5">
        <v>77467</v>
      </c>
      <c r="CI22">
        <v>863</v>
      </c>
      <c r="CJ22" s="5">
        <v>214017</v>
      </c>
      <c r="CK22" s="14">
        <v>670328</v>
      </c>
      <c r="CL22" s="5">
        <f t="shared" si="42"/>
        <v>1153257</v>
      </c>
      <c r="CM22" s="5"/>
      <c r="CN22" s="41">
        <v>0.41899999999999998</v>
      </c>
      <c r="CO22">
        <f t="shared" si="43"/>
        <v>1968</v>
      </c>
      <c r="CP22" s="6">
        <f t="shared" si="35"/>
        <v>-0.19126834580755914</v>
      </c>
      <c r="CQ22" s="6">
        <f t="shared" si="44"/>
        <v>-0.18471418146436391</v>
      </c>
    </row>
    <row r="23" spans="1:102" x14ac:dyDescent="0.55000000000000004">
      <c r="A23" t="str">
        <f t="shared" si="36"/>
        <v>Grant</v>
      </c>
      <c r="B23">
        <f t="shared" si="4"/>
        <v>1969</v>
      </c>
      <c r="C23" s="36">
        <f t="shared" si="5"/>
        <v>390100</v>
      </c>
      <c r="D23" s="31">
        <f t="shared" si="6"/>
        <v>1312868</v>
      </c>
      <c r="E23" s="26">
        <f t="shared" si="7"/>
        <v>1.2135662196061554</v>
      </c>
      <c r="F23" s="26" t="str">
        <f t="shared" si="8"/>
        <v>Grant</v>
      </c>
      <c r="G23" s="5">
        <f t="shared" si="37"/>
        <v>309220</v>
      </c>
      <c r="H23" s="5">
        <f t="shared" si="9"/>
        <v>1380907.4</v>
      </c>
      <c r="I23" s="26">
        <f t="shared" si="10"/>
        <v>1.4964431006264538</v>
      </c>
      <c r="J23" s="26">
        <f t="shared" si="0"/>
        <v>0.55776270425972707</v>
      </c>
      <c r="K23">
        <v>1969</v>
      </c>
      <c r="L23" s="5">
        <v>390100</v>
      </c>
      <c r="M23" s="31">
        <v>1312868</v>
      </c>
      <c r="O23" t="str">
        <f t="shared" si="38"/>
        <v>Grant</v>
      </c>
      <c r="P23">
        <f t="shared" si="39"/>
        <v>1969</v>
      </c>
      <c r="Q23" s="35">
        <f t="shared" si="40"/>
        <v>309220</v>
      </c>
      <c r="R23" s="39">
        <f t="shared" si="41"/>
        <v>578493</v>
      </c>
      <c r="S23" s="57">
        <f t="shared" si="11"/>
        <v>0.4654732209378506</v>
      </c>
      <c r="T23" s="5"/>
      <c r="U23" s="5">
        <f t="shared" si="34"/>
        <v>404946</v>
      </c>
      <c r="V23" s="5">
        <f t="shared" si="12"/>
        <v>904176</v>
      </c>
      <c r="W23" s="5">
        <f t="shared" si="13"/>
        <v>71785.400000000009</v>
      </c>
      <c r="X23" s="5">
        <f t="shared" si="14"/>
        <v>0</v>
      </c>
      <c r="Y23" s="12">
        <f t="shared" si="15"/>
        <v>1380907.4</v>
      </c>
      <c r="Z23" s="29"/>
      <c r="AA23" s="29"/>
      <c r="AB23" s="29"/>
      <c r="AC23" s="29"/>
      <c r="AD23" s="12">
        <f t="shared" si="16"/>
        <v>1380907.4</v>
      </c>
      <c r="AE23" s="12">
        <f t="shared" si="17"/>
        <v>1969</v>
      </c>
      <c r="AF23" s="56">
        <f t="shared" si="18"/>
        <v>0.29324631036085402</v>
      </c>
      <c r="AG23" s="56">
        <f t="shared" si="19"/>
        <v>0.65476946535299907</v>
      </c>
      <c r="AH23" s="56">
        <f t="shared" si="20"/>
        <v>5.1984224286146928E-2</v>
      </c>
      <c r="AI23" s="56"/>
      <c r="AJ23" s="68">
        <f t="shared" si="21"/>
        <v>1969</v>
      </c>
      <c r="AK23" s="60">
        <f t="shared" si="45"/>
        <v>569626.99035989505</v>
      </c>
      <c r="AL23" s="56">
        <f>CHOOSE(umethod,S23,retroU,MAX(0,cslope*(AK23-nlim)/AK23))</f>
        <v>0.4654732209378506</v>
      </c>
      <c r="AM23">
        <f t="shared" si="23"/>
        <v>304480.88042394072</v>
      </c>
      <c r="AN23" s="59">
        <f t="shared" si="2"/>
        <v>1363716.6118318574</v>
      </c>
      <c r="AO23" s="59">
        <f t="shared" si="24"/>
        <v>265146.10993595433</v>
      </c>
      <c r="AP23" s="5"/>
      <c r="AW23" t="s">
        <v>52</v>
      </c>
      <c r="AX23">
        <v>1969</v>
      </c>
      <c r="AY23" s="3">
        <v>183798</v>
      </c>
      <c r="AZ23" s="4" t="s">
        <v>0</v>
      </c>
      <c r="BA23" s="3">
        <v>6816</v>
      </c>
      <c r="BB23" s="3">
        <v>39026</v>
      </c>
      <c r="BC23" s="4">
        <v>735</v>
      </c>
      <c r="BD23" s="3">
        <v>93245</v>
      </c>
      <c r="BE23" s="3">
        <v>323620</v>
      </c>
      <c r="BF23" s="1">
        <v>0.45</v>
      </c>
      <c r="BG23" s="16">
        <v>390100</v>
      </c>
      <c r="BH23" s="18">
        <v>713720</v>
      </c>
      <c r="BI23" s="7">
        <f t="shared" si="25"/>
        <v>0.45342711427450538</v>
      </c>
      <c r="BJ23" s="1">
        <f t="shared" si="26"/>
        <v>0.25752115675615089</v>
      </c>
      <c r="BK23" s="2">
        <f t="shared" si="27"/>
        <v>1.2862270296383241E-2</v>
      </c>
      <c r="BL23" s="1">
        <f t="shared" si="28"/>
        <v>0.17850340083963315</v>
      </c>
      <c r="BM23" s="8">
        <f t="shared" si="29"/>
        <v>0.45342711427450538</v>
      </c>
      <c r="BN23" s="5">
        <f t="shared" si="30"/>
        <v>323620</v>
      </c>
      <c r="BP23" s="6">
        <f t="shared" si="31"/>
        <v>0.57368837924113303</v>
      </c>
      <c r="BQ23" s="6">
        <f t="shared" si="32"/>
        <v>2.8653704001029515E-2</v>
      </c>
      <c r="BR23" s="6">
        <f t="shared" si="33"/>
        <v>0.3976579167578374</v>
      </c>
      <c r="CB23" t="s">
        <v>55</v>
      </c>
      <c r="CC23" s="19">
        <v>1969</v>
      </c>
      <c r="CD23" s="12">
        <v>578493</v>
      </c>
      <c r="CE23" s="5">
        <v>129729</v>
      </c>
      <c r="CF23">
        <v>0</v>
      </c>
      <c r="CG23" s="5">
        <v>6331</v>
      </c>
      <c r="CH23" s="5">
        <v>39026</v>
      </c>
      <c r="CI23">
        <v>735</v>
      </c>
      <c r="CJ23" s="5">
        <v>93453</v>
      </c>
      <c r="CK23" s="14">
        <v>309220</v>
      </c>
      <c r="CL23" s="5">
        <f t="shared" si="42"/>
        <v>578494</v>
      </c>
      <c r="CM23" s="5"/>
      <c r="CN23" s="41">
        <v>0.46500000000000002</v>
      </c>
      <c r="CO23">
        <f t="shared" si="43"/>
        <v>1969</v>
      </c>
      <c r="CP23" s="6">
        <f t="shared" si="35"/>
        <v>-0.18946785854396683</v>
      </c>
      <c r="CQ23" s="6">
        <f t="shared" si="44"/>
        <v>-0.20733145347346835</v>
      </c>
    </row>
    <row r="24" spans="1:102" x14ac:dyDescent="0.55000000000000004">
      <c r="A24" t="str">
        <f t="shared" si="36"/>
        <v>Grant</v>
      </c>
      <c r="B24">
        <f t="shared" si="4"/>
        <v>1970</v>
      </c>
      <c r="C24" s="36">
        <f t="shared" si="5"/>
        <v>287250</v>
      </c>
      <c r="D24" s="31">
        <f t="shared" si="6"/>
        <v>832641</v>
      </c>
      <c r="E24" s="26">
        <f t="shared" si="7"/>
        <v>1.064249660153731</v>
      </c>
      <c r="F24" s="26" t="str">
        <f t="shared" si="8"/>
        <v>Grant</v>
      </c>
      <c r="G24" s="5">
        <f t="shared" si="37"/>
        <v>284250</v>
      </c>
      <c r="H24" s="5">
        <f t="shared" si="9"/>
        <v>931420.29999999993</v>
      </c>
      <c r="I24" s="26">
        <f t="shared" si="10"/>
        <v>1.186856492827211</v>
      </c>
      <c r="J24" s="26">
        <f t="shared" si="0"/>
        <v>0.23280321306766361</v>
      </c>
      <c r="K24">
        <v>1970</v>
      </c>
      <c r="L24" s="5">
        <v>287250</v>
      </c>
      <c r="M24" s="31">
        <v>832641</v>
      </c>
      <c r="O24" t="str">
        <f t="shared" si="38"/>
        <v>Grant</v>
      </c>
      <c r="P24">
        <f t="shared" si="39"/>
        <v>1970</v>
      </c>
      <c r="Q24" s="35">
        <f t="shared" si="40"/>
        <v>284250</v>
      </c>
      <c r="R24" s="39">
        <f t="shared" si="41"/>
        <v>739355</v>
      </c>
      <c r="S24" s="57">
        <f t="shared" si="11"/>
        <v>0.61554327758654503</v>
      </c>
      <c r="T24" s="5"/>
      <c r="U24" s="5">
        <f t="shared" si="34"/>
        <v>452088</v>
      </c>
      <c r="V24" s="5">
        <f t="shared" si="12"/>
        <v>430712.39999999997</v>
      </c>
      <c r="W24" s="5">
        <f t="shared" si="13"/>
        <v>48619.9</v>
      </c>
      <c r="X24" s="5">
        <f t="shared" si="14"/>
        <v>0</v>
      </c>
      <c r="Y24" s="12">
        <f t="shared" si="15"/>
        <v>931420.29999999993</v>
      </c>
      <c r="Z24" s="29"/>
      <c r="AA24" s="29"/>
      <c r="AB24" s="29"/>
      <c r="AC24" s="29"/>
      <c r="AD24" s="12">
        <f t="shared" si="16"/>
        <v>931420.29999999993</v>
      </c>
      <c r="AE24" s="12">
        <f t="shared" si="17"/>
        <v>1970</v>
      </c>
      <c r="AF24" s="56">
        <f t="shared" si="18"/>
        <v>0.48537486245468348</v>
      </c>
      <c r="AG24" s="56">
        <f t="shared" si="19"/>
        <v>0.46242539485128248</v>
      </c>
      <c r="AH24" s="56">
        <f t="shared" si="20"/>
        <v>5.2199742694034053E-2</v>
      </c>
      <c r="AI24" s="56"/>
      <c r="AJ24" s="68">
        <f t="shared" si="21"/>
        <v>1970</v>
      </c>
      <c r="AK24" s="60">
        <f t="shared" si="45"/>
        <v>723902.38431985653</v>
      </c>
      <c r="AL24" s="56">
        <f>CHOOSE(umethod,S24,retroU,MAX(0,cslope*(AK24-nlim)/AK24))</f>
        <v>0.61554327758654503</v>
      </c>
      <c r="AM24">
        <f t="shared" si="23"/>
        <v>278309.1380228973</v>
      </c>
      <c r="AN24" s="59">
        <f t="shared" si="2"/>
        <v>915295.0864430404</v>
      </c>
      <c r="AO24" s="59">
        <f t="shared" si="24"/>
        <v>445593.24629695923</v>
      </c>
      <c r="AP24" s="5"/>
      <c r="AW24" t="s">
        <v>52</v>
      </c>
      <c r="AX24">
        <v>1970</v>
      </c>
      <c r="AY24" s="3">
        <v>209072</v>
      </c>
      <c r="AZ24" s="4" t="s">
        <v>0</v>
      </c>
      <c r="BA24" s="3">
        <v>11867</v>
      </c>
      <c r="BB24" s="3">
        <v>61134</v>
      </c>
      <c r="BC24" s="4">
        <v>332</v>
      </c>
      <c r="BD24" s="3">
        <v>184381</v>
      </c>
      <c r="BE24" s="3">
        <v>468787</v>
      </c>
      <c r="BF24" s="1">
        <v>0.62</v>
      </c>
      <c r="BG24" s="16">
        <v>287250</v>
      </c>
      <c r="BH24" s="18">
        <v>754037</v>
      </c>
      <c r="BI24" s="7">
        <f t="shared" si="25"/>
        <v>0.62170291378274545</v>
      </c>
      <c r="BJ24" s="1">
        <f t="shared" si="26"/>
        <v>0.27727021353063575</v>
      </c>
      <c r="BK24" s="2">
        <f t="shared" si="27"/>
        <v>2.17757103667208E-2</v>
      </c>
      <c r="BL24" s="1">
        <f t="shared" si="28"/>
        <v>0.34608252028094888</v>
      </c>
      <c r="BM24" s="8">
        <f t="shared" si="29"/>
        <v>0.62170291378274545</v>
      </c>
      <c r="BN24" s="5">
        <f t="shared" si="30"/>
        <v>472073.85013146373</v>
      </c>
      <c r="BP24" s="6">
        <f t="shared" si="31"/>
        <v>0.42979071227248777</v>
      </c>
      <c r="BQ24" s="6">
        <f t="shared" si="32"/>
        <v>3.3754069539526095E-2</v>
      </c>
      <c r="BR24" s="6">
        <f t="shared" si="33"/>
        <v>0.53645521818798614</v>
      </c>
      <c r="CB24" t="s">
        <v>55</v>
      </c>
      <c r="CC24" s="19">
        <v>1970</v>
      </c>
      <c r="CD24" s="12">
        <v>739355</v>
      </c>
      <c r="CE24" s="5">
        <v>197753</v>
      </c>
      <c r="CF24">
        <v>675</v>
      </c>
      <c r="CG24" s="5">
        <v>10345</v>
      </c>
      <c r="CH24" s="5">
        <v>61134</v>
      </c>
      <c r="CI24">
        <v>0</v>
      </c>
      <c r="CJ24" s="5">
        <v>185198</v>
      </c>
      <c r="CK24" s="14">
        <v>284250</v>
      </c>
      <c r="CL24" s="5">
        <f t="shared" si="42"/>
        <v>739355</v>
      </c>
      <c r="CM24" s="5"/>
      <c r="CN24" s="41">
        <v>0.61599999999999999</v>
      </c>
      <c r="CO24">
        <f t="shared" si="43"/>
        <v>1970</v>
      </c>
      <c r="CP24" s="6">
        <f t="shared" si="35"/>
        <v>-1.9471193058165581E-2</v>
      </c>
      <c r="CQ24" s="6">
        <f t="shared" si="44"/>
        <v>-1.0443864229765013E-2</v>
      </c>
    </row>
    <row r="25" spans="1:102" x14ac:dyDescent="0.55000000000000004">
      <c r="A25" t="str">
        <f t="shared" si="36"/>
        <v>Grant</v>
      </c>
      <c r="B25">
        <f t="shared" si="4"/>
        <v>1971</v>
      </c>
      <c r="C25" s="36">
        <f t="shared" si="5"/>
        <v>290150</v>
      </c>
      <c r="D25" s="31">
        <f t="shared" si="6"/>
        <v>589068</v>
      </c>
      <c r="E25" s="26">
        <f t="shared" si="7"/>
        <v>0.70814359626625123</v>
      </c>
      <c r="F25" s="26" t="str">
        <f t="shared" si="8"/>
        <v>Grant</v>
      </c>
      <c r="G25" s="5">
        <f t="shared" si="37"/>
        <v>290125</v>
      </c>
      <c r="H25" s="5">
        <f t="shared" si="9"/>
        <v>607447.80000000005</v>
      </c>
      <c r="I25" s="26">
        <f t="shared" si="10"/>
        <v>0.73895438100233268</v>
      </c>
      <c r="J25" s="26">
        <f t="shared" si="0"/>
        <v>-0.2114819307983512</v>
      </c>
      <c r="K25">
        <v>1971</v>
      </c>
      <c r="L25" s="5">
        <v>290150</v>
      </c>
      <c r="M25" s="31">
        <v>589068</v>
      </c>
      <c r="O25" t="str">
        <f t="shared" si="38"/>
        <v>Grant</v>
      </c>
      <c r="P25">
        <f t="shared" si="39"/>
        <v>1971</v>
      </c>
      <c r="Q25" s="35">
        <f t="shared" si="40"/>
        <v>290125</v>
      </c>
      <c r="R25" s="39">
        <f t="shared" si="41"/>
        <v>376364</v>
      </c>
      <c r="S25" s="57">
        <f t="shared" si="11"/>
        <v>0.22913721822490996</v>
      </c>
      <c r="T25" s="5"/>
      <c r="U25" s="5">
        <f t="shared" si="34"/>
        <v>215356.19999999998</v>
      </c>
      <c r="V25" s="5">
        <f t="shared" si="12"/>
        <v>291719.39999999997</v>
      </c>
      <c r="W25" s="5">
        <f t="shared" si="13"/>
        <v>100372.20000000001</v>
      </c>
      <c r="X25" s="5">
        <f t="shared" si="14"/>
        <v>0</v>
      </c>
      <c r="Y25" s="12">
        <f t="shared" si="15"/>
        <v>607447.80000000005</v>
      </c>
      <c r="Z25" s="29"/>
      <c r="AA25" s="29"/>
      <c r="AB25" s="29"/>
      <c r="AC25" s="29"/>
      <c r="AD25" s="12">
        <f t="shared" si="16"/>
        <v>607447.80000000005</v>
      </c>
      <c r="AE25" s="12">
        <f t="shared" si="17"/>
        <v>1971</v>
      </c>
      <c r="AF25" s="56">
        <f t="shared" si="18"/>
        <v>0.35452626546676103</v>
      </c>
      <c r="AG25" s="56">
        <f t="shared" si="19"/>
        <v>0.48023780808820105</v>
      </c>
      <c r="AH25" s="56">
        <f t="shared" si="20"/>
        <v>0.16523592644503776</v>
      </c>
      <c r="AI25" s="56"/>
      <c r="AJ25" s="68">
        <f t="shared" si="21"/>
        <v>1971</v>
      </c>
      <c r="AK25" s="60">
        <f t="shared" si="45"/>
        <v>369685.00141850073</v>
      </c>
      <c r="AL25" s="56">
        <f>CHOOSE(umethod,S25,retroU,MAX(0,cslope*(AK25-nlim)/AK25))</f>
        <v>0.22913721822490996</v>
      </c>
      <c r="AM25">
        <f t="shared" si="23"/>
        <v>284976.4085739936</v>
      </c>
      <c r="AN25" s="59">
        <f t="shared" si="2"/>
        <v>598562.25169034488</v>
      </c>
      <c r="AO25" s="59">
        <f t="shared" si="24"/>
        <v>84708.592844507133</v>
      </c>
      <c r="AP25" s="5"/>
      <c r="AW25" t="s">
        <v>52</v>
      </c>
      <c r="AX25">
        <v>1971</v>
      </c>
      <c r="AY25" s="3">
        <v>40206</v>
      </c>
      <c r="AZ25" s="4" t="s">
        <v>0</v>
      </c>
      <c r="BA25" s="3">
        <v>9162</v>
      </c>
      <c r="BB25" s="3">
        <v>19848</v>
      </c>
      <c r="BC25" s="4">
        <v>193</v>
      </c>
      <c r="BD25" s="3">
        <v>25716</v>
      </c>
      <c r="BE25" s="3">
        <v>95125</v>
      </c>
      <c r="BF25" s="1">
        <v>0.25</v>
      </c>
      <c r="BG25" s="16">
        <v>290150</v>
      </c>
      <c r="BH25" s="18">
        <v>385275</v>
      </c>
      <c r="BI25" s="7">
        <f t="shared" si="25"/>
        <v>0.24690156381805203</v>
      </c>
      <c r="BJ25" s="1">
        <f t="shared" si="26"/>
        <v>0.10435662838232432</v>
      </c>
      <c r="BK25" s="2">
        <f t="shared" si="27"/>
        <v>2.6551211496831068E-2</v>
      </c>
      <c r="BL25" s="1">
        <f t="shared" si="28"/>
        <v>7.6600916256098939E-2</v>
      </c>
      <c r="BM25" s="8">
        <f t="shared" si="29"/>
        <v>0.24690156381805203</v>
      </c>
      <c r="BN25" s="5">
        <f t="shared" si="30"/>
        <v>95125</v>
      </c>
      <c r="BP25" s="6">
        <f t="shared" si="31"/>
        <v>0.50290228868368625</v>
      </c>
      <c r="BQ25" s="6">
        <f t="shared" si="32"/>
        <v>0.12795224640797795</v>
      </c>
      <c r="BR25" s="6">
        <f t="shared" si="33"/>
        <v>0.36914546490833583</v>
      </c>
      <c r="CB25" t="s">
        <v>55</v>
      </c>
      <c r="CC25" s="19">
        <v>1971</v>
      </c>
      <c r="CD25" s="12">
        <v>376364</v>
      </c>
      <c r="CE25" s="5">
        <v>33093</v>
      </c>
      <c r="CF25">
        <v>0</v>
      </c>
      <c r="CG25" s="5">
        <v>7502</v>
      </c>
      <c r="CH25" s="5">
        <v>19850</v>
      </c>
      <c r="CI25">
        <v>0</v>
      </c>
      <c r="CJ25" s="5">
        <v>25794</v>
      </c>
      <c r="CK25" s="14">
        <v>290125</v>
      </c>
      <c r="CL25" s="5">
        <f t="shared" si="42"/>
        <v>376364</v>
      </c>
      <c r="CM25" s="5"/>
      <c r="CN25" s="41">
        <v>0.22900000000000001</v>
      </c>
      <c r="CO25">
        <f t="shared" si="43"/>
        <v>1971</v>
      </c>
      <c r="CP25" s="6">
        <f t="shared" si="35"/>
        <v>-2.3128933878398546E-2</v>
      </c>
      <c r="CQ25" s="6">
        <f t="shared" si="44"/>
        <v>-8.6162329829398581E-5</v>
      </c>
    </row>
    <row r="26" spans="1:102" x14ac:dyDescent="0.55000000000000004">
      <c r="A26" t="str">
        <f t="shared" si="36"/>
        <v>Grant</v>
      </c>
      <c r="B26">
        <f t="shared" si="4"/>
        <v>1972</v>
      </c>
      <c r="C26" s="36">
        <f t="shared" si="5"/>
        <v>423290</v>
      </c>
      <c r="D26" s="31">
        <f t="shared" si="6"/>
        <v>965520</v>
      </c>
      <c r="E26" s="26">
        <f t="shared" si="7"/>
        <v>0.8246092929692076</v>
      </c>
      <c r="F26" s="26" t="str">
        <f t="shared" si="8"/>
        <v>Grant</v>
      </c>
      <c r="G26" s="5">
        <f t="shared" si="37"/>
        <v>423290</v>
      </c>
      <c r="H26" s="5">
        <f t="shared" si="9"/>
        <v>820346.49999999988</v>
      </c>
      <c r="I26" s="26">
        <f t="shared" si="10"/>
        <v>0.66166928863972707</v>
      </c>
      <c r="J26" s="26">
        <f t="shared" si="0"/>
        <v>-0.20678344218358613</v>
      </c>
      <c r="K26">
        <v>1972</v>
      </c>
      <c r="L26" s="5">
        <v>423290</v>
      </c>
      <c r="M26" s="31">
        <v>965520</v>
      </c>
      <c r="O26" t="str">
        <f t="shared" si="38"/>
        <v>Grant</v>
      </c>
      <c r="P26">
        <f t="shared" si="39"/>
        <v>1972</v>
      </c>
      <c r="Q26" s="35">
        <f t="shared" si="40"/>
        <v>423290</v>
      </c>
      <c r="R26" s="39">
        <f t="shared" si="41"/>
        <v>1349820</v>
      </c>
      <c r="S26" s="57">
        <f t="shared" si="11"/>
        <v>0.6864100398571662</v>
      </c>
      <c r="T26" s="5"/>
      <c r="U26" s="5">
        <f t="shared" si="34"/>
        <v>145859.69999999998</v>
      </c>
      <c r="V26" s="5">
        <f t="shared" si="12"/>
        <v>602233.19999999995</v>
      </c>
      <c r="W26" s="5">
        <f t="shared" si="13"/>
        <v>72253.600000000006</v>
      </c>
      <c r="X26" s="5">
        <f t="shared" si="14"/>
        <v>0</v>
      </c>
      <c r="Y26" s="12">
        <f t="shared" si="15"/>
        <v>820346.49999999988</v>
      </c>
      <c r="Z26" s="29"/>
      <c r="AA26" s="29"/>
      <c r="AB26" s="29"/>
      <c r="AC26" s="29"/>
      <c r="AD26" s="12">
        <f t="shared" si="16"/>
        <v>820346.49999999988</v>
      </c>
      <c r="AE26" s="12">
        <f t="shared" si="17"/>
        <v>1972</v>
      </c>
      <c r="AF26" s="56">
        <f t="shared" si="18"/>
        <v>0.17780255050762087</v>
      </c>
      <c r="AG26" s="56">
        <f t="shared" si="19"/>
        <v>0.73412052102373815</v>
      </c>
      <c r="AH26" s="56">
        <f t="shared" si="20"/>
        <v>8.8076928468641014E-2</v>
      </c>
      <c r="AI26" s="56"/>
      <c r="AJ26" s="68">
        <f t="shared" si="21"/>
        <v>1972</v>
      </c>
      <c r="AK26" s="60">
        <f t="shared" si="45"/>
        <v>1335366.4493599997</v>
      </c>
      <c r="AL26" s="56">
        <f>CHOOSE(umethod,S26,retroU,MAX(0,cslope*(AK26-nlim)/AK26))</f>
        <v>0.6864100398571662</v>
      </c>
      <c r="AM26">
        <f t="shared" si="23"/>
        <v>418757.51163087983</v>
      </c>
      <c r="AN26" s="59">
        <f t="shared" si="2"/>
        <v>813830.20834042178</v>
      </c>
      <c r="AO26" s="59">
        <f t="shared" si="24"/>
        <v>916608.93772911991</v>
      </c>
      <c r="AP26" s="5"/>
      <c r="AW26" t="s">
        <v>52</v>
      </c>
      <c r="AX26">
        <v>1972</v>
      </c>
      <c r="AY26" s="3">
        <v>444705</v>
      </c>
      <c r="AZ26" s="4" t="s">
        <v>0</v>
      </c>
      <c r="BA26" s="3">
        <v>40334</v>
      </c>
      <c r="BB26" s="3">
        <v>252043</v>
      </c>
      <c r="BC26" s="4">
        <v>600</v>
      </c>
      <c r="BD26" s="3">
        <v>262836</v>
      </c>
      <c r="BE26" s="3">
        <v>1000517</v>
      </c>
      <c r="BF26" s="1">
        <v>0.7</v>
      </c>
      <c r="BG26" s="16">
        <v>423290</v>
      </c>
      <c r="BH26" s="18">
        <v>1423807</v>
      </c>
      <c r="BI26" s="7">
        <f t="shared" si="25"/>
        <v>0.70270549309000452</v>
      </c>
      <c r="BJ26" s="1">
        <f t="shared" si="26"/>
        <v>0.31233516902220598</v>
      </c>
      <c r="BK26" s="2">
        <f t="shared" si="27"/>
        <v>4.1194890828534718E-2</v>
      </c>
      <c r="BL26" s="1">
        <f t="shared" si="28"/>
        <v>0.28015877753238227</v>
      </c>
      <c r="BM26" s="8">
        <f t="shared" si="29"/>
        <v>0.70270549309000452</v>
      </c>
      <c r="BN26" s="5">
        <f t="shared" si="30"/>
        <v>1000517.0000000001</v>
      </c>
      <c r="BP26" s="6">
        <f t="shared" si="31"/>
        <v>0.4928841263987277</v>
      </c>
      <c r="BQ26" s="6">
        <f t="shared" si="32"/>
        <v>6.5008073992044502E-2</v>
      </c>
      <c r="BR26" s="6">
        <f t="shared" si="33"/>
        <v>0.4421077996092278</v>
      </c>
      <c r="CB26" t="s">
        <v>55</v>
      </c>
      <c r="CC26" s="19">
        <v>1972</v>
      </c>
      <c r="CD26" s="12">
        <v>1349820</v>
      </c>
      <c r="CE26" s="5">
        <v>358496</v>
      </c>
      <c r="CF26" s="5">
        <v>15952</v>
      </c>
      <c r="CG26" s="5">
        <v>37276</v>
      </c>
      <c r="CH26" s="5">
        <v>252043</v>
      </c>
      <c r="CI26">
        <v>0</v>
      </c>
      <c r="CJ26" s="5">
        <v>262763</v>
      </c>
      <c r="CK26" s="14">
        <v>423290</v>
      </c>
      <c r="CL26" s="5">
        <f t="shared" si="42"/>
        <v>1349820</v>
      </c>
      <c r="CM26" s="5"/>
      <c r="CN26" s="41">
        <v>0.68600000000000005</v>
      </c>
      <c r="CO26">
        <f t="shared" si="43"/>
        <v>1972</v>
      </c>
      <c r="CP26" s="6">
        <f t="shared" si="35"/>
        <v>-5.1964205822839754E-2</v>
      </c>
      <c r="CQ26" s="6">
        <f t="shared" si="44"/>
        <v>0</v>
      </c>
    </row>
    <row r="27" spans="1:102" x14ac:dyDescent="0.55000000000000004">
      <c r="A27" t="str">
        <f t="shared" si="36"/>
        <v>Grant</v>
      </c>
      <c r="B27">
        <f t="shared" si="4"/>
        <v>1973</v>
      </c>
      <c r="C27" s="36">
        <f t="shared" si="5"/>
        <v>267105</v>
      </c>
      <c r="D27" s="31">
        <f t="shared" si="6"/>
        <v>826929</v>
      </c>
      <c r="E27" s="26">
        <f t="shared" si="7"/>
        <v>1.1300769993379298</v>
      </c>
      <c r="F27" s="26" t="str">
        <f t="shared" si="8"/>
        <v>Grant</v>
      </c>
      <c r="G27" s="5">
        <f t="shared" si="37"/>
        <v>267080</v>
      </c>
      <c r="H27" s="5">
        <f t="shared" si="9"/>
        <v>853160.5</v>
      </c>
      <c r="I27" s="26">
        <f t="shared" si="10"/>
        <v>1.1613994502395246</v>
      </c>
      <c r="J27" s="26">
        <f t="shared" si="0"/>
        <v>0.19677538922828619</v>
      </c>
      <c r="K27">
        <v>1973</v>
      </c>
      <c r="L27" s="5">
        <v>267105</v>
      </c>
      <c r="M27" s="31">
        <v>826929</v>
      </c>
      <c r="O27" t="str">
        <f t="shared" si="38"/>
        <v>Grant</v>
      </c>
      <c r="P27">
        <f t="shared" si="39"/>
        <v>1973</v>
      </c>
      <c r="Q27" s="35">
        <f t="shared" si="40"/>
        <v>267080</v>
      </c>
      <c r="R27" s="39">
        <f t="shared" si="41"/>
        <v>1506960</v>
      </c>
      <c r="S27" s="57">
        <f t="shared" si="11"/>
        <v>0.82276901842119232</v>
      </c>
      <c r="T27" s="5"/>
      <c r="U27" s="5">
        <f t="shared" si="34"/>
        <v>301116.59999999998</v>
      </c>
      <c r="V27" s="5">
        <f t="shared" si="12"/>
        <v>433521.6</v>
      </c>
      <c r="W27" s="5">
        <f t="shared" si="13"/>
        <v>118522.3</v>
      </c>
      <c r="X27" s="5">
        <f t="shared" si="14"/>
        <v>0</v>
      </c>
      <c r="Y27" s="12">
        <f t="shared" si="15"/>
        <v>853160.5</v>
      </c>
      <c r="Z27" s="29"/>
      <c r="AA27" s="29"/>
      <c r="AB27" s="29"/>
      <c r="AC27" s="29"/>
      <c r="AD27" s="12">
        <f t="shared" si="16"/>
        <v>853160.5</v>
      </c>
      <c r="AE27" s="12">
        <f t="shared" si="17"/>
        <v>1973</v>
      </c>
      <c r="AF27" s="56">
        <f t="shared" si="18"/>
        <v>0.35294250026812068</v>
      </c>
      <c r="AG27" s="56">
        <f t="shared" si="19"/>
        <v>0.50813604239764965</v>
      </c>
      <c r="AH27" s="56">
        <f t="shared" si="20"/>
        <v>0.13892145733422961</v>
      </c>
      <c r="AI27" s="56"/>
      <c r="AJ27" s="68">
        <f t="shared" si="21"/>
        <v>1973</v>
      </c>
      <c r="AK27" s="60">
        <f t="shared" si="45"/>
        <v>1486677.9961585803</v>
      </c>
      <c r="AL27" s="56">
        <f>CHOOSE(umethod,S27,retroU,MAX(0,cslope*(AK27-nlim)/AK27))</f>
        <v>0.82276901842119232</v>
      </c>
      <c r="AM27">
        <f t="shared" si="23"/>
        <v>263485.40055080008</v>
      </c>
      <c r="AN27" s="59">
        <f t="shared" si="2"/>
        <v>843542.63054125034</v>
      </c>
      <c r="AO27" s="59">
        <f t="shared" si="24"/>
        <v>1223192.5956077802</v>
      </c>
      <c r="AP27" s="5"/>
      <c r="AW27" t="s">
        <v>52</v>
      </c>
      <c r="AX27">
        <v>1973</v>
      </c>
      <c r="AY27" s="3">
        <v>590246</v>
      </c>
      <c r="AZ27" s="4" t="s">
        <v>0</v>
      </c>
      <c r="BA27" s="3">
        <v>80727</v>
      </c>
      <c r="BB27" s="3">
        <v>200744</v>
      </c>
      <c r="BC27" s="4">
        <v>643</v>
      </c>
      <c r="BD27" s="3">
        <v>201278</v>
      </c>
      <c r="BE27" s="3">
        <v>1073638</v>
      </c>
      <c r="BF27" s="1">
        <v>0.8</v>
      </c>
      <c r="BG27" s="16">
        <v>267105</v>
      </c>
      <c r="BH27" s="18">
        <v>1340743</v>
      </c>
      <c r="BI27" s="7">
        <f t="shared" si="25"/>
        <v>0.80077837437898236</v>
      </c>
      <c r="BJ27" s="1">
        <f t="shared" si="26"/>
        <v>0.44023798744427528</v>
      </c>
      <c r="BK27" s="2">
        <f t="shared" si="27"/>
        <v>0.10756472044525162</v>
      </c>
      <c r="BL27" s="1">
        <f t="shared" si="28"/>
        <v>0.30080687223800562</v>
      </c>
      <c r="BM27" s="8">
        <f t="shared" si="29"/>
        <v>0.80077837437898236</v>
      </c>
      <c r="BN27" s="5">
        <f t="shared" si="30"/>
        <v>1073637.9999999998</v>
      </c>
      <c r="BP27" s="6">
        <f t="shared" si="31"/>
        <v>0.51877565108104784</v>
      </c>
      <c r="BQ27" s="6">
        <f t="shared" si="32"/>
        <v>0.12675407273753184</v>
      </c>
      <c r="BR27" s="6">
        <f t="shared" si="33"/>
        <v>0.35447027618142035</v>
      </c>
      <c r="CB27" t="s">
        <v>55</v>
      </c>
      <c r="CC27" s="19">
        <v>1973</v>
      </c>
      <c r="CD27" s="12">
        <v>1506960</v>
      </c>
      <c r="CE27" s="5">
        <v>742948</v>
      </c>
      <c r="CF27" s="5">
        <v>17553</v>
      </c>
      <c r="CG27" s="5">
        <v>77828</v>
      </c>
      <c r="CH27" s="5">
        <v>200744</v>
      </c>
      <c r="CI27">
        <v>0</v>
      </c>
      <c r="CJ27" s="5">
        <v>200807</v>
      </c>
      <c r="CK27" s="14">
        <v>267080</v>
      </c>
      <c r="CL27" s="5">
        <f t="shared" si="42"/>
        <v>1506960</v>
      </c>
      <c r="CM27" s="5"/>
      <c r="CN27" s="41">
        <v>0.82299999999999995</v>
      </c>
      <c r="CO27">
        <f t="shared" si="43"/>
        <v>1973</v>
      </c>
      <c r="CP27" s="6">
        <f t="shared" si="35"/>
        <v>0.1239737966187405</v>
      </c>
      <c r="CQ27" s="6">
        <f t="shared" si="44"/>
        <v>-9.3596151326257463E-5</v>
      </c>
    </row>
    <row r="28" spans="1:102" x14ac:dyDescent="0.55000000000000004">
      <c r="A28" t="str">
        <f t="shared" si="36"/>
        <v>Grant</v>
      </c>
      <c r="B28">
        <f t="shared" si="4"/>
        <v>1974</v>
      </c>
      <c r="C28" s="36">
        <f t="shared" si="5"/>
        <v>350390</v>
      </c>
      <c r="D28" s="31">
        <f t="shared" si="6"/>
        <v>1107885</v>
      </c>
      <c r="E28" s="26">
        <f t="shared" si="7"/>
        <v>1.151161251464681</v>
      </c>
      <c r="F28" s="26" t="str">
        <f t="shared" si="8"/>
        <v>Grant</v>
      </c>
      <c r="G28" s="5">
        <f t="shared" si="37"/>
        <v>350315</v>
      </c>
      <c r="H28" s="5">
        <f t="shared" si="9"/>
        <v>958767.79999999981</v>
      </c>
      <c r="I28" s="26">
        <f t="shared" si="10"/>
        <v>1.006816168623766</v>
      </c>
      <c r="J28" s="26">
        <f t="shared" si="0"/>
        <v>9.3436078345463747E-2</v>
      </c>
      <c r="K28">
        <v>1974</v>
      </c>
      <c r="L28" s="5">
        <v>350390</v>
      </c>
      <c r="M28" s="31">
        <v>1107885</v>
      </c>
      <c r="O28" t="str">
        <f t="shared" si="38"/>
        <v>Grant</v>
      </c>
      <c r="P28">
        <f t="shared" si="39"/>
        <v>1974</v>
      </c>
      <c r="Q28" s="35">
        <f t="shared" si="40"/>
        <v>350315</v>
      </c>
      <c r="R28" s="39">
        <f t="shared" si="41"/>
        <v>717854</v>
      </c>
      <c r="S28" s="57">
        <f t="shared" si="11"/>
        <v>0.51199686844400116</v>
      </c>
      <c r="T28" s="5"/>
      <c r="U28" s="5">
        <f t="shared" si="34"/>
        <v>216760.8</v>
      </c>
      <c r="V28" s="5">
        <f t="shared" si="12"/>
        <v>711133.79999999993</v>
      </c>
      <c r="W28" s="5">
        <f t="shared" si="13"/>
        <v>30873.200000000001</v>
      </c>
      <c r="X28" s="5">
        <f t="shared" si="14"/>
        <v>0</v>
      </c>
      <c r="Y28" s="12">
        <f t="shared" si="15"/>
        <v>958767.79999999981</v>
      </c>
      <c r="Z28" s="29"/>
      <c r="AA28" s="29"/>
      <c r="AB28" s="29"/>
      <c r="AC28" s="29"/>
      <c r="AD28" s="12">
        <f t="shared" si="16"/>
        <v>958767.79999999981</v>
      </c>
      <c r="AE28" s="12">
        <f t="shared" si="17"/>
        <v>1974</v>
      </c>
      <c r="AF28" s="56">
        <f t="shared" si="18"/>
        <v>0.22608268654829672</v>
      </c>
      <c r="AG28" s="56">
        <f t="shared" si="19"/>
        <v>0.7417163989028418</v>
      </c>
      <c r="AH28" s="56">
        <f t="shared" si="20"/>
        <v>3.2200914548861578E-2</v>
      </c>
      <c r="AI28" s="56"/>
      <c r="AJ28" s="68">
        <f t="shared" si="21"/>
        <v>1974</v>
      </c>
      <c r="AK28" s="60">
        <f t="shared" si="45"/>
        <v>706353.48170722672</v>
      </c>
      <c r="AL28" s="56">
        <f>CHOOSE(umethod,S28,retroU,MAX(0,cslope*(AK28-nlim)/AK28))</f>
        <v>0.51199686844400116</v>
      </c>
      <c r="AM28">
        <f t="shared" si="23"/>
        <v>344702.7110586096</v>
      </c>
      <c r="AN28" s="59">
        <f t="shared" si="2"/>
        <v>946673.00312700053</v>
      </c>
      <c r="AO28" s="59">
        <f t="shared" si="24"/>
        <v>361650.77064861712</v>
      </c>
      <c r="AP28" s="5"/>
      <c r="AW28" t="s">
        <v>52</v>
      </c>
      <c r="AX28">
        <v>1974</v>
      </c>
      <c r="AY28" s="3">
        <v>101667</v>
      </c>
      <c r="AZ28" s="4" t="s">
        <v>0</v>
      </c>
      <c r="BA28" s="3">
        <v>28013</v>
      </c>
      <c r="BB28" s="3">
        <v>145411</v>
      </c>
      <c r="BC28" s="3">
        <v>1279</v>
      </c>
      <c r="BD28" s="3">
        <v>108257</v>
      </c>
      <c r="BE28" s="3">
        <v>384627</v>
      </c>
      <c r="BF28" s="1">
        <v>0.52</v>
      </c>
      <c r="BG28" s="16">
        <v>350390</v>
      </c>
      <c r="BH28" s="18">
        <v>735017</v>
      </c>
      <c r="BI28" s="7">
        <f t="shared" si="25"/>
        <v>0.52328993751164943</v>
      </c>
      <c r="BJ28" s="1">
        <f t="shared" si="26"/>
        <v>0.13831924975884913</v>
      </c>
      <c r="BK28" s="2">
        <f t="shared" si="27"/>
        <v>4.4229888687139812E-2</v>
      </c>
      <c r="BL28" s="1">
        <f t="shared" si="28"/>
        <v>0.17921623420267591</v>
      </c>
      <c r="BM28" s="8">
        <f t="shared" si="29"/>
        <v>0.52328993751164943</v>
      </c>
      <c r="BN28" s="5">
        <f t="shared" si="30"/>
        <v>384627.00000000006</v>
      </c>
      <c r="BP28" s="6">
        <f t="shared" si="31"/>
        <v>0.38234518894427311</v>
      </c>
      <c r="BQ28" s="6">
        <f t="shared" si="32"/>
        <v>0.12226125558483038</v>
      </c>
      <c r="BR28" s="6">
        <f t="shared" si="33"/>
        <v>0.49539355547089658</v>
      </c>
      <c r="CB28" t="s">
        <v>55</v>
      </c>
      <c r="CC28" s="19">
        <v>1974</v>
      </c>
      <c r="CD28" s="12">
        <v>717854</v>
      </c>
      <c r="CE28" s="5">
        <v>87421</v>
      </c>
      <c r="CF28" s="5">
        <v>1151</v>
      </c>
      <c r="CG28" s="5">
        <v>25560</v>
      </c>
      <c r="CH28" s="5">
        <v>145411</v>
      </c>
      <c r="CI28">
        <v>0</v>
      </c>
      <c r="CJ28" s="5">
        <v>107996</v>
      </c>
      <c r="CK28" s="14">
        <v>350315</v>
      </c>
      <c r="CL28" s="5">
        <f t="shared" si="42"/>
        <v>717854</v>
      </c>
      <c r="CM28" s="5"/>
      <c r="CN28" s="41">
        <v>0.51200000000000001</v>
      </c>
      <c r="CO28">
        <f t="shared" si="43"/>
        <v>1974</v>
      </c>
      <c r="CP28" s="6">
        <f t="shared" si="35"/>
        <v>-2.3350480329026403E-2</v>
      </c>
      <c r="CQ28" s="6">
        <f t="shared" si="44"/>
        <v>-2.1404720454350866E-4</v>
      </c>
    </row>
    <row r="29" spans="1:102" x14ac:dyDescent="0.55000000000000004">
      <c r="A29" t="str">
        <f t="shared" si="36"/>
        <v>Grant</v>
      </c>
      <c r="B29">
        <f t="shared" si="4"/>
        <v>1975</v>
      </c>
      <c r="C29" s="36">
        <f t="shared" si="5"/>
        <v>191445</v>
      </c>
      <c r="D29" s="31">
        <f t="shared" si="6"/>
        <v>527760</v>
      </c>
      <c r="E29" s="26">
        <f t="shared" si="7"/>
        <v>1.0140410738118517</v>
      </c>
      <c r="F29" s="26" t="str">
        <f t="shared" si="8"/>
        <v>Grant</v>
      </c>
      <c r="G29" s="5">
        <f t="shared" si="37"/>
        <v>191420</v>
      </c>
      <c r="H29" s="5">
        <f t="shared" si="9"/>
        <v>631741.4</v>
      </c>
      <c r="I29" s="26">
        <f t="shared" si="10"/>
        <v>1.1940101664280678</v>
      </c>
      <c r="J29" s="26">
        <f t="shared" si="0"/>
        <v>0.18280571464787454</v>
      </c>
      <c r="K29">
        <v>1975</v>
      </c>
      <c r="L29" s="5">
        <v>191445</v>
      </c>
      <c r="M29" s="31">
        <v>527760</v>
      </c>
      <c r="O29" t="str">
        <f t="shared" si="38"/>
        <v>Grant</v>
      </c>
      <c r="P29">
        <f t="shared" si="39"/>
        <v>1975</v>
      </c>
      <c r="Q29" s="35">
        <f t="shared" si="40"/>
        <v>191420</v>
      </c>
      <c r="R29" s="39">
        <f t="shared" si="41"/>
        <v>486199</v>
      </c>
      <c r="S29" s="57">
        <f t="shared" si="11"/>
        <v>0.60629289653002161</v>
      </c>
      <c r="T29" s="5"/>
      <c r="U29" s="5">
        <f t="shared" si="34"/>
        <v>355566.89999999997</v>
      </c>
      <c r="V29" s="5">
        <f t="shared" si="12"/>
        <v>185239.19999999998</v>
      </c>
      <c r="W29" s="5">
        <f t="shared" si="13"/>
        <v>90935.3</v>
      </c>
      <c r="X29" s="5">
        <f t="shared" si="14"/>
        <v>0</v>
      </c>
      <c r="Y29" s="12">
        <f t="shared" si="15"/>
        <v>631741.4</v>
      </c>
      <c r="Z29" s="29"/>
      <c r="AA29" s="29"/>
      <c r="AB29" s="29"/>
      <c r="AC29" s="29"/>
      <c r="AD29" s="12">
        <f t="shared" si="16"/>
        <v>631741.4</v>
      </c>
      <c r="AE29" s="12">
        <f t="shared" si="17"/>
        <v>1975</v>
      </c>
      <c r="AF29" s="56">
        <f t="shared" si="18"/>
        <v>0.56283615416054722</v>
      </c>
      <c r="AG29" s="56">
        <f t="shared" si="19"/>
        <v>0.29321997893441837</v>
      </c>
      <c r="AH29" s="56">
        <f t="shared" si="20"/>
        <v>0.14394386690503425</v>
      </c>
      <c r="AI29" s="56"/>
      <c r="AJ29" s="68">
        <f t="shared" si="21"/>
        <v>1975</v>
      </c>
      <c r="AK29" s="60">
        <f t="shared" si="45"/>
        <v>479931.4784806252</v>
      </c>
      <c r="AL29" s="56">
        <f>CHOOSE(umethod,S29,retroU,MAX(0,cslope*(AK29-nlim)/AK29))</f>
        <v>0.60629289653002161</v>
      </c>
      <c r="AM29">
        <f t="shared" si="23"/>
        <v>188952.43225667122</v>
      </c>
      <c r="AN29" s="59">
        <f t="shared" si="2"/>
        <v>624545.78209478094</v>
      </c>
      <c r="AO29" s="59">
        <f t="shared" si="24"/>
        <v>290979.04622395395</v>
      </c>
      <c r="AP29" s="5"/>
      <c r="AW29" t="s">
        <v>52</v>
      </c>
      <c r="AX29">
        <v>1975</v>
      </c>
      <c r="AY29" s="3">
        <v>144527</v>
      </c>
      <c r="AZ29" s="4" t="s">
        <v>0</v>
      </c>
      <c r="BA29" s="3">
        <v>17876</v>
      </c>
      <c r="BB29" s="3">
        <v>69307</v>
      </c>
      <c r="BC29" s="4">
        <v>262</v>
      </c>
      <c r="BD29" s="3">
        <v>80560</v>
      </c>
      <c r="BE29" s="3">
        <v>312533</v>
      </c>
      <c r="BF29" s="1">
        <v>0.62</v>
      </c>
      <c r="BG29" s="16">
        <v>191445</v>
      </c>
      <c r="BH29" s="18">
        <v>503978</v>
      </c>
      <c r="BI29" s="7">
        <f t="shared" si="25"/>
        <v>0.62013222799407908</v>
      </c>
      <c r="BJ29" s="1">
        <f t="shared" si="26"/>
        <v>0.28677243847945744</v>
      </c>
      <c r="BK29" s="2">
        <f t="shared" si="27"/>
        <v>4.9731395934355445E-2</v>
      </c>
      <c r="BL29" s="1">
        <f t="shared" si="28"/>
        <v>0.2360296853621163</v>
      </c>
      <c r="BM29" s="8">
        <f t="shared" si="29"/>
        <v>0.62013222799407908</v>
      </c>
      <c r="BN29" s="5">
        <f t="shared" si="30"/>
        <v>312532.99999999994</v>
      </c>
      <c r="BP29" s="6">
        <f t="shared" si="31"/>
        <v>0.50088322966957599</v>
      </c>
      <c r="BQ29" s="6">
        <f t="shared" si="32"/>
        <v>8.6861981380266934E-2</v>
      </c>
      <c r="BR29" s="6">
        <f t="shared" si="33"/>
        <v>0.41225478895015716</v>
      </c>
      <c r="CB29" t="s">
        <v>55</v>
      </c>
      <c r="CC29" s="19">
        <v>1975</v>
      </c>
      <c r="CD29" s="12">
        <v>486199</v>
      </c>
      <c r="CE29" s="5">
        <v>124247</v>
      </c>
      <c r="CF29" s="5">
        <v>3950</v>
      </c>
      <c r="CG29" s="5">
        <v>16433</v>
      </c>
      <c r="CH29" s="5">
        <v>69307</v>
      </c>
      <c r="CI29">
        <v>0</v>
      </c>
      <c r="CJ29" s="5">
        <v>80842</v>
      </c>
      <c r="CK29" s="14">
        <v>191420</v>
      </c>
      <c r="CL29" s="5">
        <f t="shared" si="42"/>
        <v>486199</v>
      </c>
      <c r="CM29" s="5"/>
      <c r="CN29" s="41">
        <v>0.60599999999999998</v>
      </c>
      <c r="CO29">
        <f t="shared" si="43"/>
        <v>1975</v>
      </c>
      <c r="CP29" s="6">
        <f t="shared" si="35"/>
        <v>-3.527733353440031E-2</v>
      </c>
      <c r="CQ29" s="6">
        <f t="shared" si="44"/>
        <v>-1.3058580793439369E-4</v>
      </c>
    </row>
    <row r="30" spans="1:102" x14ac:dyDescent="0.55000000000000004">
      <c r="A30" t="str">
        <f t="shared" si="36"/>
        <v>Grant</v>
      </c>
      <c r="B30">
        <f t="shared" si="4"/>
        <v>1976</v>
      </c>
      <c r="C30" s="36">
        <f t="shared" si="5"/>
        <v>340467</v>
      </c>
      <c r="D30" s="31">
        <f t="shared" si="6"/>
        <v>761292</v>
      </c>
      <c r="E30" s="26">
        <f t="shared" si="7"/>
        <v>0.80469878532263861</v>
      </c>
      <c r="F30" s="26" t="str">
        <f t="shared" si="8"/>
        <v>Grant</v>
      </c>
      <c r="G30" s="5">
        <f t="shared" si="37"/>
        <v>340517</v>
      </c>
      <c r="H30" s="5">
        <f t="shared" si="9"/>
        <v>688258.49999999988</v>
      </c>
      <c r="I30" s="26">
        <f t="shared" si="10"/>
        <v>0.70369944318807409</v>
      </c>
      <c r="J30" s="26">
        <f t="shared" si="0"/>
        <v>-0.21571282616443144</v>
      </c>
      <c r="K30">
        <v>1976</v>
      </c>
      <c r="L30" s="5">
        <v>340467</v>
      </c>
      <c r="M30" s="31">
        <v>761292</v>
      </c>
      <c r="O30" t="str">
        <f t="shared" si="38"/>
        <v>Grant</v>
      </c>
      <c r="P30">
        <f t="shared" si="39"/>
        <v>1976</v>
      </c>
      <c r="Q30" s="35">
        <f t="shared" si="40"/>
        <v>340517</v>
      </c>
      <c r="R30" s="39">
        <f t="shared" si="41"/>
        <v>1003722</v>
      </c>
      <c r="S30" s="57">
        <f t="shared" si="11"/>
        <v>0.66074570448789605</v>
      </c>
      <c r="T30" s="5"/>
      <c r="U30" s="5">
        <f t="shared" si="34"/>
        <v>92619.599999999991</v>
      </c>
      <c r="V30" s="5">
        <f t="shared" si="12"/>
        <v>545611.79999999993</v>
      </c>
      <c r="W30" s="5">
        <f t="shared" si="13"/>
        <v>50027.100000000006</v>
      </c>
      <c r="X30" s="5">
        <f t="shared" si="14"/>
        <v>0</v>
      </c>
      <c r="Y30" s="12">
        <f t="shared" si="15"/>
        <v>688258.49999999988</v>
      </c>
      <c r="Z30" s="29"/>
      <c r="AA30" s="29"/>
      <c r="AB30" s="29"/>
      <c r="AC30" s="29"/>
      <c r="AD30" s="12">
        <f t="shared" si="16"/>
        <v>688258.49999999988</v>
      </c>
      <c r="AE30" s="12">
        <f t="shared" si="17"/>
        <v>1976</v>
      </c>
      <c r="AF30" s="56">
        <f t="shared" si="18"/>
        <v>0.13457094972310549</v>
      </c>
      <c r="AG30" s="56">
        <f t="shared" si="19"/>
        <v>0.79274255239855373</v>
      </c>
      <c r="AH30" s="56">
        <f t="shared" si="20"/>
        <v>7.2686497878340792E-2</v>
      </c>
      <c r="AI30" s="56"/>
      <c r="AJ30" s="68">
        <f t="shared" si="21"/>
        <v>1976</v>
      </c>
      <c r="AK30" s="60">
        <f t="shared" si="45"/>
        <v>994075.48987078632</v>
      </c>
      <c r="AL30" s="56">
        <f>CHOOSE(umethod,S30,retroU,MAX(0,cslope*(AK30-nlim)/AK30))</f>
        <v>0.66074570448789605</v>
      </c>
      <c r="AM30">
        <f t="shared" si="23"/>
        <v>337244.38000196323</v>
      </c>
      <c r="AN30" s="59">
        <f t="shared" si="2"/>
        <v>683018.58902927244</v>
      </c>
      <c r="AO30" s="59">
        <f t="shared" si="24"/>
        <v>656831.10986882308</v>
      </c>
      <c r="AP30" s="5"/>
      <c r="AQ30" s="9"/>
      <c r="AR30" s="9"/>
      <c r="AS30" s="9" t="s">
        <v>36</v>
      </c>
      <c r="AT30" s="9" t="s">
        <v>36</v>
      </c>
      <c r="AU30" s="9" t="s">
        <v>36</v>
      </c>
      <c r="AV30" s="9"/>
      <c r="AW30" t="s">
        <v>52</v>
      </c>
      <c r="AX30">
        <v>1976</v>
      </c>
      <c r="AY30" s="3">
        <v>343629</v>
      </c>
      <c r="AZ30" s="4" t="s">
        <v>0</v>
      </c>
      <c r="BA30" s="3">
        <v>49645</v>
      </c>
      <c r="BB30" s="3">
        <v>191507</v>
      </c>
      <c r="BC30" s="3">
        <v>1126</v>
      </c>
      <c r="BD30" s="3">
        <v>187661</v>
      </c>
      <c r="BE30" s="3">
        <v>773568</v>
      </c>
      <c r="BF30" s="1">
        <v>0.69</v>
      </c>
      <c r="BG30" s="16">
        <v>340467</v>
      </c>
      <c r="BH30" s="18">
        <v>1114035</v>
      </c>
      <c r="BI30" s="7">
        <f t="shared" si="25"/>
        <v>0.69438392869164789</v>
      </c>
      <c r="BJ30" s="1">
        <f t="shared" si="26"/>
        <v>0.30845440224050413</v>
      </c>
      <c r="BK30" s="2">
        <f t="shared" si="27"/>
        <v>6.4440048493911009E-2</v>
      </c>
      <c r="BL30" s="1">
        <f t="shared" si="28"/>
        <v>0.26077247493521022</v>
      </c>
      <c r="BM30" s="8">
        <f t="shared" si="29"/>
        <v>0.69438392869164789</v>
      </c>
      <c r="BN30" s="5">
        <f t="shared" si="30"/>
        <v>773567.99999999988</v>
      </c>
      <c r="BP30" s="6">
        <f t="shared" si="31"/>
        <v>0.48677686927488917</v>
      </c>
      <c r="BQ30" s="6">
        <f t="shared" si="32"/>
        <v>0.10169388030756728</v>
      </c>
      <c r="BR30" s="6">
        <f t="shared" si="33"/>
        <v>0.41152925041754357</v>
      </c>
      <c r="CB30" t="s">
        <v>55</v>
      </c>
      <c r="CC30" s="19">
        <v>1976</v>
      </c>
      <c r="CD30" s="12">
        <v>1003722</v>
      </c>
      <c r="CE30" s="5">
        <v>237524</v>
      </c>
      <c r="CF30" s="5">
        <v>4559</v>
      </c>
      <c r="CG30" s="5">
        <v>43244</v>
      </c>
      <c r="CH30" s="5">
        <v>191507</v>
      </c>
      <c r="CI30">
        <v>0</v>
      </c>
      <c r="CJ30" s="5">
        <v>186371</v>
      </c>
      <c r="CK30" s="14">
        <v>340517</v>
      </c>
      <c r="CL30" s="5">
        <f t="shared" si="42"/>
        <v>1003722</v>
      </c>
      <c r="CM30" s="5"/>
      <c r="CN30" s="41">
        <v>0.66100000000000003</v>
      </c>
      <c r="CO30">
        <f t="shared" si="43"/>
        <v>1976</v>
      </c>
      <c r="CP30" s="6">
        <f t="shared" si="35"/>
        <v>-9.9021125907175267E-2</v>
      </c>
      <c r="CQ30" s="6">
        <f t="shared" si="44"/>
        <v>1.4685711096817019E-4</v>
      </c>
    </row>
    <row r="31" spans="1:102" ht="50.4" customHeight="1" x14ac:dyDescent="0.55000000000000004">
      <c r="A31" t="str">
        <f t="shared" si="36"/>
        <v>Grant</v>
      </c>
      <c r="B31">
        <f t="shared" si="4"/>
        <v>1977</v>
      </c>
      <c r="C31" s="36">
        <f t="shared" si="5"/>
        <v>599371</v>
      </c>
      <c r="D31" s="31">
        <f t="shared" si="6"/>
        <v>583647</v>
      </c>
      <c r="E31" s="26">
        <f t="shared" si="7"/>
        <v>-2.658442397844028E-2</v>
      </c>
      <c r="F31" s="26" t="str">
        <f t="shared" si="8"/>
        <v>Grant</v>
      </c>
      <c r="G31" s="5">
        <f t="shared" si="37"/>
        <v>599341</v>
      </c>
      <c r="H31" s="5">
        <f t="shared" si="9"/>
        <v>645369.59999999998</v>
      </c>
      <c r="I31" s="26">
        <f t="shared" si="10"/>
        <v>7.3992457663711819E-2</v>
      </c>
      <c r="J31" s="26">
        <f t="shared" si="0"/>
        <v>-0.68607374956370837</v>
      </c>
      <c r="K31">
        <v>1977</v>
      </c>
      <c r="L31" s="5">
        <v>599371</v>
      </c>
      <c r="M31" s="31">
        <v>583647</v>
      </c>
      <c r="O31" t="str">
        <f t="shared" si="38"/>
        <v>Grant</v>
      </c>
      <c r="P31">
        <f t="shared" si="39"/>
        <v>1977</v>
      </c>
      <c r="Q31" s="35">
        <f t="shared" si="40"/>
        <v>599341</v>
      </c>
      <c r="R31" s="39">
        <f t="shared" si="41"/>
        <v>722536</v>
      </c>
      <c r="S31" s="57">
        <f t="shared" si="11"/>
        <v>0.17050361504478673</v>
      </c>
      <c r="T31" s="5"/>
      <c r="U31" s="5">
        <f>$R34*U$2</f>
        <v>272805.89999999997</v>
      </c>
      <c r="V31" s="5">
        <f>$R35*V$2</f>
        <v>300162.59999999998</v>
      </c>
      <c r="W31" s="5">
        <f>$R36*W$2</f>
        <v>72401.100000000006</v>
      </c>
      <c r="X31" s="5">
        <f>$R37*X$2</f>
        <v>0</v>
      </c>
      <c r="Y31" s="12">
        <f t="shared" si="15"/>
        <v>645369.59999999998</v>
      </c>
      <c r="Z31" s="29"/>
      <c r="AA31" s="29"/>
      <c r="AB31" s="29"/>
      <c r="AC31" s="29"/>
      <c r="AD31" s="12">
        <f t="shared" si="16"/>
        <v>645369.59999999998</v>
      </c>
      <c r="AE31" s="12">
        <f t="shared" si="17"/>
        <v>1977</v>
      </c>
      <c r="AF31" s="56">
        <f t="shared" si="18"/>
        <v>0.42271265953648884</v>
      </c>
      <c r="AG31" s="56">
        <f t="shared" si="19"/>
        <v>0.46510185791211733</v>
      </c>
      <c r="AH31" s="56">
        <f t="shared" si="20"/>
        <v>0.11218548255139382</v>
      </c>
      <c r="AI31" s="56"/>
      <c r="AJ31" s="68">
        <f t="shared" si="21"/>
        <v>1977</v>
      </c>
      <c r="AK31" s="60">
        <f t="shared" si="45"/>
        <v>714340.4547522486</v>
      </c>
      <c r="AL31" s="56">
        <f>CHOOSE(umethod,S31,retroU,MAX(0,cslope*(AK31-nlim)/AK31))</f>
        <v>0.17050361504478673</v>
      </c>
      <c r="AM31">
        <f t="shared" si="23"/>
        <v>592542.82484425337</v>
      </c>
      <c r="AN31" s="59">
        <f t="shared" si="2"/>
        <v>640725.37362031045</v>
      </c>
      <c r="AO31" s="59">
        <f t="shared" si="24"/>
        <v>121797.62990799523</v>
      </c>
      <c r="AP31" t="s">
        <v>51</v>
      </c>
      <c r="AQ31" s="9"/>
      <c r="AR31" s="15" t="s">
        <v>34</v>
      </c>
      <c r="AS31" s="9" t="s">
        <v>34</v>
      </c>
      <c r="AT31" s="9" t="s">
        <v>35</v>
      </c>
      <c r="AU31" s="9" t="s">
        <v>49</v>
      </c>
      <c r="AV31" s="9" t="s">
        <v>50</v>
      </c>
      <c r="AW31" t="s">
        <v>52</v>
      </c>
      <c r="AX31">
        <v>1977</v>
      </c>
      <c r="AY31" s="3">
        <v>42066</v>
      </c>
      <c r="AZ31" s="4" t="s">
        <v>0</v>
      </c>
      <c r="BA31" s="3">
        <v>8228</v>
      </c>
      <c r="BB31" s="3">
        <v>38846</v>
      </c>
      <c r="BC31" s="4">
        <v>626</v>
      </c>
      <c r="BD31" s="3">
        <v>23728</v>
      </c>
      <c r="BE31" s="3">
        <v>113494</v>
      </c>
      <c r="BF31" s="1">
        <v>0.16</v>
      </c>
      <c r="BG31" s="16">
        <v>599371</v>
      </c>
      <c r="BH31" s="18">
        <v>712865</v>
      </c>
      <c r="BI31" s="7">
        <f t="shared" si="25"/>
        <v>0.1592082652395615</v>
      </c>
      <c r="BJ31" s="1">
        <f t="shared" si="26"/>
        <v>5.900977043339202E-2</v>
      </c>
      <c r="BK31" s="2">
        <f t="shared" si="27"/>
        <v>1.226596938874387E-2</v>
      </c>
      <c r="BL31" s="1">
        <f t="shared" si="28"/>
        <v>3.5845878434008868E-2</v>
      </c>
      <c r="BM31" s="8">
        <f t="shared" si="29"/>
        <v>0.1592082652395615</v>
      </c>
      <c r="BN31" s="5">
        <f t="shared" si="30"/>
        <v>113494</v>
      </c>
      <c r="BP31" s="6">
        <f t="shared" si="31"/>
        <v>0.55086705553952997</v>
      </c>
      <c r="BQ31" s="6">
        <f t="shared" si="32"/>
        <v>0.11450507925873557</v>
      </c>
      <c r="BR31" s="6">
        <f t="shared" si="33"/>
        <v>0.33462786520173449</v>
      </c>
      <c r="CB31" t="s">
        <v>55</v>
      </c>
      <c r="CC31" s="19">
        <v>1977</v>
      </c>
      <c r="CD31" s="12">
        <v>722536</v>
      </c>
      <c r="CE31" s="5">
        <v>54997</v>
      </c>
      <c r="CF31">
        <v>0</v>
      </c>
      <c r="CG31" s="5">
        <v>6358</v>
      </c>
      <c r="CH31" s="5">
        <v>36660</v>
      </c>
      <c r="CI31">
        <v>0</v>
      </c>
      <c r="CJ31" s="5">
        <v>25180</v>
      </c>
      <c r="CK31" s="14">
        <v>599341</v>
      </c>
      <c r="CL31" s="5">
        <f t="shared" si="42"/>
        <v>722536</v>
      </c>
      <c r="CM31" s="5"/>
      <c r="CN31" s="41">
        <v>0.17100000000000001</v>
      </c>
      <c r="CO31">
        <f t="shared" si="43"/>
        <v>1977</v>
      </c>
      <c r="CP31" s="6">
        <f t="shared" si="35"/>
        <v>1.3566383536854805E-2</v>
      </c>
      <c r="CQ31" s="6">
        <f t="shared" si="44"/>
        <v>-5.0052471674472071E-5</v>
      </c>
    </row>
    <row r="32" spans="1:102" x14ac:dyDescent="0.55000000000000004">
      <c r="A32" t="str">
        <f t="shared" si="36"/>
        <v>Grant</v>
      </c>
      <c r="B32">
        <f t="shared" si="4"/>
        <v>1978</v>
      </c>
      <c r="C32" s="36">
        <f t="shared" si="5"/>
        <v>359065</v>
      </c>
      <c r="D32" s="31">
        <f t="shared" si="6"/>
        <v>635560</v>
      </c>
      <c r="E32" s="26">
        <f t="shared" si="7"/>
        <v>0.57100306942517687</v>
      </c>
      <c r="F32" s="26" t="str">
        <f t="shared" si="8"/>
        <v>Grant</v>
      </c>
      <c r="G32" s="5">
        <f t="shared" si="37"/>
        <v>358990</v>
      </c>
      <c r="H32" s="5">
        <f t="shared" si="9"/>
        <v>631497.99999999988</v>
      </c>
      <c r="I32" s="26">
        <f t="shared" si="10"/>
        <v>0.56480024177586741</v>
      </c>
      <c r="J32" s="26">
        <f t="shared" si="0"/>
        <v>-0.3432390490057301</v>
      </c>
      <c r="K32">
        <v>1978</v>
      </c>
      <c r="L32" s="5">
        <v>359065</v>
      </c>
      <c r="M32" s="31">
        <v>635560</v>
      </c>
      <c r="O32" t="str">
        <f t="shared" si="38"/>
        <v>Grant</v>
      </c>
      <c r="P32">
        <f t="shared" si="39"/>
        <v>1978</v>
      </c>
      <c r="Q32" s="35">
        <f>CK32</f>
        <v>358990</v>
      </c>
      <c r="R32" s="39">
        <f>CD32</f>
        <v>1185223</v>
      </c>
      <c r="S32" s="57">
        <f t="shared" si="11"/>
        <v>0.69711185152498722</v>
      </c>
      <c r="T32" s="5"/>
      <c r="U32" s="5">
        <f t="shared" si="34"/>
        <v>150081.29999999999</v>
      </c>
      <c r="V32" s="5">
        <f t="shared" si="12"/>
        <v>434406.6</v>
      </c>
      <c r="W32" s="5">
        <f t="shared" si="13"/>
        <v>47010.100000000006</v>
      </c>
      <c r="X32" s="5">
        <f t="shared" si="14"/>
        <v>0</v>
      </c>
      <c r="Y32" s="12">
        <f>SUM(U32:X32)</f>
        <v>631497.99999999988</v>
      </c>
      <c r="Z32" s="29"/>
      <c r="AA32" s="29"/>
      <c r="AB32" s="29"/>
      <c r="AC32" s="29"/>
      <c r="AD32" s="12">
        <f t="shared" si="16"/>
        <v>631497.99999999988</v>
      </c>
      <c r="AE32" s="12">
        <f t="shared" si="17"/>
        <v>1978</v>
      </c>
      <c r="AF32" s="56">
        <f t="shared" si="18"/>
        <v>0.23765918498554234</v>
      </c>
      <c r="AG32" s="56">
        <f t="shared" si="19"/>
        <v>0.68789861567257549</v>
      </c>
      <c r="AH32" s="56">
        <f t="shared" si="20"/>
        <v>7.4442199341882342E-2</v>
      </c>
      <c r="AI32" s="56"/>
      <c r="AJ32" s="68">
        <f t="shared" si="21"/>
        <v>1978</v>
      </c>
      <c r="AK32" s="60">
        <f t="shared" si="45"/>
        <v>1170866.0084676552</v>
      </c>
      <c r="AL32" s="56">
        <f>CHOOSE(umethod,S32,retroU,MAX(0,cslope*(AK32-nlim)/AK32))</f>
        <v>0.69711185152498722</v>
      </c>
      <c r="AM32">
        <f t="shared" si="23"/>
        <v>354641.43741709669</v>
      </c>
      <c r="AN32" s="59">
        <f t="shared" si="2"/>
        <v>625520.87074558774</v>
      </c>
      <c r="AO32" s="59">
        <f t="shared" si="24"/>
        <v>816224.57105055847</v>
      </c>
      <c r="AQ32" s="9" t="s">
        <v>29</v>
      </c>
      <c r="AR32" s="15" t="s">
        <v>30</v>
      </c>
      <c r="AS32" s="9" t="s">
        <v>33</v>
      </c>
      <c r="AT32" s="9" t="s">
        <v>23</v>
      </c>
      <c r="AU32" s="9"/>
      <c r="AV32" s="9"/>
      <c r="AW32" t="s">
        <v>52</v>
      </c>
      <c r="AX32">
        <v>1978</v>
      </c>
      <c r="AY32" s="3">
        <v>485439</v>
      </c>
      <c r="AZ32" s="4" t="s">
        <v>0</v>
      </c>
      <c r="BA32" s="3">
        <v>12318</v>
      </c>
      <c r="BB32" s="3">
        <v>295733</v>
      </c>
      <c r="BC32" s="4">
        <v>277</v>
      </c>
      <c r="BD32" s="3">
        <v>134260</v>
      </c>
      <c r="BE32" s="3">
        <v>928027</v>
      </c>
      <c r="BF32" s="1">
        <v>0.72</v>
      </c>
      <c r="BG32" s="16">
        <v>359065</v>
      </c>
      <c r="BH32" s="18">
        <v>1287092</v>
      </c>
      <c r="BI32" s="7">
        <f t="shared" si="25"/>
        <v>0.72102615819226601</v>
      </c>
      <c r="BJ32" s="1">
        <f t="shared" si="26"/>
        <v>0.37715951928844249</v>
      </c>
      <c r="BK32" s="2">
        <f t="shared" si="27"/>
        <v>1.5365750517992199E-2</v>
      </c>
      <c r="BL32" s="1">
        <f t="shared" si="28"/>
        <v>0.17015225750198337</v>
      </c>
      <c r="BM32" s="8">
        <f t="shared" si="29"/>
        <v>0.72102615819226601</v>
      </c>
      <c r="BN32" s="5">
        <f t="shared" si="30"/>
        <v>928027.00000000012</v>
      </c>
      <c r="BP32" s="6">
        <f t="shared" si="31"/>
        <v>0.67029426444769236</v>
      </c>
      <c r="BQ32" s="6">
        <f t="shared" si="32"/>
        <v>2.7308271207301713E-2</v>
      </c>
      <c r="BR32" s="6">
        <f t="shared" si="33"/>
        <v>0.30239746434500575</v>
      </c>
      <c r="CB32" t="s">
        <v>55</v>
      </c>
      <c r="CC32" s="19">
        <v>1978</v>
      </c>
      <c r="CD32" s="12">
        <v>1185223</v>
      </c>
      <c r="CE32" s="5">
        <v>405890</v>
      </c>
      <c r="CF32">
        <v>729</v>
      </c>
      <c r="CG32" s="5">
        <v>11113</v>
      </c>
      <c r="CH32" s="5">
        <v>273516</v>
      </c>
      <c r="CI32">
        <v>0</v>
      </c>
      <c r="CJ32" s="5">
        <v>134985</v>
      </c>
      <c r="CK32" s="14">
        <v>358990</v>
      </c>
      <c r="CL32" s="5">
        <f t="shared" si="42"/>
        <v>1185223</v>
      </c>
      <c r="CM32" s="5"/>
      <c r="CN32" s="41">
        <v>0.69699999999999995</v>
      </c>
      <c r="CO32">
        <f t="shared" si="43"/>
        <v>1978</v>
      </c>
      <c r="CP32" s="6">
        <f t="shared" si="35"/>
        <v>-7.9146634428618939E-2</v>
      </c>
      <c r="CQ32" s="6">
        <f t="shared" si="44"/>
        <v>-2.0887583028142537E-4</v>
      </c>
      <c r="CT32" s="25" t="s">
        <v>29</v>
      </c>
      <c r="CU32" s="25" t="s">
        <v>30</v>
      </c>
      <c r="CV32" s="25" t="s">
        <v>57</v>
      </c>
      <c r="CW32" t="s">
        <v>63</v>
      </c>
      <c r="CX32" t="s">
        <v>64</v>
      </c>
    </row>
    <row r="33" spans="1:112" x14ac:dyDescent="0.55000000000000004">
      <c r="A33" t="str">
        <f t="shared" si="36"/>
        <v>Grant</v>
      </c>
      <c r="B33">
        <f t="shared" si="4"/>
        <v>1979</v>
      </c>
      <c r="C33" s="36">
        <f t="shared" si="5"/>
        <v>255634</v>
      </c>
      <c r="D33" s="31">
        <f t="shared" si="6"/>
        <v>510199</v>
      </c>
      <c r="E33" s="26">
        <f t="shared" si="7"/>
        <v>0.69105411168886388</v>
      </c>
      <c r="F33" s="26" t="str">
        <f t="shared" si="8"/>
        <v>Grant</v>
      </c>
      <c r="G33" s="5">
        <f t="shared" si="37"/>
        <v>255634</v>
      </c>
      <c r="H33" s="5">
        <f t="shared" si="9"/>
        <v>560544.19999999995</v>
      </c>
      <c r="I33" s="26">
        <f t="shared" si="10"/>
        <v>0.78516136356418187</v>
      </c>
      <c r="J33" s="26">
        <f t="shared" si="0"/>
        <v>-0.18650947451210365</v>
      </c>
      <c r="K33">
        <v>1979</v>
      </c>
      <c r="L33" s="5">
        <v>255634</v>
      </c>
      <c r="M33" s="31">
        <v>510199</v>
      </c>
      <c r="O33" t="str">
        <f t="shared" si="38"/>
        <v>Grant</v>
      </c>
      <c r="P33">
        <f t="shared" si="39"/>
        <v>1979</v>
      </c>
      <c r="Q33" s="35">
        <f t="shared" si="40"/>
        <v>255634</v>
      </c>
      <c r="R33" s="39">
        <f t="shared" si="41"/>
        <v>308732</v>
      </c>
      <c r="S33" s="57">
        <f t="shared" si="11"/>
        <v>0.17198735472837279</v>
      </c>
      <c r="T33" s="5"/>
      <c r="U33" s="5">
        <f t="shared" si="34"/>
        <v>217203.3</v>
      </c>
      <c r="V33" s="5">
        <f t="shared" si="12"/>
        <v>282060.59999999998</v>
      </c>
      <c r="W33" s="5">
        <f t="shared" si="13"/>
        <v>61280.3</v>
      </c>
      <c r="X33" s="5">
        <f t="shared" si="14"/>
        <v>0</v>
      </c>
      <c r="Y33" s="12">
        <f t="shared" si="15"/>
        <v>560544.19999999995</v>
      </c>
      <c r="Z33" s="29"/>
      <c r="AA33" s="29"/>
      <c r="AB33" s="29"/>
      <c r="AC33" s="29"/>
      <c r="AD33" s="12">
        <f t="shared" si="16"/>
        <v>560544.19999999995</v>
      </c>
      <c r="AE33" s="12">
        <f t="shared" si="17"/>
        <v>1979</v>
      </c>
      <c r="AF33" s="56">
        <f t="shared" si="18"/>
        <v>0.38748648188670937</v>
      </c>
      <c r="AG33" s="56">
        <f t="shared" si="19"/>
        <v>0.50319064937252045</v>
      </c>
      <c r="AH33" s="56">
        <f t="shared" si="20"/>
        <v>0.10932286874077014</v>
      </c>
      <c r="AI33" s="56"/>
      <c r="AJ33" s="68">
        <f t="shared" si="21"/>
        <v>1979</v>
      </c>
      <c r="AK33" s="60">
        <f t="shared" si="45"/>
        <v>305527.49775302288</v>
      </c>
      <c r="AL33" s="56">
        <f>CHOOSE(umethod,S33,retroU,MAX(0,cslope*(AK33-nlim)/AK33))</f>
        <v>0.17198735472837279</v>
      </c>
      <c r="AM33">
        <f t="shared" si="23"/>
        <v>252980.63161770161</v>
      </c>
      <c r="AN33" s="59">
        <f t="shared" si="2"/>
        <v>555632.91515702964</v>
      </c>
      <c r="AO33" s="59">
        <f t="shared" si="24"/>
        <v>52546.866135321266</v>
      </c>
      <c r="AP33" t="s">
        <v>52</v>
      </c>
      <c r="AQ33">
        <v>1979</v>
      </c>
      <c r="AR33" s="14">
        <v>255634</v>
      </c>
      <c r="AS33" s="5">
        <f>BE33</f>
        <v>42262</v>
      </c>
      <c r="AT33" s="6">
        <f>AS33/(AR33+AS33)</f>
        <v>0.1418683030319306</v>
      </c>
      <c r="AU33" s="12">
        <f>AR33+AS33</f>
        <v>297896</v>
      </c>
      <c r="AV33" s="6">
        <f>(AU33-CD33)/CD33</f>
        <v>-3.5098402497959397E-2</v>
      </c>
      <c r="AW33" t="s">
        <v>52</v>
      </c>
      <c r="AX33">
        <v>1979</v>
      </c>
      <c r="AY33" s="3">
        <v>20326</v>
      </c>
      <c r="AZ33" s="4" t="s">
        <v>0</v>
      </c>
      <c r="BA33" s="3">
        <v>2105</v>
      </c>
      <c r="BB33" s="3">
        <v>3455</v>
      </c>
      <c r="BC33" s="4">
        <v>403</v>
      </c>
      <c r="BD33" s="3">
        <v>15973</v>
      </c>
      <c r="BE33" s="3">
        <v>42262</v>
      </c>
      <c r="BF33" s="1">
        <v>0.14000000000000001</v>
      </c>
      <c r="BG33" s="16">
        <v>255634</v>
      </c>
      <c r="BH33" s="18">
        <v>297896</v>
      </c>
      <c r="BI33" s="7">
        <f t="shared" si="25"/>
        <v>0.1418683030319306</v>
      </c>
      <c r="BJ33" s="1">
        <f t="shared" si="26"/>
        <v>6.8231866154631143E-2</v>
      </c>
      <c r="BK33" s="2">
        <f t="shared" si="27"/>
        <v>7.5836725870951473E-3</v>
      </c>
      <c r="BL33" s="1">
        <f t="shared" si="28"/>
        <v>5.8070544095513009E-2</v>
      </c>
      <c r="BM33" s="8">
        <f t="shared" si="29"/>
        <v>0.1418683030319306</v>
      </c>
      <c r="BN33" s="5">
        <f t="shared" si="30"/>
        <v>42261.999999999993</v>
      </c>
      <c r="BO33" t="s">
        <v>65</v>
      </c>
      <c r="BP33" s="6">
        <f t="shared" si="31"/>
        <v>0.50962627861462106</v>
      </c>
      <c r="BQ33" s="6">
        <f t="shared" si="32"/>
        <v>5.6642725116652769E-2</v>
      </c>
      <c r="BR33" s="6">
        <f t="shared" si="33"/>
        <v>0.43373099626872624</v>
      </c>
      <c r="BT33" t="s">
        <v>1</v>
      </c>
      <c r="BU33" t="s">
        <v>25</v>
      </c>
      <c r="BV33" t="s">
        <v>3</v>
      </c>
      <c r="BW33" t="s">
        <v>27</v>
      </c>
      <c r="BX33" t="s">
        <v>26</v>
      </c>
      <c r="BZ33" t="s">
        <v>28</v>
      </c>
      <c r="CB33" t="s">
        <v>55</v>
      </c>
      <c r="CC33" s="19">
        <v>1979</v>
      </c>
      <c r="CD33" s="12">
        <v>308732</v>
      </c>
      <c r="CE33" s="5">
        <v>31093</v>
      </c>
      <c r="CF33">
        <v>0</v>
      </c>
      <c r="CG33" s="5">
        <v>1381</v>
      </c>
      <c r="CH33" s="5">
        <v>3321</v>
      </c>
      <c r="CI33">
        <v>0</v>
      </c>
      <c r="CJ33" s="5">
        <v>17304</v>
      </c>
      <c r="CK33" s="14">
        <v>255634</v>
      </c>
      <c r="CL33" s="5">
        <f t="shared" si="42"/>
        <v>308733</v>
      </c>
      <c r="CM33" s="5"/>
      <c r="CN33" s="41">
        <v>0.17199999999999999</v>
      </c>
      <c r="CO33">
        <f t="shared" si="43"/>
        <v>1979</v>
      </c>
      <c r="CP33" s="6">
        <f t="shared" si="35"/>
        <v>3.6375110776915437E-2</v>
      </c>
      <c r="CQ33" s="6">
        <f t="shared" si="44"/>
        <v>0</v>
      </c>
      <c r="CT33">
        <v>1979</v>
      </c>
      <c r="CU33" s="5">
        <v>255634</v>
      </c>
      <c r="CV33" s="5">
        <v>510199</v>
      </c>
      <c r="CW33" s="6">
        <f>(CU33-Q33)/Q33</f>
        <v>0</v>
      </c>
      <c r="CX33" s="6">
        <f>(CV33-AD33)/AD33</f>
        <v>-8.9814862057264994E-2</v>
      </c>
    </row>
    <row r="34" spans="1:112" x14ac:dyDescent="0.55000000000000004">
      <c r="A34" t="str">
        <f t="shared" si="36"/>
        <v>Grant</v>
      </c>
      <c r="B34">
        <f t="shared" si="4"/>
        <v>1980</v>
      </c>
      <c r="C34" s="36">
        <f t="shared" si="5"/>
        <v>312182</v>
      </c>
      <c r="D34" s="31">
        <f t="shared" si="6"/>
        <v>655505</v>
      </c>
      <c r="E34" s="26">
        <f t="shared" si="7"/>
        <v>0.74181957986966518</v>
      </c>
      <c r="F34" s="26" t="str">
        <f t="shared" si="8"/>
        <v>Grant</v>
      </c>
      <c r="G34" s="5">
        <f t="shared" si="37"/>
        <v>314011</v>
      </c>
      <c r="H34" s="5">
        <f t="shared" si="9"/>
        <v>692616.5</v>
      </c>
      <c r="I34" s="26">
        <f t="shared" si="10"/>
        <v>0.79104843781738288</v>
      </c>
      <c r="J34" s="26">
        <f t="shared" si="0"/>
        <v>-0.14468235965727327</v>
      </c>
      <c r="K34">
        <v>1980</v>
      </c>
      <c r="L34" s="5">
        <v>312182</v>
      </c>
      <c r="M34" s="31">
        <v>655505</v>
      </c>
      <c r="O34" t="str">
        <f t="shared" si="38"/>
        <v>Grant</v>
      </c>
      <c r="P34">
        <f t="shared" si="39"/>
        <v>1980</v>
      </c>
      <c r="Q34" s="35">
        <f t="shared" si="40"/>
        <v>314011</v>
      </c>
      <c r="R34" s="39">
        <f t="shared" si="41"/>
        <v>909353</v>
      </c>
      <c r="S34" s="57">
        <f t="shared" si="11"/>
        <v>0.65468745360712499</v>
      </c>
      <c r="T34" s="5"/>
      <c r="U34" s="5">
        <f t="shared" si="34"/>
        <v>141030.29999999999</v>
      </c>
      <c r="V34" s="5">
        <f t="shared" si="12"/>
        <v>367681.8</v>
      </c>
      <c r="W34" s="5">
        <f t="shared" si="13"/>
        <v>183904.40000000002</v>
      </c>
      <c r="X34" s="5">
        <f t="shared" si="14"/>
        <v>0</v>
      </c>
      <c r="Y34" s="12">
        <f t="shared" si="15"/>
        <v>692616.5</v>
      </c>
      <c r="Z34" s="29"/>
      <c r="AA34" s="29"/>
      <c r="AB34" s="29"/>
      <c r="AC34" s="29"/>
      <c r="AD34" s="12">
        <f t="shared" si="16"/>
        <v>692616.5</v>
      </c>
      <c r="AE34" s="12">
        <f t="shared" si="17"/>
        <v>1980</v>
      </c>
      <c r="AF34" s="56">
        <f t="shared" si="18"/>
        <v>0.20361960767610934</v>
      </c>
      <c r="AG34" s="56">
        <f t="shared" si="19"/>
        <v>0.53085914066442252</v>
      </c>
      <c r="AH34" s="56">
        <f t="shared" si="20"/>
        <v>0.26552125165946816</v>
      </c>
      <c r="AI34" s="56"/>
      <c r="AJ34" s="68">
        <f t="shared" si="21"/>
        <v>1980</v>
      </c>
      <c r="AK34" s="60">
        <f t="shared" si="45"/>
        <v>902200.16125222784</v>
      </c>
      <c r="AL34" s="56">
        <f>CHOOSE(umethod,S34,retroU,MAX(0,cslope*(AK34-nlim)/AK34))</f>
        <v>0.65468745360712499</v>
      </c>
      <c r="AM34">
        <f t="shared" si="23"/>
        <v>311541.03503806924</v>
      </c>
      <c r="AN34" s="59">
        <f t="shared" si="2"/>
        <v>688214.21270288958</v>
      </c>
      <c r="AO34" s="59">
        <f t="shared" si="24"/>
        <v>590659.1262141586</v>
      </c>
      <c r="AP34" t="s">
        <v>52</v>
      </c>
      <c r="AQ34">
        <v>1980</v>
      </c>
      <c r="AR34" s="14">
        <v>312182</v>
      </c>
      <c r="AS34" s="5">
        <f>BE34</f>
        <v>594711</v>
      </c>
      <c r="AT34" s="6">
        <f>AS34/(AR34+AS34)</f>
        <v>0.65576754920370983</v>
      </c>
      <c r="AU34" s="12">
        <f t="shared" ref="AU34:AU47" si="46">AR34+AS34</f>
        <v>906893</v>
      </c>
      <c r="AV34" s="6">
        <f t="shared" ref="AV34:AV41" si="47">(AU34-CD34)/CD34</f>
        <v>-2.7052200850494804E-3</v>
      </c>
      <c r="AW34" t="s">
        <v>52</v>
      </c>
      <c r="AX34">
        <v>1980</v>
      </c>
      <c r="AY34" s="3">
        <v>243146</v>
      </c>
      <c r="AZ34" s="4" t="s">
        <v>0</v>
      </c>
      <c r="BA34" s="3">
        <v>13550</v>
      </c>
      <c r="BB34" s="3">
        <v>245019</v>
      </c>
      <c r="BC34" s="3">
        <v>3666</v>
      </c>
      <c r="BD34" s="3">
        <v>89330</v>
      </c>
      <c r="BE34" s="3">
        <v>594711</v>
      </c>
      <c r="BF34" s="38">
        <f>BE34/BH34</f>
        <v>0.65576754920370983</v>
      </c>
      <c r="BG34" s="16">
        <v>312182</v>
      </c>
      <c r="BH34" s="18">
        <v>906893</v>
      </c>
      <c r="BI34" s="7">
        <f t="shared" si="25"/>
        <v>0.65576754920370983</v>
      </c>
      <c r="BJ34" s="1">
        <f t="shared" si="26"/>
        <v>0.26810880666186637</v>
      </c>
      <c r="BK34" s="2">
        <f t="shared" si="27"/>
        <v>2.0414404886199108E-2</v>
      </c>
      <c r="BL34" s="1">
        <f t="shared" si="28"/>
        <v>0.13816816208348864</v>
      </c>
      <c r="BM34" s="8">
        <f t="shared" si="29"/>
        <v>0.65576754920370983</v>
      </c>
      <c r="BN34" s="5">
        <f t="shared" si="30"/>
        <v>594711.00000000012</v>
      </c>
      <c r="BO34" s="26">
        <v>0.51937603286006684</v>
      </c>
      <c r="BP34" s="6">
        <f t="shared" si="31"/>
        <v>0.62834363015123196</v>
      </c>
      <c r="BQ34" s="6">
        <f t="shared" si="32"/>
        <v>4.7843490981439071E-2</v>
      </c>
      <c r="BR34" s="6">
        <f t="shared" si="33"/>
        <v>0.32381287886732896</v>
      </c>
      <c r="BT34">
        <v>1980</v>
      </c>
      <c r="BU34" s="5">
        <v>1373377</v>
      </c>
      <c r="BV34" s="5">
        <v>1162099.8115125599</v>
      </c>
      <c r="BW34" s="1">
        <v>0.45833580738579</v>
      </c>
      <c r="BX34" s="5">
        <v>2535476.8115125601</v>
      </c>
      <c r="BZ34" s="6">
        <f t="shared" ref="BZ34:BZ44" si="48">BF34</f>
        <v>0.65576754920370983</v>
      </c>
      <c r="CB34" t="s">
        <v>55</v>
      </c>
      <c r="CC34" s="19">
        <v>1980</v>
      </c>
      <c r="CD34" s="12">
        <v>909353</v>
      </c>
      <c r="CE34" s="5">
        <v>242556</v>
      </c>
      <c r="CF34" s="5">
        <v>8546</v>
      </c>
      <c r="CG34" s="5">
        <v>12026</v>
      </c>
      <c r="CH34" s="5">
        <v>241835</v>
      </c>
      <c r="CI34">
        <v>0</v>
      </c>
      <c r="CJ34" s="5">
        <v>90380</v>
      </c>
      <c r="CK34" s="14">
        <v>314011</v>
      </c>
      <c r="CL34" s="5">
        <f t="shared" si="42"/>
        <v>909354</v>
      </c>
      <c r="CM34" s="5"/>
      <c r="CN34" s="41">
        <v>0.65500000000000003</v>
      </c>
      <c r="CO34">
        <f t="shared" si="43"/>
        <v>1980</v>
      </c>
      <c r="CP34" s="6">
        <f t="shared" si="35"/>
        <v>2.7125581518437124E-3</v>
      </c>
      <c r="CQ34" s="6">
        <f t="shared" si="44"/>
        <v>5.8587618760851043E-3</v>
      </c>
      <c r="CT34">
        <v>1980</v>
      </c>
      <c r="CU34" s="5">
        <v>312182</v>
      </c>
      <c r="CV34" s="5">
        <v>655505</v>
      </c>
      <c r="CW34" s="6">
        <f t="shared" ref="CW34:CW42" si="49">(CU34-Q34)/Q34</f>
        <v>-5.8246367165481466E-3</v>
      </c>
      <c r="CX34" s="6">
        <f t="shared" ref="CX34:CX42" si="50">(CV34-AD34)/AD34</f>
        <v>-5.3581599629809573E-2</v>
      </c>
    </row>
    <row r="35" spans="1:112" x14ac:dyDescent="0.55000000000000004">
      <c r="A35" t="str">
        <f t="shared" si="36"/>
        <v>Grant</v>
      </c>
      <c r="B35">
        <f t="shared" si="4"/>
        <v>1981</v>
      </c>
      <c r="C35" s="36">
        <f t="shared" si="5"/>
        <v>435345</v>
      </c>
      <c r="D35" s="31">
        <f t="shared" si="6"/>
        <v>1492293</v>
      </c>
      <c r="E35" s="26">
        <f t="shared" si="7"/>
        <v>1.2319303219839801</v>
      </c>
      <c r="F35" s="26" t="str">
        <f t="shared" si="8"/>
        <v>Grant</v>
      </c>
      <c r="G35" s="5">
        <f t="shared" si="37"/>
        <v>436996</v>
      </c>
      <c r="H35" s="5">
        <f t="shared" si="9"/>
        <v>1445354.0999999999</v>
      </c>
      <c r="I35" s="26">
        <f t="shared" si="10"/>
        <v>1.1961855806937127</v>
      </c>
      <c r="J35" s="26">
        <f t="shared" si="0"/>
        <v>0.3361710052481327</v>
      </c>
      <c r="K35">
        <v>1981</v>
      </c>
      <c r="L35" s="5">
        <v>435345</v>
      </c>
      <c r="M35" s="31">
        <v>1492293</v>
      </c>
      <c r="O35" t="str">
        <f t="shared" si="38"/>
        <v>Grant</v>
      </c>
      <c r="P35">
        <f t="shared" si="39"/>
        <v>1981</v>
      </c>
      <c r="Q35" s="35">
        <f t="shared" si="40"/>
        <v>436996</v>
      </c>
      <c r="R35" s="39">
        <f t="shared" si="41"/>
        <v>500271</v>
      </c>
      <c r="S35" s="57">
        <f t="shared" si="11"/>
        <v>0.12648144705569586</v>
      </c>
      <c r="T35" s="5"/>
      <c r="U35" s="5">
        <f>$R38*U$2</f>
        <v>183840.9</v>
      </c>
      <c r="V35" s="5">
        <f t="shared" si="12"/>
        <v>1103426.3999999999</v>
      </c>
      <c r="W35" s="5">
        <f t="shared" si="13"/>
        <v>158086.80000000002</v>
      </c>
      <c r="X35" s="5">
        <f t="shared" si="14"/>
        <v>0</v>
      </c>
      <c r="Y35" s="12">
        <f t="shared" si="15"/>
        <v>1445354.0999999999</v>
      </c>
      <c r="Z35" s="29"/>
      <c r="AA35" s="29"/>
      <c r="AB35" s="29"/>
      <c r="AC35" s="29"/>
      <c r="AD35" s="12">
        <f t="shared" si="16"/>
        <v>1445354.0999999999</v>
      </c>
      <c r="AE35" s="12">
        <f t="shared" si="17"/>
        <v>1981</v>
      </c>
      <c r="AF35" s="56">
        <f t="shared" si="18"/>
        <v>0.12719436711045412</v>
      </c>
      <c r="AG35" s="56">
        <f t="shared" si="19"/>
        <v>0.76342980588632225</v>
      </c>
      <c r="AH35" s="56">
        <f t="shared" si="20"/>
        <v>0.10937582700322367</v>
      </c>
      <c r="AI35" s="56"/>
      <c r="AJ35" s="68">
        <f t="shared" si="21"/>
        <v>1981</v>
      </c>
      <c r="AK35" s="60">
        <f t="shared" si="45"/>
        <v>496309.57123742858</v>
      </c>
      <c r="AL35" s="56">
        <f>CHOOSE(umethod,S35,retroU,MAX(0,cslope*(AK35-nlim)/AK35))</f>
        <v>0.12648144705569586</v>
      </c>
      <c r="AM35">
        <f t="shared" si="23"/>
        <v>433535.61847972666</v>
      </c>
      <c r="AN35" s="59">
        <f t="shared" si="2"/>
        <v>1436967.0219350392</v>
      </c>
      <c r="AO35" s="59">
        <f t="shared" si="24"/>
        <v>62773.952757701918</v>
      </c>
      <c r="AP35" t="s">
        <v>52</v>
      </c>
      <c r="AQ35">
        <v>1981</v>
      </c>
      <c r="AR35" s="14">
        <v>435345</v>
      </c>
      <c r="AS35" s="5">
        <f t="shared" ref="AS35:AS42" si="51">BE35</f>
        <v>56270</v>
      </c>
      <c r="AT35" s="6">
        <f t="shared" ref="AT35:AT42" si="52">AS35/(AR35+AS35)</f>
        <v>0.11445948557306022</v>
      </c>
      <c r="AU35" s="12">
        <f t="shared" si="46"/>
        <v>491615</v>
      </c>
      <c r="AV35" s="6">
        <f t="shared" si="47"/>
        <v>-1.7302621978887444E-2</v>
      </c>
      <c r="AW35" t="s">
        <v>52</v>
      </c>
      <c r="AX35">
        <v>1981</v>
      </c>
      <c r="AY35" s="3">
        <v>26519</v>
      </c>
      <c r="AZ35" s="4" t="s">
        <v>0</v>
      </c>
      <c r="BA35" s="3">
        <v>3205</v>
      </c>
      <c r="BB35" s="3">
        <v>5814</v>
      </c>
      <c r="BC35" s="4">
        <v>771</v>
      </c>
      <c r="BD35" s="3">
        <v>19961</v>
      </c>
      <c r="BE35" s="3">
        <v>56270</v>
      </c>
      <c r="BF35" s="38">
        <f t="shared" ref="BF35:BF44" si="53">BE35/BH35</f>
        <v>0.11445948557306022</v>
      </c>
      <c r="BG35" s="16">
        <v>435345</v>
      </c>
      <c r="BH35" s="18">
        <v>491615</v>
      </c>
      <c r="BI35" s="7">
        <f t="shared" si="25"/>
        <v>0.11445948557306022</v>
      </c>
      <c r="BJ35" s="1">
        <f t="shared" si="26"/>
        <v>5.394261769880903E-2</v>
      </c>
      <c r="BK35" s="2">
        <f t="shared" si="27"/>
        <v>6.8910504497996109E-3</v>
      </c>
      <c r="BL35" s="1">
        <f t="shared" si="28"/>
        <v>4.3288081193615546E-2</v>
      </c>
      <c r="BM35" s="8">
        <f t="shared" si="29"/>
        <v>0.11445948557306022</v>
      </c>
      <c r="BN35" s="5">
        <f t="shared" si="30"/>
        <v>56270</v>
      </c>
      <c r="BO35" s="26">
        <v>0.14141359916611126</v>
      </c>
      <c r="BP35" s="6">
        <f t="shared" si="31"/>
        <v>0.51807252605324638</v>
      </c>
      <c r="BQ35" s="6">
        <f t="shared" si="32"/>
        <v>6.6182622682897083E-2</v>
      </c>
      <c r="BR35" s="6">
        <f t="shared" si="33"/>
        <v>0.41574485126385657</v>
      </c>
      <c r="BT35">
        <v>1981</v>
      </c>
      <c r="BU35" s="5">
        <v>1302540</v>
      </c>
      <c r="BV35" s="5">
        <v>185726.44640561001</v>
      </c>
      <c r="BW35" s="1">
        <v>0.124793814208583</v>
      </c>
      <c r="BX35" s="5">
        <v>1488266.4464056101</v>
      </c>
      <c r="BZ35" s="6">
        <f t="shared" si="48"/>
        <v>0.11445948557306022</v>
      </c>
      <c r="CB35" t="s">
        <v>55</v>
      </c>
      <c r="CC35" s="19">
        <v>1981</v>
      </c>
      <c r="CD35" s="12">
        <v>500271</v>
      </c>
      <c r="CE35" s="5">
        <v>30394</v>
      </c>
      <c r="CF35" s="5">
        <v>3370</v>
      </c>
      <c r="CG35" s="5">
        <v>2288</v>
      </c>
      <c r="CH35" s="5">
        <v>5814</v>
      </c>
      <c r="CI35">
        <v>0</v>
      </c>
      <c r="CJ35" s="5">
        <v>21408</v>
      </c>
      <c r="CK35" s="14">
        <v>436996</v>
      </c>
      <c r="CL35" s="5">
        <f t="shared" si="42"/>
        <v>500270</v>
      </c>
      <c r="CM35" s="5"/>
      <c r="CN35" s="41">
        <v>0.126</v>
      </c>
      <c r="CO35">
        <f t="shared" si="43"/>
        <v>1981</v>
      </c>
      <c r="CP35" s="6">
        <f t="shared" si="35"/>
        <v>1.760727398472382E-2</v>
      </c>
      <c r="CQ35" s="6">
        <f t="shared" si="44"/>
        <v>3.7923945376655294E-3</v>
      </c>
      <c r="CT35">
        <v>1981</v>
      </c>
      <c r="CU35" s="5">
        <v>435345</v>
      </c>
      <c r="CV35" s="5">
        <v>1492293</v>
      </c>
      <c r="CW35" s="6">
        <f t="shared" si="49"/>
        <v>-3.77806661845875E-3</v>
      </c>
      <c r="CX35" s="6">
        <f t="shared" si="50"/>
        <v>3.2475709585630362E-2</v>
      </c>
    </row>
    <row r="36" spans="1:112" x14ac:dyDescent="0.55000000000000004">
      <c r="A36" t="str">
        <f t="shared" si="36"/>
        <v>Grant</v>
      </c>
      <c r="B36">
        <f t="shared" si="4"/>
        <v>1982</v>
      </c>
      <c r="C36" s="36">
        <f t="shared" si="5"/>
        <v>322286</v>
      </c>
      <c r="D36" s="31">
        <f t="shared" si="6"/>
        <v>1416221</v>
      </c>
      <c r="E36" s="26">
        <f t="shared" si="7"/>
        <v>1.4803079854347336</v>
      </c>
      <c r="F36" s="26" t="str">
        <f t="shared" si="8"/>
        <v>Grant</v>
      </c>
      <c r="G36" s="5">
        <f t="shared" si="37"/>
        <v>326439</v>
      </c>
      <c r="H36" s="5">
        <f t="shared" si="9"/>
        <v>1548341.6</v>
      </c>
      <c r="I36" s="26">
        <f t="shared" si="10"/>
        <v>1.5566966003935794</v>
      </c>
      <c r="J36" s="26">
        <f t="shared" si="0"/>
        <v>0.62861715233045601</v>
      </c>
      <c r="K36">
        <v>1982</v>
      </c>
      <c r="L36" s="5">
        <v>322286</v>
      </c>
      <c r="M36" s="31">
        <v>1416221</v>
      </c>
      <c r="O36" t="str">
        <f t="shared" si="38"/>
        <v>Grant</v>
      </c>
      <c r="P36">
        <f t="shared" si="39"/>
        <v>1982</v>
      </c>
      <c r="Q36" s="35">
        <f t="shared" si="40"/>
        <v>326439</v>
      </c>
      <c r="R36" s="39">
        <f t="shared" si="41"/>
        <v>724011</v>
      </c>
      <c r="S36" s="57">
        <f t="shared" si="11"/>
        <v>0.54912425363703044</v>
      </c>
      <c r="T36" s="5"/>
      <c r="U36" s="5">
        <f t="shared" si="34"/>
        <v>551713.19999999995</v>
      </c>
      <c r="V36" s="5">
        <f t="shared" si="12"/>
        <v>948520.79999999993</v>
      </c>
      <c r="W36" s="5">
        <f t="shared" si="13"/>
        <v>48107.600000000006</v>
      </c>
      <c r="X36" s="5">
        <f t="shared" si="14"/>
        <v>0</v>
      </c>
      <c r="Y36" s="12">
        <f t="shared" si="15"/>
        <v>1548341.6</v>
      </c>
      <c r="Z36" s="29"/>
      <c r="AA36" s="29"/>
      <c r="AB36" s="29"/>
      <c r="AC36" s="29"/>
      <c r="AD36" s="12">
        <f t="shared" si="16"/>
        <v>1548341.6</v>
      </c>
      <c r="AE36" s="12">
        <f t="shared" si="17"/>
        <v>1982</v>
      </c>
      <c r="AF36" s="56">
        <f t="shared" si="18"/>
        <v>0.35632524502344953</v>
      </c>
      <c r="AG36" s="56">
        <f t="shared" si="19"/>
        <v>0.6126043503578279</v>
      </c>
      <c r="AH36" s="56">
        <f t="shared" si="20"/>
        <v>3.1070404618722382E-2</v>
      </c>
      <c r="AI36" s="56"/>
      <c r="AJ36" s="68">
        <f t="shared" si="21"/>
        <v>1982</v>
      </c>
      <c r="AK36" s="60">
        <f t="shared" si="45"/>
        <v>717475.26979736437</v>
      </c>
      <c r="AL36" s="56">
        <f>CHOOSE(umethod,S36,retroU,MAX(0,cslope*(AK36-nlim)/AK36))</f>
        <v>0.54912425363703044</v>
      </c>
      <c r="AM36">
        <f t="shared" si="23"/>
        <v>323492.19776685961</v>
      </c>
      <c r="AN36" s="59">
        <f t="shared" si="2"/>
        <v>1537150.7306161192</v>
      </c>
      <c r="AO36" s="59">
        <f t="shared" si="24"/>
        <v>393983.07203050476</v>
      </c>
      <c r="AP36" t="s">
        <v>52</v>
      </c>
      <c r="AQ36">
        <v>1982</v>
      </c>
      <c r="AR36" s="14">
        <v>322286</v>
      </c>
      <c r="AS36" s="5">
        <f t="shared" si="51"/>
        <v>383164</v>
      </c>
      <c r="AT36" s="6">
        <f t="shared" si="52"/>
        <v>0.54314834502799636</v>
      </c>
      <c r="AU36" s="12">
        <f t="shared" si="46"/>
        <v>705450</v>
      </c>
      <c r="AV36" s="6">
        <f t="shared" si="47"/>
        <v>-2.5636350828923869E-2</v>
      </c>
      <c r="AW36" t="s">
        <v>52</v>
      </c>
      <c r="AX36">
        <v>1982</v>
      </c>
      <c r="AY36" s="3">
        <v>235914</v>
      </c>
      <c r="AZ36" s="4" t="s">
        <v>0</v>
      </c>
      <c r="BA36" s="3">
        <v>8527</v>
      </c>
      <c r="BB36" s="3">
        <v>54570</v>
      </c>
      <c r="BC36" s="3">
        <v>1649</v>
      </c>
      <c r="BD36" s="3">
        <v>82505</v>
      </c>
      <c r="BE36" s="3">
        <v>383164</v>
      </c>
      <c r="BF36" s="38">
        <f t="shared" si="53"/>
        <v>0.54314834502799636</v>
      </c>
      <c r="BG36" s="16">
        <v>322286</v>
      </c>
      <c r="BH36" s="18">
        <v>705450</v>
      </c>
      <c r="BI36" s="7">
        <f t="shared" si="25"/>
        <v>0.54314834502799636</v>
      </c>
      <c r="BJ36" s="1">
        <f t="shared" si="26"/>
        <v>0.33441633000212628</v>
      </c>
      <c r="BK36" s="2">
        <f t="shared" si="27"/>
        <v>1.8160481837388401E-2</v>
      </c>
      <c r="BL36" s="1">
        <f t="shared" si="28"/>
        <v>0.17960858585858586</v>
      </c>
      <c r="BM36" s="8">
        <f t="shared" si="29"/>
        <v>0.54314834502799636</v>
      </c>
      <c r="BN36" s="5">
        <f t="shared" si="30"/>
        <v>383164.00000000012</v>
      </c>
      <c r="BO36" s="26">
        <v>0.57254888715913643</v>
      </c>
      <c r="BP36" s="6">
        <f t="shared" si="31"/>
        <v>0.62838313762196607</v>
      </c>
      <c r="BQ36" s="6">
        <f t="shared" si="32"/>
        <v>3.4124351994510235E-2</v>
      </c>
      <c r="BR36" s="6">
        <f t="shared" si="33"/>
        <v>0.33749251038352363</v>
      </c>
      <c r="BT36">
        <v>1982</v>
      </c>
      <c r="BU36" s="5">
        <v>1453419</v>
      </c>
      <c r="BV36" s="5">
        <v>1484320.8797828001</v>
      </c>
      <c r="BW36" s="1">
        <v>0.50525946493688301</v>
      </c>
      <c r="BX36" s="5">
        <v>2937739.8797828001</v>
      </c>
      <c r="BZ36" s="6">
        <f t="shared" si="48"/>
        <v>0.54314834502799636</v>
      </c>
      <c r="CB36" t="s">
        <v>55</v>
      </c>
      <c r="CC36" s="19">
        <v>1982</v>
      </c>
      <c r="CD36" s="12">
        <v>724011</v>
      </c>
      <c r="CE36" s="5">
        <v>240409</v>
      </c>
      <c r="CF36" s="5">
        <v>12660</v>
      </c>
      <c r="CG36" s="5">
        <v>7095</v>
      </c>
      <c r="CH36" s="5">
        <v>54508</v>
      </c>
      <c r="CI36">
        <v>0</v>
      </c>
      <c r="CJ36" s="5">
        <v>82899</v>
      </c>
      <c r="CK36" s="14">
        <v>326439</v>
      </c>
      <c r="CL36" s="5">
        <f t="shared" si="42"/>
        <v>724010</v>
      </c>
      <c r="CM36" s="5"/>
      <c r="CN36" s="41">
        <v>0.54900000000000004</v>
      </c>
      <c r="CO36">
        <f t="shared" si="43"/>
        <v>1982</v>
      </c>
      <c r="CP36" s="6">
        <f t="shared" si="35"/>
        <v>2.6310865405060599E-2</v>
      </c>
      <c r="CQ36" s="6">
        <f t="shared" si="44"/>
        <v>1.2886070136462644E-2</v>
      </c>
      <c r="CT36">
        <v>1982</v>
      </c>
      <c r="CU36" s="5">
        <v>322286</v>
      </c>
      <c r="CV36" s="5">
        <v>1416221</v>
      </c>
      <c r="CW36" s="6">
        <f t="shared" si="49"/>
        <v>-1.2722131853118041E-2</v>
      </c>
      <c r="CX36" s="6">
        <f t="shared" si="50"/>
        <v>-8.5330394791433672E-2</v>
      </c>
    </row>
    <row r="37" spans="1:112" x14ac:dyDescent="0.55000000000000004">
      <c r="A37" t="str">
        <f t="shared" si="36"/>
        <v>Grant</v>
      </c>
      <c r="B37">
        <f t="shared" si="4"/>
        <v>1983</v>
      </c>
      <c r="C37" s="36">
        <f t="shared" si="5"/>
        <v>367363</v>
      </c>
      <c r="D37" s="31">
        <f t="shared" si="6"/>
        <v>795564</v>
      </c>
      <c r="E37" s="26">
        <f t="shared" si="7"/>
        <v>0.77270083705316917</v>
      </c>
      <c r="F37" s="26" t="str">
        <f t="shared" si="8"/>
        <v>Grant</v>
      </c>
      <c r="G37" s="5">
        <f t="shared" si="37"/>
        <v>371770</v>
      </c>
      <c r="H37" s="5">
        <f t="shared" si="9"/>
        <v>866417.1</v>
      </c>
      <c r="I37" s="26">
        <f t="shared" si="10"/>
        <v>0.84609104884449615</v>
      </c>
      <c r="J37" s="26">
        <f t="shared" ref="J37:J68" si="54">I37-(aa-bb*G37)</f>
        <v>-5.4080182275097144E-2</v>
      </c>
      <c r="K37">
        <v>1983</v>
      </c>
      <c r="L37" s="5">
        <v>367363</v>
      </c>
      <c r="M37" s="31">
        <v>795564</v>
      </c>
      <c r="O37" t="str">
        <f t="shared" si="38"/>
        <v>Grant</v>
      </c>
      <c r="P37">
        <f t="shared" si="39"/>
        <v>1983</v>
      </c>
      <c r="Q37" s="35">
        <f t="shared" si="40"/>
        <v>371770</v>
      </c>
      <c r="R37" s="39">
        <f t="shared" si="41"/>
        <v>470101</v>
      </c>
      <c r="S37" s="57">
        <f t="shared" si="11"/>
        <v>0.2091699443311118</v>
      </c>
      <c r="T37" s="5"/>
      <c r="U37" s="5">
        <f t="shared" si="34"/>
        <v>474260.39999999997</v>
      </c>
      <c r="V37" s="5">
        <f t="shared" si="12"/>
        <v>288645.59999999998</v>
      </c>
      <c r="W37" s="5">
        <f t="shared" si="13"/>
        <v>103511.1</v>
      </c>
      <c r="X37" s="5">
        <f t="shared" si="14"/>
        <v>0</v>
      </c>
      <c r="Y37" s="12">
        <f t="shared" si="15"/>
        <v>866417.1</v>
      </c>
      <c r="Z37" s="29"/>
      <c r="AA37" s="29"/>
      <c r="AB37" s="29"/>
      <c r="AC37" s="29"/>
      <c r="AD37" s="12">
        <f t="shared" si="16"/>
        <v>866417.1</v>
      </c>
      <c r="AE37" s="12">
        <f t="shared" si="17"/>
        <v>1983</v>
      </c>
      <c r="AF37" s="56">
        <f t="shared" si="18"/>
        <v>0.54738116318341357</v>
      </c>
      <c r="AG37" s="56">
        <f t="shared" si="19"/>
        <v>0.33314854935342342</v>
      </c>
      <c r="AH37" s="56">
        <f t="shared" si="20"/>
        <v>0.11947028746316296</v>
      </c>
      <c r="AI37" s="56"/>
      <c r="AJ37" s="68">
        <f t="shared" si="21"/>
        <v>1983</v>
      </c>
      <c r="AK37" s="60">
        <f t="shared" si="45"/>
        <v>466288.34473084798</v>
      </c>
      <c r="AL37" s="56">
        <f>CHOOSE(umethod,S37,retroU,MAX(0,cslope*(AK37-nlim)/AK37))</f>
        <v>0.2091699443311118</v>
      </c>
      <c r="AM37">
        <f t="shared" si="23"/>
        <v>368754.83762125025</v>
      </c>
      <c r="AN37" s="59">
        <f t="shared" ref="AN37:AN68" si="55">AM37*EXP(aa-bb*AM37+J37)</f>
        <v>860986.97153314902</v>
      </c>
      <c r="AO37" s="59">
        <f t="shared" si="24"/>
        <v>97533.507109597733</v>
      </c>
      <c r="AP37" t="s">
        <v>52</v>
      </c>
      <c r="AQ37">
        <v>1983</v>
      </c>
      <c r="AR37" s="14">
        <v>367363</v>
      </c>
      <c r="AS37" s="5">
        <f t="shared" si="51"/>
        <v>88034</v>
      </c>
      <c r="AT37" s="6">
        <f t="shared" si="52"/>
        <v>0.19331264808507742</v>
      </c>
      <c r="AU37" s="12">
        <f t="shared" si="46"/>
        <v>455397</v>
      </c>
      <c r="AV37" s="6">
        <f t="shared" si="47"/>
        <v>-3.1278384857722066E-2</v>
      </c>
      <c r="AW37" t="s">
        <v>52</v>
      </c>
      <c r="AX37">
        <v>1983</v>
      </c>
      <c r="AY37" s="3">
        <v>56191</v>
      </c>
      <c r="AZ37" s="4" t="s">
        <v>0</v>
      </c>
      <c r="BA37" s="4">
        <v>81</v>
      </c>
      <c r="BB37" s="3">
        <v>1671</v>
      </c>
      <c r="BC37" s="3">
        <v>4899</v>
      </c>
      <c r="BD37" s="3">
        <v>25194</v>
      </c>
      <c r="BE37" s="3">
        <v>88034</v>
      </c>
      <c r="BF37" s="38">
        <f t="shared" si="53"/>
        <v>0.19331264808507742</v>
      </c>
      <c r="BG37" s="16">
        <v>367363</v>
      </c>
      <c r="BH37" s="18">
        <v>455397</v>
      </c>
      <c r="BI37" s="7">
        <f t="shared" si="25"/>
        <v>0.19331264808507742</v>
      </c>
      <c r="BJ37" s="1">
        <f t="shared" si="26"/>
        <v>0.1233890429669058</v>
      </c>
      <c r="BK37" s="2">
        <f t="shared" si="27"/>
        <v>2.0290276198253534E-4</v>
      </c>
      <c r="BL37" s="1">
        <f t="shared" si="28"/>
        <v>6.3907504832253575E-2</v>
      </c>
      <c r="BM37" s="8">
        <f t="shared" si="29"/>
        <v>0.19331264808507742</v>
      </c>
      <c r="BN37" s="5">
        <f t="shared" si="30"/>
        <v>88034</v>
      </c>
      <c r="BO37" s="26">
        <v>0.2308663419449562</v>
      </c>
      <c r="BP37" s="6">
        <f t="shared" si="31"/>
        <v>0.65807682421271796</v>
      </c>
      <c r="BQ37" s="6">
        <f t="shared" si="32"/>
        <v>1.0821512349785288E-3</v>
      </c>
      <c r="BR37" s="6">
        <f t="shared" si="33"/>
        <v>0.34084102455230342</v>
      </c>
      <c r="BT37">
        <v>1983</v>
      </c>
      <c r="BU37" s="5">
        <v>1196968</v>
      </c>
      <c r="BV37" s="5">
        <v>306257.41664499301</v>
      </c>
      <c r="BW37" s="1">
        <v>0.20373352742299999</v>
      </c>
      <c r="BX37" s="5">
        <v>1503225.41664499</v>
      </c>
      <c r="BZ37" s="6">
        <f t="shared" si="48"/>
        <v>0.19331264808507742</v>
      </c>
      <c r="CB37" t="s">
        <v>55</v>
      </c>
      <c r="CC37" s="19">
        <v>1983</v>
      </c>
      <c r="CD37" s="12">
        <v>470101</v>
      </c>
      <c r="CE37" s="5">
        <v>60431</v>
      </c>
      <c r="CF37" s="5">
        <v>14683</v>
      </c>
      <c r="CG37">
        <v>20</v>
      </c>
      <c r="CH37" s="5">
        <v>1602</v>
      </c>
      <c r="CI37">
        <v>0</v>
      </c>
      <c r="CJ37" s="5">
        <v>21595</v>
      </c>
      <c r="CK37" s="14">
        <v>371770</v>
      </c>
      <c r="CL37" s="5">
        <f t="shared" si="42"/>
        <v>470101</v>
      </c>
      <c r="CM37" s="5"/>
      <c r="CN37" s="41">
        <v>0.20899999999999999</v>
      </c>
      <c r="CO37">
        <f t="shared" si="43"/>
        <v>1983</v>
      </c>
      <c r="CP37" s="6">
        <f t="shared" si="35"/>
        <v>3.2288311078026426E-2</v>
      </c>
      <c r="CQ37" s="6">
        <f t="shared" si="44"/>
        <v>1.1996308828052906E-2</v>
      </c>
      <c r="CT37">
        <v>1983</v>
      </c>
      <c r="CU37" s="5">
        <v>367363</v>
      </c>
      <c r="CV37" s="5">
        <v>795564</v>
      </c>
      <c r="CW37" s="6">
        <f t="shared" si="49"/>
        <v>-1.1854103343465046E-2</v>
      </c>
      <c r="CX37" s="6">
        <f t="shared" si="50"/>
        <v>-8.1777125589972743E-2</v>
      </c>
    </row>
    <row r="38" spans="1:112" x14ac:dyDescent="0.55000000000000004">
      <c r="A38" t="str">
        <f t="shared" si="36"/>
        <v>Grant</v>
      </c>
      <c r="B38">
        <f t="shared" si="4"/>
        <v>1984</v>
      </c>
      <c r="C38" s="36">
        <f t="shared" si="5"/>
        <v>540265</v>
      </c>
      <c r="D38" s="31">
        <f t="shared" si="6"/>
        <v>1061099</v>
      </c>
      <c r="E38" s="26">
        <f t="shared" si="7"/>
        <v>0.67500068253565193</v>
      </c>
      <c r="F38" s="26" t="str">
        <f t="shared" si="8"/>
        <v>Grant</v>
      </c>
      <c r="G38" s="5">
        <f t="shared" si="37"/>
        <v>541478</v>
      </c>
      <c r="H38" s="5">
        <f t="shared" si="9"/>
        <v>874855.49999999988</v>
      </c>
      <c r="I38" s="26">
        <f t="shared" si="10"/>
        <v>0.47975629213268117</v>
      </c>
      <c r="J38" s="26">
        <f t="shared" si="54"/>
        <v>-0.31593350947835047</v>
      </c>
      <c r="K38">
        <v>1984</v>
      </c>
      <c r="L38" s="5">
        <v>540265</v>
      </c>
      <c r="M38" s="31">
        <v>1061099</v>
      </c>
      <c r="O38" t="str">
        <f t="shared" si="38"/>
        <v>Grant</v>
      </c>
      <c r="P38">
        <f t="shared" si="39"/>
        <v>1984</v>
      </c>
      <c r="Q38" s="35">
        <f t="shared" si="40"/>
        <v>541478</v>
      </c>
      <c r="R38" s="39">
        <f t="shared" si="41"/>
        <v>612803</v>
      </c>
      <c r="S38" s="57">
        <f t="shared" si="11"/>
        <v>0.11639140147812588</v>
      </c>
      <c r="T38" s="5"/>
      <c r="U38" s="5">
        <f t="shared" si="34"/>
        <v>144322.79999999999</v>
      </c>
      <c r="V38" s="5">
        <f t="shared" si="12"/>
        <v>621066.6</v>
      </c>
      <c r="W38" s="5">
        <f t="shared" si="13"/>
        <v>109466.1</v>
      </c>
      <c r="X38" s="5">
        <f t="shared" si="14"/>
        <v>0</v>
      </c>
      <c r="Y38" s="12">
        <f t="shared" si="15"/>
        <v>874855.49999999988</v>
      </c>
      <c r="Z38" s="29"/>
      <c r="AA38" s="29"/>
      <c r="AB38" s="29"/>
      <c r="AC38" s="29"/>
      <c r="AD38" s="12">
        <f t="shared" si="16"/>
        <v>874855.49999999988</v>
      </c>
      <c r="AE38" s="12">
        <f t="shared" si="17"/>
        <v>1984</v>
      </c>
      <c r="AF38" s="56">
        <f t="shared" si="18"/>
        <v>0.16496758607564335</v>
      </c>
      <c r="AG38" s="56">
        <f t="shared" si="19"/>
        <v>0.70990763617534558</v>
      </c>
      <c r="AH38" s="56">
        <f t="shared" si="20"/>
        <v>0.12512477774901115</v>
      </c>
      <c r="AI38" s="56"/>
      <c r="AJ38" s="68">
        <f t="shared" si="21"/>
        <v>1984</v>
      </c>
      <c r="AK38" s="60">
        <f t="shared" si="45"/>
        <v>608862.3007138829</v>
      </c>
      <c r="AL38" s="56">
        <f>CHOOSE(umethod,S38,retroU,MAX(0,cslope*(AK38-nlim)/AK38))</f>
        <v>0.11639140147812588</v>
      </c>
      <c r="AM38">
        <f t="shared" si="23"/>
        <v>537995.96422659792</v>
      </c>
      <c r="AN38" s="59">
        <f t="shared" si="55"/>
        <v>871095.03446200781</v>
      </c>
      <c r="AO38" s="59">
        <f t="shared" si="24"/>
        <v>70866.336487284978</v>
      </c>
      <c r="AP38" t="s">
        <v>52</v>
      </c>
      <c r="AQ38">
        <v>1984</v>
      </c>
      <c r="AR38" s="14">
        <v>540265</v>
      </c>
      <c r="AS38" s="5">
        <f t="shared" si="51"/>
        <v>65644</v>
      </c>
      <c r="AT38" s="6">
        <f t="shared" si="52"/>
        <v>0.10833970117624923</v>
      </c>
      <c r="AU38" s="12">
        <f t="shared" si="46"/>
        <v>605909</v>
      </c>
      <c r="AV38" s="6">
        <f t="shared" si="47"/>
        <v>-1.1249944925204348E-2</v>
      </c>
      <c r="AW38" t="s">
        <v>52</v>
      </c>
      <c r="AX38">
        <v>1984</v>
      </c>
      <c r="AY38" s="3">
        <v>19746</v>
      </c>
      <c r="AZ38" s="4" t="s">
        <v>0</v>
      </c>
      <c r="BA38" s="3">
        <v>6131</v>
      </c>
      <c r="BB38" s="3">
        <v>1192</v>
      </c>
      <c r="BC38" s="3">
        <v>4846</v>
      </c>
      <c r="BD38" s="3">
        <v>337299</v>
      </c>
      <c r="BE38" s="3">
        <v>65644</v>
      </c>
      <c r="BF38" s="38">
        <f t="shared" si="53"/>
        <v>0.10833970117624923</v>
      </c>
      <c r="BG38" s="16">
        <v>540265</v>
      </c>
      <c r="BH38" s="18">
        <v>605909</v>
      </c>
      <c r="BI38" s="7">
        <f t="shared" si="25"/>
        <v>0.10833970117624923</v>
      </c>
      <c r="BJ38" s="1">
        <f t="shared" si="26"/>
        <v>3.2589052151395674E-2</v>
      </c>
      <c r="BK38" s="2">
        <f t="shared" si="27"/>
        <v>1.0459547941442909E-2</v>
      </c>
      <c r="BL38" s="1">
        <f t="shared" si="28"/>
        <v>0.58641726328526778</v>
      </c>
      <c r="BM38" s="8">
        <f t="shared" si="29"/>
        <v>0.10833970117624923</v>
      </c>
      <c r="BN38" s="5">
        <f t="shared" si="30"/>
        <v>65644</v>
      </c>
      <c r="BO38" s="26">
        <v>0.17431250101218676</v>
      </c>
      <c r="BP38" s="6">
        <f t="shared" si="31"/>
        <v>5.1772548834503107E-2</v>
      </c>
      <c r="BQ38" s="6">
        <f t="shared" si="32"/>
        <v>1.6616545153553604E-2</v>
      </c>
      <c r="BR38" s="6">
        <f t="shared" si="33"/>
        <v>0.93161090601194319</v>
      </c>
      <c r="BT38">
        <v>1984</v>
      </c>
      <c r="BU38" s="5">
        <v>1627518</v>
      </c>
      <c r="BV38" s="5">
        <v>295867.09154975798</v>
      </c>
      <c r="BW38" s="1">
        <v>0.153826237319623</v>
      </c>
      <c r="BX38" s="5">
        <v>1923385.09154976</v>
      </c>
      <c r="BZ38" s="6">
        <f t="shared" si="48"/>
        <v>0.10833970117624923</v>
      </c>
      <c r="CB38" t="s">
        <v>55</v>
      </c>
      <c r="CC38" s="19">
        <v>1984</v>
      </c>
      <c r="CD38" s="12">
        <v>612803</v>
      </c>
      <c r="CE38" s="5">
        <v>30552</v>
      </c>
      <c r="CF38" s="5">
        <v>17335</v>
      </c>
      <c r="CG38">
        <v>1</v>
      </c>
      <c r="CH38" s="5">
        <v>1192</v>
      </c>
      <c r="CI38">
        <v>0</v>
      </c>
      <c r="CJ38" s="5">
        <v>22246</v>
      </c>
      <c r="CK38" s="14">
        <v>541478</v>
      </c>
      <c r="CL38" s="5">
        <f t="shared" si="42"/>
        <v>612804</v>
      </c>
      <c r="CM38" s="5"/>
      <c r="CN38" s="41">
        <v>0.11600000000000001</v>
      </c>
      <c r="CO38">
        <f t="shared" si="43"/>
        <v>1984</v>
      </c>
      <c r="CP38" s="6">
        <f t="shared" si="35"/>
        <v>1.137794619324024E-2</v>
      </c>
      <c r="CQ38" s="6">
        <f t="shared" si="44"/>
        <v>2.245194487890202E-3</v>
      </c>
      <c r="CT38">
        <v>1984</v>
      </c>
      <c r="CU38" s="5">
        <v>540265</v>
      </c>
      <c r="CV38" s="5">
        <v>1061099</v>
      </c>
      <c r="CW38" s="6">
        <f t="shared" si="49"/>
        <v>-2.2401648820450691E-3</v>
      </c>
      <c r="CX38" s="6">
        <f t="shared" si="50"/>
        <v>0.21288487070150458</v>
      </c>
    </row>
    <row r="39" spans="1:112" x14ac:dyDescent="0.55000000000000004">
      <c r="A39" t="str">
        <f t="shared" si="36"/>
        <v>Grant</v>
      </c>
      <c r="B39">
        <f t="shared" si="4"/>
        <v>1985</v>
      </c>
      <c r="C39" s="36">
        <f t="shared" si="5"/>
        <v>1147702</v>
      </c>
      <c r="D39" s="31">
        <f t="shared" si="6"/>
        <v>1010518</v>
      </c>
      <c r="E39" s="26">
        <f t="shared" si="7"/>
        <v>-0.12729861165186437</v>
      </c>
      <c r="F39" s="26" t="str">
        <f t="shared" si="8"/>
        <v>Grant</v>
      </c>
      <c r="G39" s="5">
        <f t="shared" si="37"/>
        <v>1383808</v>
      </c>
      <c r="H39" s="5">
        <f t="shared" si="9"/>
        <v>1126818.3999999999</v>
      </c>
      <c r="I39" s="26">
        <f t="shared" si="10"/>
        <v>-0.20544103293288771</v>
      </c>
      <c r="J39" s="26">
        <f t="shared" si="54"/>
        <v>-0.48254689909039461</v>
      </c>
      <c r="K39">
        <v>1985</v>
      </c>
      <c r="L39" s="5">
        <v>1147702</v>
      </c>
      <c r="M39" s="31">
        <v>1010518</v>
      </c>
      <c r="O39" t="str">
        <f t="shared" si="38"/>
        <v>Grant</v>
      </c>
      <c r="P39">
        <f t="shared" si="39"/>
        <v>1985</v>
      </c>
      <c r="Q39" s="35">
        <f t="shared" si="40"/>
        <v>1383808</v>
      </c>
      <c r="R39" s="39">
        <f t="shared" si="41"/>
        <v>1839044</v>
      </c>
      <c r="S39" s="57">
        <f t="shared" si="11"/>
        <v>0.24753948247023994</v>
      </c>
      <c r="T39" s="5"/>
      <c r="U39" s="5">
        <f t="shared" si="34"/>
        <v>310533.3</v>
      </c>
      <c r="V39" s="5">
        <f t="shared" si="12"/>
        <v>656796.6</v>
      </c>
      <c r="W39" s="5">
        <f t="shared" si="13"/>
        <v>159488.5</v>
      </c>
      <c r="X39" s="5">
        <f t="shared" si="14"/>
        <v>0</v>
      </c>
      <c r="Y39" s="12">
        <f t="shared" si="15"/>
        <v>1126818.3999999999</v>
      </c>
      <c r="Z39" s="29"/>
      <c r="AA39" s="29"/>
      <c r="AB39" s="29"/>
      <c r="AC39" s="29"/>
      <c r="AD39" s="12">
        <f t="shared" si="16"/>
        <v>1126818.3999999999</v>
      </c>
      <c r="AE39" s="12">
        <f t="shared" si="17"/>
        <v>1985</v>
      </c>
      <c r="AF39" s="56">
        <f t="shared" si="18"/>
        <v>0.27558415801516911</v>
      </c>
      <c r="AG39" s="56">
        <f t="shared" si="19"/>
        <v>0.58287706342033463</v>
      </c>
      <c r="AH39" s="56">
        <f t="shared" si="20"/>
        <v>0.14153877856449629</v>
      </c>
      <c r="AI39" s="56"/>
      <c r="AJ39" s="68">
        <f t="shared" si="21"/>
        <v>1985</v>
      </c>
      <c r="AK39" s="60">
        <f t="shared" si="45"/>
        <v>1827484.5645123832</v>
      </c>
      <c r="AL39" s="56">
        <f>CHOOSE(umethod,S39,retroU,MAX(0,cslope*(AK39-nlim)/AK39))</f>
        <v>0.24753948247023994</v>
      </c>
      <c r="AM39">
        <f t="shared" si="23"/>
        <v>1375109.9811906361</v>
      </c>
      <c r="AN39" s="59">
        <f t="shared" si="55"/>
        <v>1125747.9423890966</v>
      </c>
      <c r="AO39" s="59">
        <f t="shared" si="24"/>
        <v>452374.58332174714</v>
      </c>
      <c r="AP39" t="s">
        <v>52</v>
      </c>
      <c r="AQ39">
        <v>1985</v>
      </c>
      <c r="AR39" s="14">
        <v>1147702</v>
      </c>
      <c r="AS39" s="5">
        <f t="shared" si="51"/>
        <v>604708</v>
      </c>
      <c r="AT39" s="6">
        <f t="shared" si="52"/>
        <v>0.34507221483556932</v>
      </c>
      <c r="AU39" s="12">
        <f t="shared" si="46"/>
        <v>1752410</v>
      </c>
      <c r="AV39" s="6">
        <f t="shared" si="47"/>
        <v>-4.7108171419498392E-2</v>
      </c>
      <c r="AW39" t="s">
        <v>52</v>
      </c>
      <c r="AX39">
        <v>1985</v>
      </c>
      <c r="AY39" s="3">
        <v>242114</v>
      </c>
      <c r="AZ39" s="3">
        <v>36552</v>
      </c>
      <c r="BA39" s="3">
        <v>128032</v>
      </c>
      <c r="BB39" s="3">
        <v>124160</v>
      </c>
      <c r="BC39" s="3">
        <v>15449</v>
      </c>
      <c r="BD39" s="3">
        <v>58400</v>
      </c>
      <c r="BE39" s="3">
        <v>604708</v>
      </c>
      <c r="BF39" s="38">
        <f t="shared" si="53"/>
        <v>0.34507221483556932</v>
      </c>
      <c r="BG39" s="16">
        <v>1147702</v>
      </c>
      <c r="BH39" s="18">
        <v>1752410</v>
      </c>
      <c r="BI39" s="7">
        <f t="shared" si="25"/>
        <v>0.34507221483556932</v>
      </c>
      <c r="BJ39" s="1">
        <f t="shared" si="26"/>
        <v>0.13816059027282429</v>
      </c>
      <c r="BK39" s="2">
        <f t="shared" si="27"/>
        <v>8.4772786261765903E-2</v>
      </c>
      <c r="BL39" s="1">
        <f t="shared" si="28"/>
        <v>4.2727069866807139E-2</v>
      </c>
      <c r="BM39" s="8">
        <f t="shared" si="29"/>
        <v>0.34507221483556932</v>
      </c>
      <c r="BN39" s="5">
        <f t="shared" si="30"/>
        <v>604708.00000000012</v>
      </c>
      <c r="BO39" s="26">
        <v>0.38</v>
      </c>
      <c r="BP39" s="6">
        <f t="shared" si="31"/>
        <v>0.52006458674721845</v>
      </c>
      <c r="BQ39" s="6">
        <f t="shared" si="32"/>
        <v>0.31910202444544267</v>
      </c>
      <c r="BR39" s="6">
        <f t="shared" si="33"/>
        <v>0.16083338880733883</v>
      </c>
      <c r="BT39">
        <v>1985</v>
      </c>
      <c r="BU39" s="5">
        <v>2969439</v>
      </c>
      <c r="BV39" s="5">
        <v>1733316.5485748299</v>
      </c>
      <c r="BW39" s="1">
        <v>0.36857466450709098</v>
      </c>
      <c r="BX39" s="5">
        <v>4702755.5485748304</v>
      </c>
      <c r="BZ39" s="6">
        <f t="shared" si="48"/>
        <v>0.34507221483556932</v>
      </c>
      <c r="CB39" t="s">
        <v>55</v>
      </c>
      <c r="CC39" s="19">
        <v>1985</v>
      </c>
      <c r="CD39" s="12">
        <v>1839044</v>
      </c>
      <c r="CE39" s="5">
        <v>248099</v>
      </c>
      <c r="CF39" s="5">
        <v>23242</v>
      </c>
      <c r="CG39" s="5">
        <v>2142</v>
      </c>
      <c r="CH39" s="5">
        <v>124098</v>
      </c>
      <c r="CI39">
        <v>0</v>
      </c>
      <c r="CJ39" s="5">
        <v>57656</v>
      </c>
      <c r="CK39" s="14">
        <v>1383808</v>
      </c>
      <c r="CL39" s="5">
        <f t="shared" si="42"/>
        <v>1839045</v>
      </c>
      <c r="CM39" s="5"/>
      <c r="CN39" s="41">
        <v>0.248</v>
      </c>
      <c r="CO39">
        <f t="shared" si="43"/>
        <v>1985</v>
      </c>
      <c r="CP39" s="6">
        <f t="shared" si="35"/>
        <v>4.9437060961761231E-2</v>
      </c>
      <c r="CQ39" s="6">
        <f t="shared" si="44"/>
        <v>0.20572064873982968</v>
      </c>
      <c r="CT39">
        <v>1985</v>
      </c>
      <c r="CU39" s="5">
        <v>1147702</v>
      </c>
      <c r="CV39" s="5">
        <v>1010518</v>
      </c>
      <c r="CW39" s="6">
        <f t="shared" si="49"/>
        <v>-0.17062049070391269</v>
      </c>
      <c r="CX39" s="6">
        <f t="shared" si="50"/>
        <v>-0.10321130716360322</v>
      </c>
    </row>
    <row r="40" spans="1:112" x14ac:dyDescent="0.55000000000000004">
      <c r="A40" t="str">
        <f t="shared" si="36"/>
        <v>Grant</v>
      </c>
      <c r="B40">
        <f t="shared" si="4"/>
        <v>1986</v>
      </c>
      <c r="C40" s="36">
        <f t="shared" si="5"/>
        <v>833591</v>
      </c>
      <c r="D40" s="31">
        <f t="shared" si="6"/>
        <v>1322564</v>
      </c>
      <c r="E40" s="26">
        <f t="shared" si="7"/>
        <v>0.46158468136053471</v>
      </c>
      <c r="F40" s="26" t="str">
        <f t="shared" si="8"/>
        <v>Grant</v>
      </c>
      <c r="G40" s="5">
        <f t="shared" si="37"/>
        <v>997327</v>
      </c>
      <c r="H40" s="5">
        <f t="shared" si="9"/>
        <v>1430746.2</v>
      </c>
      <c r="I40" s="26">
        <f t="shared" si="10"/>
        <v>0.36087270519729242</v>
      </c>
      <c r="J40" s="26">
        <f t="shared" si="54"/>
        <v>-0.15417178116608821</v>
      </c>
      <c r="K40">
        <v>1986</v>
      </c>
      <c r="L40" s="5">
        <v>833591</v>
      </c>
      <c r="M40" s="31">
        <v>1322564</v>
      </c>
      <c r="O40" t="str">
        <f t="shared" si="38"/>
        <v>Grant</v>
      </c>
      <c r="P40">
        <f t="shared" si="39"/>
        <v>1986</v>
      </c>
      <c r="Q40" s="35">
        <f t="shared" si="40"/>
        <v>997327</v>
      </c>
      <c r="R40" s="39">
        <f t="shared" si="41"/>
        <v>1580868</v>
      </c>
      <c r="S40" s="57">
        <f t="shared" si="11"/>
        <v>0.36912696063175421</v>
      </c>
      <c r="T40" s="5"/>
      <c r="U40" s="5">
        <f t="shared" si="34"/>
        <v>328398.3</v>
      </c>
      <c r="V40" s="5">
        <f t="shared" si="12"/>
        <v>956931</v>
      </c>
      <c r="W40" s="5">
        <f t="shared" si="13"/>
        <v>145416.9</v>
      </c>
      <c r="X40" s="5">
        <f t="shared" si="14"/>
        <v>0</v>
      </c>
      <c r="Y40" s="12">
        <f t="shared" si="15"/>
        <v>1430746.2</v>
      </c>
      <c r="Z40" s="29"/>
      <c r="AA40" s="29"/>
      <c r="AB40" s="29"/>
      <c r="AC40" s="29"/>
      <c r="AD40" s="12">
        <f t="shared" si="16"/>
        <v>1430746.2</v>
      </c>
      <c r="AE40" s="12">
        <f t="shared" si="17"/>
        <v>1986</v>
      </c>
      <c r="AF40" s="56">
        <f t="shared" si="18"/>
        <v>0.22952938823112023</v>
      </c>
      <c r="AG40" s="56">
        <f t="shared" si="19"/>
        <v>0.66883350799743524</v>
      </c>
      <c r="AH40" s="56">
        <f t="shared" si="20"/>
        <v>0.10163710377144458</v>
      </c>
      <c r="AI40" s="56"/>
      <c r="AJ40" s="68">
        <f t="shared" si="21"/>
        <v>1986</v>
      </c>
      <c r="AK40" s="60">
        <f t="shared" si="45"/>
        <v>1570122.7310952323</v>
      </c>
      <c r="AL40" s="56">
        <f>CHOOSE(umethod,S40,retroU,MAX(0,cslope*(AK40-nlim)/AK40))</f>
        <v>0.36912696063175421</v>
      </c>
      <c r="AM40">
        <f t="shared" si="23"/>
        <v>990548.09954722004</v>
      </c>
      <c r="AN40" s="59">
        <f t="shared" si="55"/>
        <v>1426964.2848528519</v>
      </c>
      <c r="AO40" s="59">
        <f t="shared" si="24"/>
        <v>579574.63154801226</v>
      </c>
      <c r="AP40" t="s">
        <v>52</v>
      </c>
      <c r="AQ40">
        <v>1986</v>
      </c>
      <c r="AR40" s="14">
        <v>833591</v>
      </c>
      <c r="AS40" s="5">
        <f t="shared" si="51"/>
        <v>622194</v>
      </c>
      <c r="AT40" s="6">
        <f t="shared" si="52"/>
        <v>0.42739415504349887</v>
      </c>
      <c r="AU40" s="12">
        <f t="shared" si="46"/>
        <v>1455785</v>
      </c>
      <c r="AV40" s="6">
        <f t="shared" si="47"/>
        <v>-7.9122988130571309E-2</v>
      </c>
      <c r="AW40" t="s">
        <v>52</v>
      </c>
      <c r="AX40">
        <v>1986</v>
      </c>
      <c r="AY40" s="3">
        <v>342548</v>
      </c>
      <c r="AZ40" s="3">
        <v>61331</v>
      </c>
      <c r="BA40" s="3">
        <v>17228</v>
      </c>
      <c r="BB40" s="3">
        <v>68213</v>
      </c>
      <c r="BC40" s="3">
        <v>17213</v>
      </c>
      <c r="BD40" s="3">
        <v>115661</v>
      </c>
      <c r="BE40" s="3">
        <v>622194</v>
      </c>
      <c r="BF40" s="38">
        <f t="shared" si="53"/>
        <v>0.42739415504349887</v>
      </c>
      <c r="BG40" s="16">
        <v>833591</v>
      </c>
      <c r="BH40" s="18">
        <v>1455785</v>
      </c>
      <c r="BI40" s="7">
        <f t="shared" si="25"/>
        <v>0.42739415504349887</v>
      </c>
      <c r="BJ40" s="1">
        <f t="shared" si="26"/>
        <v>0.23530122923371238</v>
      </c>
      <c r="BK40" s="2">
        <f t="shared" si="27"/>
        <v>1.5475590552595718E-2</v>
      </c>
      <c r="BL40" s="1">
        <f t="shared" si="28"/>
        <v>0.10721304120519543</v>
      </c>
      <c r="BM40" s="8">
        <f t="shared" si="29"/>
        <v>0.42739415504349887</v>
      </c>
      <c r="BN40" s="5">
        <f t="shared" si="30"/>
        <v>622194</v>
      </c>
      <c r="BO40" s="26">
        <v>0.5</v>
      </c>
      <c r="BP40" s="6">
        <f t="shared" si="31"/>
        <v>0.65728461856995712</v>
      </c>
      <c r="BQ40" s="6">
        <f t="shared" si="32"/>
        <v>4.3229130874639525E-2</v>
      </c>
      <c r="BR40" s="6">
        <f t="shared" si="33"/>
        <v>0.29948625055540329</v>
      </c>
      <c r="BT40">
        <v>1986</v>
      </c>
      <c r="BU40" s="5">
        <v>2321907</v>
      </c>
      <c r="BV40" s="5">
        <v>1888703.2457457201</v>
      </c>
      <c r="BW40" s="1">
        <v>0.44855807959285898</v>
      </c>
      <c r="BX40" s="5">
        <v>4210610.2457457203</v>
      </c>
      <c r="BZ40" s="6">
        <f t="shared" si="48"/>
        <v>0.42739415504349887</v>
      </c>
      <c r="CB40" t="s">
        <v>55</v>
      </c>
      <c r="CC40" s="19">
        <v>1986</v>
      </c>
      <c r="CD40" s="12">
        <v>1580868</v>
      </c>
      <c r="CE40" s="5">
        <v>346413</v>
      </c>
      <c r="CF40" s="5">
        <v>54696</v>
      </c>
      <c r="CG40" s="5">
        <v>1188</v>
      </c>
      <c r="CH40" s="5">
        <v>67221</v>
      </c>
      <c r="CI40">
        <v>0</v>
      </c>
      <c r="CJ40" s="5">
        <v>114023</v>
      </c>
      <c r="CK40" s="14">
        <v>997327</v>
      </c>
      <c r="CL40" s="5">
        <f t="shared" si="42"/>
        <v>1580868</v>
      </c>
      <c r="CM40" s="5"/>
      <c r="CN40" s="41">
        <v>0.36899999999999999</v>
      </c>
      <c r="CO40">
        <f t="shared" si="43"/>
        <v>1986</v>
      </c>
      <c r="CP40" s="6">
        <f t="shared" si="35"/>
        <v>8.5921341406869828E-2</v>
      </c>
      <c r="CQ40" s="6">
        <f t="shared" si="44"/>
        <v>0.19642246617345915</v>
      </c>
      <c r="CT40">
        <v>1986</v>
      </c>
      <c r="CU40" s="5">
        <v>833591</v>
      </c>
      <c r="CV40" s="5">
        <v>1322564</v>
      </c>
      <c r="CW40" s="6">
        <f t="shared" si="49"/>
        <v>-0.1641748393455707</v>
      </c>
      <c r="CX40" s="6">
        <f t="shared" si="50"/>
        <v>-7.5612432170010277E-2</v>
      </c>
    </row>
    <row r="41" spans="1:112" x14ac:dyDescent="0.55000000000000004">
      <c r="A41" t="str">
        <f t="shared" si="36"/>
        <v>Grant</v>
      </c>
      <c r="B41">
        <f t="shared" si="4"/>
        <v>1987</v>
      </c>
      <c r="C41" s="36">
        <f t="shared" si="5"/>
        <v>430000</v>
      </c>
      <c r="D41" s="31">
        <f t="shared" si="6"/>
        <v>1116839</v>
      </c>
      <c r="E41" s="26">
        <f t="shared" si="7"/>
        <v>0.95447244391420738</v>
      </c>
      <c r="F41" s="26" t="str">
        <f t="shared" si="8"/>
        <v>Grant</v>
      </c>
      <c r="G41" s="5">
        <f t="shared" si="37"/>
        <v>363671</v>
      </c>
      <c r="H41" s="5">
        <f t="shared" si="9"/>
        <v>1506538.7</v>
      </c>
      <c r="I41" s="26">
        <f t="shared" si="10"/>
        <v>1.4213204341551198</v>
      </c>
      <c r="J41" s="26">
        <f t="shared" si="54"/>
        <v>0.51616302031232053</v>
      </c>
      <c r="K41">
        <v>1987</v>
      </c>
      <c r="L41" s="5">
        <v>430000</v>
      </c>
      <c r="M41" s="31">
        <v>1116839</v>
      </c>
      <c r="O41" t="str">
        <f t="shared" si="38"/>
        <v>Grant</v>
      </c>
      <c r="P41">
        <f t="shared" si="39"/>
        <v>1987</v>
      </c>
      <c r="Q41" s="35">
        <f t="shared" si="40"/>
        <v>363671</v>
      </c>
      <c r="R41" s="39">
        <f t="shared" si="41"/>
        <v>481076</v>
      </c>
      <c r="S41" s="57">
        <f t="shared" si="11"/>
        <v>0.24404667869525809</v>
      </c>
      <c r="T41" s="5"/>
      <c r="U41" s="5">
        <f>$R44*U$2</f>
        <v>478465.5</v>
      </c>
      <c r="V41" s="5">
        <f t="shared" si="12"/>
        <v>872501.4</v>
      </c>
      <c r="W41" s="5">
        <f>$R46*W$2</f>
        <v>155571.80000000002</v>
      </c>
      <c r="X41" s="5">
        <f t="shared" si="14"/>
        <v>0</v>
      </c>
      <c r="Y41" s="12">
        <f t="shared" si="15"/>
        <v>1506538.7</v>
      </c>
      <c r="Z41" s="29"/>
      <c r="AA41" s="29"/>
      <c r="AB41" s="29"/>
      <c r="AC41" s="29"/>
      <c r="AD41" s="12">
        <f t="shared" si="16"/>
        <v>1506538.7</v>
      </c>
      <c r="AE41" s="12">
        <f t="shared" si="17"/>
        <v>1987</v>
      </c>
      <c r="AF41" s="56">
        <f t="shared" si="18"/>
        <v>0.31759257163456872</v>
      </c>
      <c r="AG41" s="56">
        <f t="shared" si="19"/>
        <v>0.57914303827707847</v>
      </c>
      <c r="AH41" s="56">
        <f t="shared" si="20"/>
        <v>0.10326439008835288</v>
      </c>
      <c r="AI41" s="56"/>
      <c r="AJ41" s="68">
        <f t="shared" si="21"/>
        <v>1987</v>
      </c>
      <c r="AK41" s="60">
        <f t="shared" si="45"/>
        <v>478298.90081635024</v>
      </c>
      <c r="AL41" s="56">
        <f>CHOOSE(umethod,S41,retroU,MAX(0,cslope*(AK41-nlim)/AK41))</f>
        <v>0.24404667869525809</v>
      </c>
      <c r="AM41">
        <f t="shared" si="23"/>
        <v>361571.64264852728</v>
      </c>
      <c r="AN41" s="59">
        <f t="shared" si="55"/>
        <v>1499779.1092150095</v>
      </c>
      <c r="AO41" s="59">
        <f t="shared" si="24"/>
        <v>116727.25816782296</v>
      </c>
      <c r="AP41" t="s">
        <v>52</v>
      </c>
      <c r="AQ41">
        <v>1987</v>
      </c>
      <c r="AR41" s="14">
        <v>430000</v>
      </c>
      <c r="AS41" s="5">
        <f t="shared" si="51"/>
        <v>136674</v>
      </c>
      <c r="AT41" s="6">
        <f t="shared" si="52"/>
        <v>0.24118629053035784</v>
      </c>
      <c r="AU41" s="12">
        <f t="shared" si="46"/>
        <v>566674</v>
      </c>
      <c r="AV41" s="6">
        <f t="shared" si="47"/>
        <v>0.17793030623020065</v>
      </c>
      <c r="AW41" t="s">
        <v>52</v>
      </c>
      <c r="AX41">
        <v>1987</v>
      </c>
      <c r="AY41" s="3">
        <v>17868</v>
      </c>
      <c r="AZ41" s="3">
        <v>26729</v>
      </c>
      <c r="BA41" s="3">
        <v>22999</v>
      </c>
      <c r="BB41" s="3">
        <v>18649</v>
      </c>
      <c r="BC41" s="3">
        <v>14081</v>
      </c>
      <c r="BD41" s="3">
        <v>36348</v>
      </c>
      <c r="BE41" s="3">
        <v>136674</v>
      </c>
      <c r="BF41" s="38">
        <f t="shared" si="53"/>
        <v>0.24118629053035784</v>
      </c>
      <c r="BG41" s="16">
        <v>430000</v>
      </c>
      <c r="BH41" s="18">
        <v>566674</v>
      </c>
      <c r="BI41" s="7">
        <f t="shared" si="25"/>
        <v>0.24118629053035784</v>
      </c>
      <c r="BJ41" s="1">
        <f t="shared" si="26"/>
        <v>3.1531356653031549E-2</v>
      </c>
      <c r="BK41" s="2">
        <f t="shared" si="27"/>
        <v>4.1907340663185168E-2</v>
      </c>
      <c r="BL41" s="1">
        <f t="shared" si="28"/>
        <v>7.1030199755337822E-2</v>
      </c>
      <c r="BM41" s="8">
        <f t="shared" si="29"/>
        <v>0.24118629053035784</v>
      </c>
      <c r="BN41" s="5">
        <f t="shared" si="30"/>
        <v>136674</v>
      </c>
      <c r="BO41" s="26">
        <v>0.52</v>
      </c>
      <c r="BP41" s="6">
        <f t="shared" si="31"/>
        <v>0.21825705942376142</v>
      </c>
      <c r="BQ41" s="6">
        <f t="shared" si="32"/>
        <v>0.29007863638931725</v>
      </c>
      <c r="BR41" s="6">
        <f t="shared" si="33"/>
        <v>0.49166430418692142</v>
      </c>
      <c r="BT41">
        <v>1987</v>
      </c>
      <c r="BU41" s="5">
        <v>1317145</v>
      </c>
      <c r="BV41" s="5">
        <v>638770.31534722797</v>
      </c>
      <c r="BW41" s="1">
        <v>0.32658383025843302</v>
      </c>
      <c r="BX41" s="5">
        <v>1955915.3153472301</v>
      </c>
      <c r="BZ41" s="6">
        <f t="shared" si="48"/>
        <v>0.24118629053035784</v>
      </c>
      <c r="CB41" t="s">
        <v>55</v>
      </c>
      <c r="CC41" s="19">
        <v>1987</v>
      </c>
      <c r="CD41" s="12">
        <v>481076</v>
      </c>
      <c r="CE41" s="5">
        <v>22167</v>
      </c>
      <c r="CF41" s="5">
        <v>25236</v>
      </c>
      <c r="CG41" s="5">
        <v>10167</v>
      </c>
      <c r="CH41" s="5">
        <v>21984</v>
      </c>
      <c r="CI41">
        <v>0</v>
      </c>
      <c r="CJ41" s="5">
        <v>37852</v>
      </c>
      <c r="CK41" s="14">
        <v>363671</v>
      </c>
      <c r="CL41" s="5">
        <f t="shared" si="42"/>
        <v>481077</v>
      </c>
      <c r="CM41" s="5"/>
      <c r="CN41" s="41">
        <v>0.24399999999999999</v>
      </c>
      <c r="CO41">
        <f t="shared" si="43"/>
        <v>1987</v>
      </c>
      <c r="CP41" s="6">
        <f t="shared" si="35"/>
        <v>-0.15105333930972659</v>
      </c>
      <c r="CQ41" s="6">
        <f t="shared" si="44"/>
        <v>-0.15425348837209302</v>
      </c>
      <c r="CT41">
        <v>1987</v>
      </c>
      <c r="CU41" s="5">
        <v>430000</v>
      </c>
      <c r="CV41" s="5">
        <v>1116839</v>
      </c>
      <c r="CW41" s="6">
        <f t="shared" si="49"/>
        <v>0.18238737760228338</v>
      </c>
      <c r="CX41" s="6">
        <f t="shared" si="50"/>
        <v>-0.25867221333245538</v>
      </c>
    </row>
    <row r="42" spans="1:112" s="47" customFormat="1" x14ac:dyDescent="0.55000000000000004">
      <c r="A42" s="47" t="str">
        <f t="shared" si="36"/>
        <v>Grant</v>
      </c>
      <c r="B42" s="47">
        <f t="shared" si="4"/>
        <v>1988</v>
      </c>
      <c r="C42" s="48">
        <f t="shared" si="5"/>
        <v>488070</v>
      </c>
      <c r="D42" s="48">
        <f t="shared" si="6"/>
        <v>406805</v>
      </c>
      <c r="E42" s="49">
        <f t="shared" si="7"/>
        <v>-0.18212488303820401</v>
      </c>
      <c r="F42" s="49" t="str">
        <f t="shared" si="8"/>
        <v>Grant</v>
      </c>
      <c r="G42" s="48">
        <f t="shared" si="37"/>
        <v>528467</v>
      </c>
      <c r="H42" s="48">
        <f t="shared" si="9"/>
        <v>1517347.8</v>
      </c>
      <c r="I42" s="49">
        <f t="shared" si="10"/>
        <v>1.0547388588728643</v>
      </c>
      <c r="J42" s="49">
        <f t="shared" si="54"/>
        <v>0.25103878149795666</v>
      </c>
      <c r="K42" s="47">
        <v>1988</v>
      </c>
      <c r="L42" s="48">
        <v>488070</v>
      </c>
      <c r="M42" s="48">
        <v>406805</v>
      </c>
      <c r="O42" s="47" t="str">
        <f t="shared" si="38"/>
        <v>Grant</v>
      </c>
      <c r="P42" s="47">
        <f t="shared" si="39"/>
        <v>1988</v>
      </c>
      <c r="Q42" s="48">
        <f t="shared" si="40"/>
        <v>528467</v>
      </c>
      <c r="R42" s="48">
        <f>CD42</f>
        <v>1035111</v>
      </c>
      <c r="S42" s="57">
        <f t="shared" si="11"/>
        <v>0.48945861844768335</v>
      </c>
      <c r="T42" s="48"/>
      <c r="U42" s="48">
        <f>$R45*U$2</f>
        <v>436250.7</v>
      </c>
      <c r="V42" s="48">
        <f>$R46*V$2</f>
        <v>933430.79999999993</v>
      </c>
      <c r="W42" s="48">
        <f>$R47*W$2</f>
        <v>147666.30000000002</v>
      </c>
      <c r="X42" s="48">
        <f>$R48*X$2</f>
        <v>0</v>
      </c>
      <c r="Y42" s="48">
        <f t="shared" si="15"/>
        <v>1517347.8</v>
      </c>
      <c r="Z42" s="48">
        <f>$R45*$U$2</f>
        <v>436250.7</v>
      </c>
      <c r="AA42" s="48">
        <f>$R46*$V$2</f>
        <v>933430.79999999993</v>
      </c>
      <c r="AB42" s="48">
        <f>$R47*$W$2</f>
        <v>147666.30000000002</v>
      </c>
      <c r="AC42" s="48">
        <f>$R48*$X$2</f>
        <v>0</v>
      </c>
      <c r="AD42" s="48">
        <f>SUM(Z42:AC42)</f>
        <v>1517347.8</v>
      </c>
      <c r="AE42" s="12">
        <f t="shared" si="17"/>
        <v>1988</v>
      </c>
      <c r="AF42" s="56">
        <f t="shared" si="18"/>
        <v>0.28750870433265202</v>
      </c>
      <c r="AG42" s="56">
        <f t="shared" si="19"/>
        <v>0.61517260577963728</v>
      </c>
      <c r="AH42" s="56">
        <f t="shared" si="20"/>
        <v>9.7318689887710655E-2</v>
      </c>
      <c r="AI42" s="56"/>
      <c r="AJ42" s="68">
        <f t="shared" si="21"/>
        <v>1988</v>
      </c>
      <c r="AK42" s="60">
        <f t="shared" si="45"/>
        <v>1031497.6766307169</v>
      </c>
      <c r="AL42" s="56">
        <f>CHOOSE(umethod,S42,retroU,MAX(0,cslope*(AK42-nlim)/AK42))</f>
        <v>0.48945861844768335</v>
      </c>
      <c r="AM42">
        <f t="shared" si="23"/>
        <v>526622.24889505096</v>
      </c>
      <c r="AN42" s="59">
        <f t="shared" si="55"/>
        <v>1513769.3592911367</v>
      </c>
      <c r="AO42" s="59">
        <f t="shared" si="24"/>
        <v>504875.42773566593</v>
      </c>
      <c r="AP42" s="47" t="s">
        <v>52</v>
      </c>
      <c r="AQ42" s="47">
        <v>1988</v>
      </c>
      <c r="AR42" s="48">
        <v>488070</v>
      </c>
      <c r="AS42" s="48">
        <f t="shared" si="51"/>
        <v>685238</v>
      </c>
      <c r="AT42" s="50">
        <f t="shared" si="52"/>
        <v>0.58402226866261886</v>
      </c>
      <c r="AU42" s="48">
        <f t="shared" si="46"/>
        <v>1173308</v>
      </c>
      <c r="AV42" s="50">
        <f>(AU42-CD42)/CD42</f>
        <v>0.13350935310319376</v>
      </c>
      <c r="AW42" s="47" t="s">
        <v>52</v>
      </c>
      <c r="AX42" s="47">
        <v>1988</v>
      </c>
      <c r="AY42" s="51">
        <v>250953</v>
      </c>
      <c r="AZ42" s="51">
        <v>4743</v>
      </c>
      <c r="BA42" s="51">
        <v>196360</v>
      </c>
      <c r="BB42" s="51">
        <v>96300</v>
      </c>
      <c r="BC42" s="51">
        <v>30719</v>
      </c>
      <c r="BD42" s="51">
        <v>106162</v>
      </c>
      <c r="BE42" s="51">
        <v>685238</v>
      </c>
      <c r="BF42" s="52">
        <f t="shared" si="53"/>
        <v>0.58402226866261886</v>
      </c>
      <c r="BG42" s="51">
        <v>488070</v>
      </c>
      <c r="BH42" s="51">
        <v>1173308</v>
      </c>
      <c r="BI42" s="53">
        <f t="shared" si="25"/>
        <v>0.58402226866261886</v>
      </c>
      <c r="BJ42" s="52">
        <f t="shared" si="26"/>
        <v>0.2138850156992026</v>
      </c>
      <c r="BK42" s="54">
        <f t="shared" si="27"/>
        <v>0.21288983092193353</v>
      </c>
      <c r="BL42" s="52">
        <f t="shared" si="28"/>
        <v>0.1526904423567044</v>
      </c>
      <c r="BM42" s="55">
        <f t="shared" si="29"/>
        <v>0.58402226866261886</v>
      </c>
      <c r="BN42" s="48">
        <f t="shared" si="30"/>
        <v>685238.00000000012</v>
      </c>
      <c r="BO42" s="49">
        <v>0.56000000000000005</v>
      </c>
      <c r="BP42" s="50">
        <f t="shared" si="31"/>
        <v>0.36910755444297511</v>
      </c>
      <c r="BQ42" s="50">
        <f t="shared" si="32"/>
        <v>0.36739013530467862</v>
      </c>
      <c r="BR42" s="50">
        <f t="shared" si="33"/>
        <v>0.26350231025234622</v>
      </c>
      <c r="BT42" s="47">
        <v>1988</v>
      </c>
      <c r="BU42" s="48">
        <v>1634560</v>
      </c>
      <c r="BV42" s="48">
        <v>1788874.08846441</v>
      </c>
      <c r="BW42" s="52">
        <v>0.52253790849725801</v>
      </c>
      <c r="BX42" s="48">
        <v>3423434.08846441</v>
      </c>
      <c r="BZ42" s="50">
        <f t="shared" si="48"/>
        <v>0.58402226866261886</v>
      </c>
      <c r="CB42" s="47" t="s">
        <v>55</v>
      </c>
      <c r="CC42" s="47">
        <v>1988</v>
      </c>
      <c r="CD42" s="48">
        <v>1035111</v>
      </c>
      <c r="CE42" s="48">
        <v>296424</v>
      </c>
      <c r="CF42" s="48">
        <v>3964</v>
      </c>
      <c r="CG42" s="48">
        <v>1537</v>
      </c>
      <c r="CH42" s="48">
        <v>96892</v>
      </c>
      <c r="CI42" s="47">
        <v>0</v>
      </c>
      <c r="CJ42" s="48">
        <v>107827</v>
      </c>
      <c r="CK42" s="48">
        <v>528467</v>
      </c>
      <c r="CL42" s="48">
        <f t="shared" si="42"/>
        <v>1035111</v>
      </c>
      <c r="CM42" s="48"/>
      <c r="CN42" s="50">
        <v>0.48899999999999999</v>
      </c>
      <c r="CO42" s="47">
        <f t="shared" si="43"/>
        <v>1988</v>
      </c>
      <c r="CP42" s="50">
        <f t="shared" si="35"/>
        <v>-0.11778407715621132</v>
      </c>
      <c r="CQ42" s="50">
        <f t="shared" si="44"/>
        <v>8.2768865121806298E-2</v>
      </c>
      <c r="CT42" s="47">
        <v>1988</v>
      </c>
      <c r="CU42" s="48">
        <v>488070</v>
      </c>
      <c r="CV42" s="48">
        <v>406805</v>
      </c>
      <c r="CW42" s="50">
        <f t="shared" si="49"/>
        <v>-7.6441859188937061E-2</v>
      </c>
      <c r="CX42" s="50">
        <f t="shared" si="50"/>
        <v>-0.73189732769243809</v>
      </c>
    </row>
    <row r="43" spans="1:112" x14ac:dyDescent="0.55000000000000004">
      <c r="A43" t="str">
        <f t="shared" si="36"/>
        <v>Grant</v>
      </c>
      <c r="B43">
        <f t="shared" si="4"/>
        <v>1989</v>
      </c>
      <c r="C43" s="36">
        <f>L43</f>
        <v>523657</v>
      </c>
      <c r="D43" s="29">
        <f t="shared" ref="D43" si="56">Y43</f>
        <v>1582242</v>
      </c>
      <c r="E43" s="26">
        <f t="shared" si="7"/>
        <v>1.105761217714377</v>
      </c>
      <c r="F43" s="26" t="str">
        <f t="shared" si="8"/>
        <v>Grant</v>
      </c>
      <c r="G43" s="5">
        <f t="shared" si="37"/>
        <v>739647</v>
      </c>
      <c r="H43" s="5">
        <f t="shared" si="9"/>
        <v>1582242</v>
      </c>
      <c r="I43" s="26">
        <f t="shared" si="10"/>
        <v>0.76042506219402317</v>
      </c>
      <c r="J43" s="26">
        <f t="shared" si="54"/>
        <v>8.673882201958949E-2</v>
      </c>
      <c r="K43">
        <v>1989</v>
      </c>
      <c r="L43" s="5">
        <v>523657</v>
      </c>
      <c r="M43" s="5" t="e">
        <f>NA()</f>
        <v>#N/A</v>
      </c>
      <c r="O43" t="str">
        <f t="shared" si="38"/>
        <v>Grant</v>
      </c>
      <c r="P43">
        <f t="shared" si="39"/>
        <v>1989</v>
      </c>
      <c r="Q43" s="35">
        <f t="shared" si="40"/>
        <v>739647</v>
      </c>
      <c r="R43" s="39">
        <f t="shared" ref="R43:R49" si="57">CD43</f>
        <v>1094661</v>
      </c>
      <c r="S43" s="57">
        <f t="shared" si="11"/>
        <v>0.32431410272221262</v>
      </c>
      <c r="T43" s="5"/>
      <c r="U43" s="5">
        <f t="shared" ref="U43:U47" si="58">$R46*U$2</f>
        <v>466715.39999999997</v>
      </c>
      <c r="V43" s="5">
        <f t="shared" ref="V43:V47" si="59">$R47*V$2</f>
        <v>885997.79999999993</v>
      </c>
      <c r="W43" s="5">
        <f t="shared" ref="W43:W48" si="60">$R48*W$2</f>
        <v>229528.80000000002</v>
      </c>
      <c r="X43" s="5">
        <f t="shared" ref="X43:X48" si="61">$R49*X$2</f>
        <v>0</v>
      </c>
      <c r="Y43" s="29">
        <f t="shared" si="15"/>
        <v>1582242</v>
      </c>
      <c r="Z43" s="5">
        <f>$R46*$U$2</f>
        <v>466715.39999999997</v>
      </c>
      <c r="AA43" s="5">
        <f>$R47*$V$2</f>
        <v>885997.79999999993</v>
      </c>
      <c r="AB43" s="5">
        <f>$R48*$W$2</f>
        <v>229528.80000000002</v>
      </c>
      <c r="AC43" s="5">
        <f>$R49*$X$2</f>
        <v>0</v>
      </c>
      <c r="AD43" s="12">
        <f t="shared" ref="AD43" si="62">SUM(Z43:AC43)</f>
        <v>1582242</v>
      </c>
      <c r="AE43" s="12">
        <f t="shared" si="17"/>
        <v>1989</v>
      </c>
      <c r="AF43" s="56">
        <f t="shared" si="18"/>
        <v>0.29497093364984622</v>
      </c>
      <c r="AG43" s="56">
        <f t="shared" si="19"/>
        <v>0.55996352011891981</v>
      </c>
      <c r="AH43" s="56">
        <f t="shared" si="20"/>
        <v>0.14506554623123391</v>
      </c>
      <c r="AI43" s="56"/>
      <c r="AJ43" s="68">
        <f t="shared" si="21"/>
        <v>1989</v>
      </c>
      <c r="AK43" s="60">
        <f t="shared" si="45"/>
        <v>1092698.4667264996</v>
      </c>
      <c r="AL43" s="56">
        <f>CHOOSE(umethod,S43,retroU,MAX(0,cslope*(AK43-nlim)/AK43))</f>
        <v>0.32431410272221262</v>
      </c>
      <c r="AM43">
        <f t="shared" si="23"/>
        <v>738320.94394415733</v>
      </c>
      <c r="AN43" s="59">
        <f t="shared" si="55"/>
        <v>1580695.2605072609</v>
      </c>
      <c r="AO43" s="59">
        <f t="shared" si="24"/>
        <v>354377.52278234228</v>
      </c>
      <c r="AQ43">
        <v>1989</v>
      </c>
      <c r="AR43" s="14"/>
      <c r="AS43" s="5"/>
      <c r="AT43" s="6"/>
      <c r="AU43" s="12"/>
      <c r="AV43" s="6"/>
      <c r="AW43" t="s">
        <v>52</v>
      </c>
      <c r="AX43">
        <v>1989</v>
      </c>
      <c r="AY43" s="3">
        <v>256398</v>
      </c>
      <c r="AZ43" s="3">
        <v>8017</v>
      </c>
      <c r="BA43" s="3">
        <v>25786</v>
      </c>
      <c r="BB43" s="3">
        <v>55544</v>
      </c>
      <c r="BC43" s="3">
        <v>16769</v>
      </c>
      <c r="BD43" s="3">
        <v>37156</v>
      </c>
      <c r="BE43" s="3">
        <v>399670</v>
      </c>
      <c r="BF43" s="38">
        <f t="shared" si="53"/>
        <v>0.43093335288510887</v>
      </c>
      <c r="BG43" s="16">
        <v>527782</v>
      </c>
      <c r="BH43" s="18">
        <v>927452</v>
      </c>
      <c r="BI43" s="7">
        <f t="shared" si="25"/>
        <v>0.43093335288510887</v>
      </c>
      <c r="BJ43" s="1">
        <f t="shared" si="26"/>
        <v>0.27645419924696912</v>
      </c>
      <c r="BK43" s="2">
        <f t="shared" si="27"/>
        <v>3.842611771928936E-2</v>
      </c>
      <c r="BL43" s="1">
        <f t="shared" si="28"/>
        <v>5.9118630260350455E-2</v>
      </c>
      <c r="BM43" s="8">
        <f t="shared" si="29"/>
        <v>0.43093335288510887</v>
      </c>
      <c r="BN43" s="5">
        <f t="shared" si="30"/>
        <v>399670.00000000006</v>
      </c>
      <c r="BO43" s="26">
        <v>0.56000000000000005</v>
      </c>
      <c r="BP43" s="6">
        <f t="shared" si="31"/>
        <v>0.73918443165954495</v>
      </c>
      <c r="BQ43" s="6">
        <f t="shared" si="32"/>
        <v>0.10274391947955581</v>
      </c>
      <c r="BR43" s="6">
        <f t="shared" si="33"/>
        <v>0.15807164886089906</v>
      </c>
      <c r="BT43">
        <v>1989</v>
      </c>
      <c r="BU43" s="5">
        <v>1029563</v>
      </c>
      <c r="BV43" s="5">
        <v>822368.73517123703</v>
      </c>
      <c r="BW43" s="1">
        <v>0.44405996158125</v>
      </c>
      <c r="BX43" s="5">
        <v>1851931.7351712401</v>
      </c>
      <c r="BZ43" s="6">
        <f t="shared" si="48"/>
        <v>0.43093335288510887</v>
      </c>
      <c r="CB43" t="s">
        <v>55</v>
      </c>
      <c r="CC43" s="19">
        <v>1989</v>
      </c>
      <c r="CD43" s="12">
        <v>1094661</v>
      </c>
      <c r="CE43" s="5">
        <v>244269</v>
      </c>
      <c r="CF43" s="5">
        <v>6323</v>
      </c>
      <c r="CG43" s="5">
        <v>9749</v>
      </c>
      <c r="CH43" s="5">
        <v>55358</v>
      </c>
      <c r="CI43">
        <v>0</v>
      </c>
      <c r="CJ43" s="5">
        <v>39315</v>
      </c>
      <c r="CK43" s="14">
        <v>739647</v>
      </c>
      <c r="CL43" s="5">
        <f t="shared" si="42"/>
        <v>1094661</v>
      </c>
      <c r="CM43" s="5"/>
      <c r="CN43" s="41">
        <v>0.32400000000000001</v>
      </c>
      <c r="CO43">
        <f t="shared" si="43"/>
        <v>1989</v>
      </c>
      <c r="CP43" s="6">
        <f t="shared" si="35"/>
        <v>0.18028857558126998</v>
      </c>
      <c r="CQ43" s="6">
        <f t="shared" si="44"/>
        <v>0.40142520965095435</v>
      </c>
      <c r="CT43">
        <v>1989</v>
      </c>
      <c r="CU43" s="5"/>
      <c r="CV43" s="5"/>
    </row>
    <row r="44" spans="1:112" x14ac:dyDescent="0.55000000000000004">
      <c r="A44" t="str">
        <f t="shared" si="36"/>
        <v>Grant</v>
      </c>
      <c r="B44">
        <f t="shared" si="4"/>
        <v>1990</v>
      </c>
      <c r="C44" s="36">
        <f t="shared" si="5"/>
        <v>736039</v>
      </c>
      <c r="D44" s="29">
        <f>Y44</f>
        <v>2004615.8</v>
      </c>
      <c r="E44" s="26">
        <f t="shared" si="7"/>
        <v>1.0019245939759625</v>
      </c>
      <c r="F44" s="26" t="str">
        <f t="shared" si="8"/>
        <v>Grant</v>
      </c>
      <c r="G44" s="5">
        <f t="shared" si="37"/>
        <v>861972</v>
      </c>
      <c r="H44" s="5">
        <f t="shared" si="9"/>
        <v>2004615.8</v>
      </c>
      <c r="I44" s="26">
        <f t="shared" si="10"/>
        <v>0.84398491289388511</v>
      </c>
      <c r="J44" s="26">
        <f t="shared" si="54"/>
        <v>0.24560856302889367</v>
      </c>
      <c r="K44">
        <v>1990</v>
      </c>
      <c r="L44" s="5">
        <v>736039</v>
      </c>
      <c r="M44" s="5" t="e">
        <f>NA()</f>
        <v>#N/A</v>
      </c>
      <c r="O44" t="str">
        <f t="shared" si="38"/>
        <v>Grant</v>
      </c>
      <c r="P44">
        <f t="shared" si="39"/>
        <v>1990</v>
      </c>
      <c r="Q44" s="35">
        <f t="shared" si="40"/>
        <v>861972</v>
      </c>
      <c r="R44" s="39">
        <f t="shared" si="57"/>
        <v>1594885</v>
      </c>
      <c r="S44" s="57">
        <f t="shared" si="11"/>
        <v>0.45953971602968235</v>
      </c>
      <c r="T44" s="5"/>
      <c r="U44" s="5">
        <f t="shared" si="58"/>
        <v>442998.89999999997</v>
      </c>
      <c r="V44" s="5">
        <f t="shared" si="59"/>
        <v>1377172.8</v>
      </c>
      <c r="W44" s="5">
        <f t="shared" si="60"/>
        <v>184444.1</v>
      </c>
      <c r="X44" s="5">
        <f>$R50*X$2</f>
        <v>0</v>
      </c>
      <c r="Y44" s="29">
        <f>SUM(U44:X44)</f>
        <v>2004615.8</v>
      </c>
      <c r="Z44" s="5">
        <f>$R47*$U$2</f>
        <v>442998.89999999997</v>
      </c>
      <c r="AA44" s="5">
        <f>$R48*$V$2</f>
        <v>1377172.8</v>
      </c>
      <c r="AB44" s="5">
        <f>$R49*$W$2</f>
        <v>184444.1</v>
      </c>
      <c r="AC44" s="32">
        <f>$T50*$X$2</f>
        <v>0</v>
      </c>
      <c r="AD44" s="29">
        <f>SUM(Z44:AC44)</f>
        <v>2004615.8</v>
      </c>
      <c r="AE44" s="12">
        <f t="shared" si="17"/>
        <v>1990</v>
      </c>
      <c r="AF44" s="56">
        <f t="shared" si="18"/>
        <v>0.22098942849796951</v>
      </c>
      <c r="AG44" s="56">
        <f t="shared" si="19"/>
        <v>0.68700087069053328</v>
      </c>
      <c r="AH44" s="56">
        <f t="shared" si="20"/>
        <v>9.2009700811497147E-2</v>
      </c>
      <c r="AI44" s="56"/>
      <c r="AJ44" s="68">
        <f t="shared" si="21"/>
        <v>1990</v>
      </c>
      <c r="AK44" s="60">
        <f t="shared" si="45"/>
        <v>1590057.2213418295</v>
      </c>
      <c r="AL44" s="56">
        <f>CHOOSE(umethod,S44,retroU,MAX(0,cslope*(AK44-nlim)/AK44))</f>
        <v>0.45953971602968235</v>
      </c>
      <c r="AM44">
        <f t="shared" si="23"/>
        <v>859362.77737545944</v>
      </c>
      <c r="AN44" s="59">
        <f t="shared" si="55"/>
        <v>2001760.7547611981</v>
      </c>
      <c r="AO44" s="59">
        <f t="shared" si="24"/>
        <v>730694.44396637008</v>
      </c>
      <c r="AQ44">
        <v>1990</v>
      </c>
      <c r="AR44" s="14"/>
      <c r="AS44" s="5"/>
      <c r="AT44" s="6"/>
      <c r="AU44" s="12"/>
      <c r="AV44" s="6"/>
      <c r="AW44" t="s">
        <v>52</v>
      </c>
      <c r="AX44">
        <v>1990</v>
      </c>
      <c r="AY44" s="3">
        <v>437784</v>
      </c>
      <c r="AZ44" s="3">
        <v>8274</v>
      </c>
      <c r="BA44" s="3">
        <v>1988</v>
      </c>
      <c r="BB44" s="3">
        <v>143511</v>
      </c>
      <c r="BC44" s="3">
        <v>15719</v>
      </c>
      <c r="BD44" s="3">
        <v>127188</v>
      </c>
      <c r="BE44" s="3">
        <v>734464</v>
      </c>
      <c r="BF44" s="38">
        <f t="shared" si="53"/>
        <v>0.49435485716516503</v>
      </c>
      <c r="BG44" s="16">
        <v>751239</v>
      </c>
      <c r="BH44" s="18">
        <v>1485702</v>
      </c>
      <c r="BI44" s="7">
        <f t="shared" si="25"/>
        <v>0.49435485716516503</v>
      </c>
      <c r="BJ44" s="1">
        <f t="shared" si="26"/>
        <v>0.29466474434307821</v>
      </c>
      <c r="BK44" s="2">
        <f t="shared" si="27"/>
        <v>1.8970950017081489E-3</v>
      </c>
      <c r="BL44" s="1">
        <f t="shared" si="28"/>
        <v>0.1234582041931216</v>
      </c>
      <c r="BM44" s="8">
        <f t="shared" si="29"/>
        <v>0.49435485716516503</v>
      </c>
      <c r="BN44" s="5">
        <f t="shared" si="30"/>
        <v>734464.97767152358</v>
      </c>
      <c r="BO44" s="26">
        <v>0.56999999999999995</v>
      </c>
      <c r="BP44" s="6">
        <f t="shared" si="31"/>
        <v>0.70154924479570446</v>
      </c>
      <c r="BQ44" s="6">
        <f t="shared" si="32"/>
        <v>4.5166773131314411E-3</v>
      </c>
      <c r="BR44" s="6">
        <f t="shared" si="33"/>
        <v>0.29393407789116416</v>
      </c>
      <c r="BT44">
        <v>1990</v>
      </c>
      <c r="BU44" s="5">
        <v>1743112</v>
      </c>
      <c r="BV44" s="5">
        <v>1884857.28070792</v>
      </c>
      <c r="BW44" s="1">
        <v>0.51953507179094105</v>
      </c>
      <c r="BX44" s="5">
        <v>3627969.28070792</v>
      </c>
      <c r="BZ44" s="6">
        <f t="shared" si="48"/>
        <v>0.49435485716516503</v>
      </c>
      <c r="CB44" t="s">
        <v>55</v>
      </c>
      <c r="CC44" s="19">
        <v>1990</v>
      </c>
      <c r="CD44" s="12">
        <v>1594885</v>
      </c>
      <c r="CE44" s="5">
        <v>451937</v>
      </c>
      <c r="CF44" s="5">
        <v>16682</v>
      </c>
      <c r="CG44">
        <v>4</v>
      </c>
      <c r="CH44" s="5">
        <v>144478</v>
      </c>
      <c r="CI44">
        <v>0</v>
      </c>
      <c r="CJ44" s="5">
        <v>119812</v>
      </c>
      <c r="CK44" s="14">
        <v>861972</v>
      </c>
      <c r="CL44" s="5">
        <f t="shared" si="42"/>
        <v>1594885</v>
      </c>
      <c r="CM44" s="5"/>
      <c r="CN44" s="41">
        <v>0.46</v>
      </c>
      <c r="CO44">
        <f t="shared" si="43"/>
        <v>1990</v>
      </c>
      <c r="CP44" s="6">
        <f t="shared" si="35"/>
        <v>7.3489165391175351E-2</v>
      </c>
      <c r="CQ44" s="6">
        <f t="shared" si="44"/>
        <v>0.14740049438327882</v>
      </c>
      <c r="CT44">
        <v>1990</v>
      </c>
      <c r="CU44" s="5"/>
      <c r="CV44" s="5"/>
    </row>
    <row r="45" spans="1:112" x14ac:dyDescent="0.55000000000000004">
      <c r="A45" t="str">
        <f t="shared" si="36"/>
        <v>Grant</v>
      </c>
      <c r="B45">
        <f t="shared" si="4"/>
        <v>1991</v>
      </c>
      <c r="C45" s="36">
        <f t="shared" si="5"/>
        <v>790060</v>
      </c>
      <c r="D45" s="29">
        <f t="shared" ref="D45:D46" si="63">Y45</f>
        <v>1920095.2946191225</v>
      </c>
      <c r="E45" s="26">
        <f t="shared" si="7"/>
        <v>0.88802120446014754</v>
      </c>
      <c r="F45" s="26" t="str">
        <f t="shared" si="8"/>
        <v>Grant</v>
      </c>
      <c r="G45" s="5">
        <f t="shared" si="37"/>
        <v>1106348</v>
      </c>
      <c r="H45" s="5">
        <f t="shared" si="9"/>
        <v>1920095.2946191225</v>
      </c>
      <c r="I45" s="26">
        <f t="shared" si="10"/>
        <v>0.55131031643518247</v>
      </c>
      <c r="J45" s="26">
        <f t="shared" si="54"/>
        <v>0.10338505796001507</v>
      </c>
      <c r="K45">
        <v>1991</v>
      </c>
      <c r="L45" s="5">
        <v>790060</v>
      </c>
      <c r="M45" s="5" t="e">
        <f>NA()</f>
        <v>#N/A</v>
      </c>
      <c r="O45" t="str">
        <f t="shared" si="38"/>
        <v>Grant</v>
      </c>
      <c r="P45">
        <f t="shared" si="39"/>
        <v>1991</v>
      </c>
      <c r="Q45" s="35">
        <f t="shared" si="40"/>
        <v>1106348</v>
      </c>
      <c r="R45" s="39">
        <f t="shared" si="57"/>
        <v>1454169</v>
      </c>
      <c r="S45" s="57">
        <f t="shared" si="11"/>
        <v>0.23918884256231565</v>
      </c>
      <c r="T45" s="5"/>
      <c r="U45" s="5">
        <f t="shared" si="58"/>
        <v>688586.4</v>
      </c>
      <c r="V45" s="5">
        <f t="shared" si="59"/>
        <v>1106664.5999999999</v>
      </c>
      <c r="W45" s="5">
        <f t="shared" si="60"/>
        <v>124844.2946191224</v>
      </c>
      <c r="X45" s="5">
        <f>$R51*X$2</f>
        <v>0</v>
      </c>
      <c r="Y45" s="29">
        <f t="shared" si="15"/>
        <v>1920095.2946191225</v>
      </c>
      <c r="Z45" s="5">
        <f>$R48*$U$2</f>
        <v>688586.4</v>
      </c>
      <c r="AA45" s="5">
        <f>$R49*$V$2</f>
        <v>1106664.5999999999</v>
      </c>
      <c r="AB45" s="32">
        <f>$T50*$W$2</f>
        <v>124844.2946191224</v>
      </c>
      <c r="AC45" s="32">
        <f t="shared" ref="AC45:AC73" si="64">$T51*$X$2</f>
        <v>0</v>
      </c>
      <c r="AD45" s="29">
        <f t="shared" ref="AD45:AD71" si="65">SUM(Z45:AC45)</f>
        <v>1920095.2946191225</v>
      </c>
      <c r="AE45" s="12">
        <f t="shared" si="17"/>
        <v>1991</v>
      </c>
      <c r="AF45" s="56">
        <f t="shared" si="18"/>
        <v>0.3586209507047361</v>
      </c>
      <c r="AG45" s="56">
        <f t="shared" si="19"/>
        <v>0.57635920628591619</v>
      </c>
      <c r="AH45" s="56">
        <f t="shared" si="20"/>
        <v>6.5019843009347614E-2</v>
      </c>
      <c r="AI45" s="56"/>
      <c r="AJ45" s="68">
        <f t="shared" si="21"/>
        <v>1991</v>
      </c>
      <c r="AK45" s="60">
        <f t="shared" si="45"/>
        <v>1448841.0143012691</v>
      </c>
      <c r="AL45" s="56">
        <f>CHOOSE(umethod,S45,retroU,MAX(0,cslope*(AK45-nlim)/AK45))</f>
        <v>0.23918884256231565</v>
      </c>
      <c r="AM45">
        <f t="shared" si="23"/>
        <v>1102294.4090337371</v>
      </c>
      <c r="AN45" s="59">
        <f t="shared" si="55"/>
        <v>1917840.3980434977</v>
      </c>
      <c r="AO45" s="59">
        <f t="shared" si="24"/>
        <v>346546.60526753194</v>
      </c>
      <c r="AQ45">
        <v>1991</v>
      </c>
      <c r="AR45" s="14"/>
      <c r="AS45" s="5"/>
      <c r="AT45" s="6"/>
      <c r="AU45" s="12"/>
      <c r="AV45" s="6"/>
      <c r="AW45" s="6"/>
      <c r="AX45">
        <v>1991</v>
      </c>
      <c r="BF45" s="27">
        <f>BO45</f>
        <v>0.42</v>
      </c>
      <c r="BI45" s="6"/>
      <c r="BM45" s="5"/>
      <c r="BO45" s="26">
        <v>0.42</v>
      </c>
      <c r="CB45" t="s">
        <v>55</v>
      </c>
      <c r="CC45" s="19">
        <v>1991</v>
      </c>
      <c r="CD45" s="12">
        <v>1454169</v>
      </c>
      <c r="CE45" s="5">
        <v>104533</v>
      </c>
      <c r="CF45" s="5">
        <v>54637</v>
      </c>
      <c r="CG45">
        <v>78</v>
      </c>
      <c r="CH45" s="5">
        <v>110837</v>
      </c>
      <c r="CI45">
        <v>0</v>
      </c>
      <c r="CJ45" s="5">
        <v>77737</v>
      </c>
      <c r="CK45" s="14">
        <v>1106348</v>
      </c>
      <c r="CL45" s="5">
        <f t="shared" si="42"/>
        <v>1454170</v>
      </c>
      <c r="CM45" s="5"/>
      <c r="CN45" s="41">
        <v>0.23899999999999999</v>
      </c>
      <c r="CT45">
        <v>1991</v>
      </c>
      <c r="CU45" s="5"/>
      <c r="CV45" s="5"/>
    </row>
    <row r="46" spans="1:112" x14ac:dyDescent="0.55000000000000004">
      <c r="A46" t="str">
        <f t="shared" si="36"/>
        <v>Grant</v>
      </c>
      <c r="B46">
        <f t="shared" si="4"/>
        <v>1992</v>
      </c>
      <c r="C46" s="36">
        <f t="shared" si="5"/>
        <v>757025</v>
      </c>
      <c r="D46" s="29">
        <f t="shared" si="63"/>
        <v>1415807.9091659964</v>
      </c>
      <c r="E46" s="26">
        <f t="shared" si="7"/>
        <v>0.6260593296915179</v>
      </c>
      <c r="F46" s="26" t="str">
        <f t="shared" si="8"/>
        <v>Grant</v>
      </c>
      <c r="G46" s="5">
        <f t="shared" si="37"/>
        <v>1035859</v>
      </c>
      <c r="H46" s="5">
        <f t="shared" si="9"/>
        <v>1415807.9091659964</v>
      </c>
      <c r="I46" s="26">
        <f t="shared" si="10"/>
        <v>0.31246929451189542</v>
      </c>
      <c r="J46" s="26">
        <f t="shared" si="54"/>
        <v>-0.17885280727430619</v>
      </c>
      <c r="K46">
        <v>1992</v>
      </c>
      <c r="L46" s="5">
        <v>757025</v>
      </c>
      <c r="M46" s="5" t="e">
        <f>NA()</f>
        <v>#N/A</v>
      </c>
      <c r="O46" t="str">
        <f t="shared" si="38"/>
        <v>Grant</v>
      </c>
      <c r="P46">
        <f t="shared" si="39"/>
        <v>1992</v>
      </c>
      <c r="Q46" s="35">
        <f>CK46</f>
        <v>1035859</v>
      </c>
      <c r="R46" s="39">
        <f t="shared" si="57"/>
        <v>1555718</v>
      </c>
      <c r="S46" s="57">
        <f t="shared" si="11"/>
        <v>0.3341601755588095</v>
      </c>
      <c r="T46" s="5"/>
      <c r="U46" s="5">
        <f t="shared" si="58"/>
        <v>553332.29999999993</v>
      </c>
      <c r="V46" s="5">
        <f t="shared" si="59"/>
        <v>749065.76771473442</v>
      </c>
      <c r="W46" s="5">
        <f t="shared" si="60"/>
        <v>113409.8414512618</v>
      </c>
      <c r="X46" s="5">
        <f t="shared" si="61"/>
        <v>0</v>
      </c>
      <c r="Y46" s="29">
        <f t="shared" si="15"/>
        <v>1415807.9091659964</v>
      </c>
      <c r="Z46" s="5">
        <f>$R49*$U$2</f>
        <v>553332.29999999993</v>
      </c>
      <c r="AA46" s="32">
        <f>$T50*$V$2</f>
        <v>749065.76771473442</v>
      </c>
      <c r="AB46" s="32">
        <f t="shared" ref="AB46:AB73" si="66">$T51*$W$2</f>
        <v>113409.8414512618</v>
      </c>
      <c r="AC46" s="32">
        <f t="shared" si="64"/>
        <v>0</v>
      </c>
      <c r="AD46" s="29">
        <f t="shared" si="65"/>
        <v>1415807.9091659964</v>
      </c>
      <c r="AE46" s="12">
        <f t="shared" si="17"/>
        <v>1992</v>
      </c>
      <c r="AF46" s="56">
        <f t="shared" si="18"/>
        <v>0.39082441651703226</v>
      </c>
      <c r="AG46" s="56">
        <f t="shared" si="19"/>
        <v>0.52907302103996812</v>
      </c>
      <c r="AH46" s="56">
        <f t="shared" si="20"/>
        <v>8.0102562442999514E-2</v>
      </c>
      <c r="AI46" s="56"/>
      <c r="AJ46" s="68">
        <f t="shared" si="21"/>
        <v>1992</v>
      </c>
      <c r="AK46" s="60">
        <f t="shared" si="45"/>
        <v>1552362.3730925554</v>
      </c>
      <c r="AL46" s="56">
        <f>CHOOSE(umethod,S46,retroU,MAX(0,cslope*(AK46-nlim)/AK46))</f>
        <v>0.3341601755588095</v>
      </c>
      <c r="AM46">
        <f t="shared" si="23"/>
        <v>1033624.689969057</v>
      </c>
      <c r="AN46" s="59">
        <f t="shared" si="55"/>
        <v>1414698.7314693341</v>
      </c>
      <c r="AO46" s="59">
        <f t="shared" si="24"/>
        <v>518737.68312349846</v>
      </c>
      <c r="AQ46">
        <v>1992</v>
      </c>
      <c r="AR46" s="14"/>
      <c r="AS46" s="5"/>
      <c r="AT46" s="6"/>
      <c r="AU46" s="12"/>
      <c r="AV46" s="6"/>
      <c r="AW46" s="6"/>
      <c r="AX46">
        <v>1992</v>
      </c>
      <c r="BF46" s="27">
        <f t="shared" ref="BF46:BF74" si="67">BO46</f>
        <v>0.53</v>
      </c>
      <c r="BI46" s="6"/>
      <c r="BM46" s="5"/>
      <c r="BO46" s="26">
        <v>0.53</v>
      </c>
      <c r="CB46" t="s">
        <v>55</v>
      </c>
      <c r="CC46" s="19">
        <v>1992</v>
      </c>
      <c r="CD46" s="12">
        <v>1555718</v>
      </c>
      <c r="CE46" s="5">
        <v>309541</v>
      </c>
      <c r="CF46" s="5">
        <v>48931</v>
      </c>
      <c r="CG46">
        <v>57</v>
      </c>
      <c r="CH46" s="5">
        <v>90015</v>
      </c>
      <c r="CI46">
        <v>0</v>
      </c>
      <c r="CJ46" s="5">
        <v>71317</v>
      </c>
      <c r="CK46" s="14">
        <v>1035859</v>
      </c>
      <c r="CL46" s="5">
        <f t="shared" si="42"/>
        <v>1555720</v>
      </c>
      <c r="CM46" s="5"/>
      <c r="CN46" s="41">
        <v>0.33400000000000002</v>
      </c>
      <c r="CT46">
        <v>1992</v>
      </c>
      <c r="CU46" s="5"/>
      <c r="CV46" s="5"/>
    </row>
    <row r="47" spans="1:112" x14ac:dyDescent="0.55000000000000004">
      <c r="A47" t="str">
        <f t="shared" si="36"/>
        <v>Grant</v>
      </c>
      <c r="B47">
        <f t="shared" si="4"/>
        <v>1993</v>
      </c>
      <c r="C47" s="36">
        <f t="shared" si="5"/>
        <v>788831</v>
      </c>
      <c r="D47" s="29">
        <f>M47</f>
        <v>1361315</v>
      </c>
      <c r="E47" s="26">
        <f t="shared" si="7"/>
        <v>0.54565432061770003</v>
      </c>
      <c r="F47" s="26" t="str">
        <f t="shared" si="8"/>
        <v>Grant</v>
      </c>
      <c r="G47" s="5">
        <f t="shared" si="37"/>
        <v>985479</v>
      </c>
      <c r="H47" s="5">
        <f t="shared" si="9"/>
        <v>1461959.9522844465</v>
      </c>
      <c r="I47" s="26">
        <f t="shared" si="10"/>
        <v>0.39440543013072316</v>
      </c>
      <c r="J47" s="26">
        <f t="shared" si="54"/>
        <v>-0.12793332625420883</v>
      </c>
      <c r="K47">
        <v>1993</v>
      </c>
      <c r="L47" s="5">
        <v>788831</v>
      </c>
      <c r="M47" s="31">
        <v>1361315</v>
      </c>
      <c r="O47" t="str">
        <f t="shared" si="38"/>
        <v>Grant</v>
      </c>
      <c r="P47">
        <f>AQ47</f>
        <v>1993</v>
      </c>
      <c r="Q47" s="35">
        <f t="shared" si="40"/>
        <v>985479</v>
      </c>
      <c r="R47" s="39">
        <f>CD47</f>
        <v>1476663</v>
      </c>
      <c r="S47" s="57">
        <f t="shared" si="11"/>
        <v>0.3326310742532318</v>
      </c>
      <c r="T47" s="5"/>
      <c r="U47" s="5">
        <f t="shared" si="58"/>
        <v>374532.88385736721</v>
      </c>
      <c r="V47" s="5">
        <f t="shared" si="59"/>
        <v>680459.04870757076</v>
      </c>
      <c r="W47" s="5">
        <f t="shared" si="60"/>
        <v>406968.01971950848</v>
      </c>
      <c r="X47" s="5">
        <f t="shared" si="61"/>
        <v>0</v>
      </c>
      <c r="Y47" s="29">
        <f>SUM(U47:X47)</f>
        <v>1461959.9522844465</v>
      </c>
      <c r="Z47" s="32">
        <f>$T50*$U$2</f>
        <v>374532.88385736721</v>
      </c>
      <c r="AA47" s="32">
        <f t="shared" ref="AA47:AA73" si="68">$T51*$V$2</f>
        <v>680459.04870757076</v>
      </c>
      <c r="AB47" s="32">
        <f t="shared" si="66"/>
        <v>406968.01971950848</v>
      </c>
      <c r="AC47" s="32">
        <f t="shared" si="64"/>
        <v>0</v>
      </c>
      <c r="AD47" s="29">
        <f t="shared" si="65"/>
        <v>1461959.9522844465</v>
      </c>
      <c r="AE47" s="12">
        <f t="shared" si="17"/>
        <v>1993</v>
      </c>
      <c r="AF47" s="56">
        <f t="shared" si="18"/>
        <v>0.25618546067019499</v>
      </c>
      <c r="AG47" s="56">
        <f t="shared" si="19"/>
        <v>0.46544301548362604</v>
      </c>
      <c r="AH47" s="56">
        <f t="shared" si="20"/>
        <v>0.27837152384617897</v>
      </c>
      <c r="AI47" s="56"/>
      <c r="AJ47" s="68">
        <f t="shared" si="21"/>
        <v>1993</v>
      </c>
      <c r="AK47" s="60">
        <f t="shared" si="45"/>
        <v>1474817.6983316527</v>
      </c>
      <c r="AL47" s="56">
        <f>CHOOSE(umethod,S47,retroU,MAX(0,cslope*(AK47-nlim)/AK47))</f>
        <v>0.3326310742532318</v>
      </c>
      <c r="AM47">
        <f t="shared" si="23"/>
        <v>984247.50300791627</v>
      </c>
      <c r="AN47" s="59">
        <f t="shared" si="55"/>
        <v>1461240.4820531586</v>
      </c>
      <c r="AO47" s="59">
        <f t="shared" si="24"/>
        <v>490570.19532373641</v>
      </c>
      <c r="AP47" t="s">
        <v>53</v>
      </c>
      <c r="AQ47" s="19">
        <v>1993</v>
      </c>
      <c r="AR47" s="14">
        <v>788831</v>
      </c>
      <c r="AS47" s="5">
        <f>AR47*BF47/(1-BF47)</f>
        <v>854566.91666666674</v>
      </c>
      <c r="AT47" s="6">
        <f>AS47/(AR47+AS47)</f>
        <v>0.52</v>
      </c>
      <c r="AU47" s="12">
        <f t="shared" si="46"/>
        <v>1643397.9166666667</v>
      </c>
      <c r="AV47" s="6">
        <f>(AU47-CD47)/CD47</f>
        <v>0.11291331648904777</v>
      </c>
      <c r="AW47" s="6"/>
      <c r="AX47">
        <v>1993</v>
      </c>
      <c r="BF47" s="27">
        <f t="shared" si="67"/>
        <v>0.52</v>
      </c>
      <c r="BI47" s="6"/>
      <c r="BM47" s="5"/>
      <c r="BO47" s="26">
        <v>0.52</v>
      </c>
      <c r="CB47" t="s">
        <v>55</v>
      </c>
      <c r="CC47">
        <v>1993</v>
      </c>
      <c r="CD47" s="12">
        <v>1476663</v>
      </c>
      <c r="CE47" s="5">
        <v>250194</v>
      </c>
      <c r="CF47" s="5">
        <v>26665</v>
      </c>
      <c r="CG47">
        <v>28</v>
      </c>
      <c r="CH47" s="5">
        <v>98891</v>
      </c>
      <c r="CI47">
        <v>0</v>
      </c>
      <c r="CJ47" s="5">
        <v>115406</v>
      </c>
      <c r="CK47" s="14">
        <v>985479</v>
      </c>
      <c r="CL47" s="5">
        <f t="shared" si="42"/>
        <v>1476663</v>
      </c>
      <c r="CM47" s="5"/>
      <c r="CN47" s="41">
        <v>0.33300000000000002</v>
      </c>
      <c r="CT47">
        <v>1993</v>
      </c>
      <c r="CU47" s="5">
        <v>788831</v>
      </c>
      <c r="CV47" s="5">
        <v>1361315</v>
      </c>
      <c r="CW47" s="6">
        <f t="shared" ref="CW47" si="69">(CU47-Q47)/Q47</f>
        <v>-0.19954560168202468</v>
      </c>
      <c r="CX47" s="6">
        <f t="shared" ref="CX47" si="70">(CV47-AD47)/AD47</f>
        <v>-6.8842482399862931E-2</v>
      </c>
    </row>
    <row r="48" spans="1:112" x14ac:dyDescent="0.55000000000000004">
      <c r="A48" t="str">
        <f t="shared" si="36"/>
        <v>Grant</v>
      </c>
      <c r="B48">
        <f t="shared" si="4"/>
        <v>1994</v>
      </c>
      <c r="C48" s="5">
        <f t="shared" ref="C48:C49" si="71">Q48</f>
        <v>1666079</v>
      </c>
      <c r="D48" s="29">
        <f t="shared" ref="D48:D71" si="72">M48</f>
        <v>3442899</v>
      </c>
      <c r="E48" s="26">
        <f t="shared" si="7"/>
        <v>0.72584088745574638</v>
      </c>
      <c r="F48" s="26" t="str">
        <f t="shared" si="8"/>
        <v>Grant</v>
      </c>
      <c r="G48" s="5">
        <f t="shared" si="37"/>
        <v>1666079</v>
      </c>
      <c r="H48" s="5">
        <f t="shared" si="9"/>
        <v>3090405.3720841995</v>
      </c>
      <c r="I48" s="26">
        <f t="shared" si="10"/>
        <v>0.61782930909398082</v>
      </c>
      <c r="J48" s="26">
        <f t="shared" si="54"/>
        <v>0.51450474722861816</v>
      </c>
      <c r="K48">
        <v>1994</v>
      </c>
      <c r="L48" s="5" t="e">
        <f>NA()</f>
        <v>#N/A</v>
      </c>
      <c r="M48" s="31">
        <v>3442899</v>
      </c>
      <c r="O48" t="str">
        <f t="shared" si="38"/>
        <v>Grant</v>
      </c>
      <c r="P48">
        <f t="shared" si="39"/>
        <v>1994</v>
      </c>
      <c r="Q48" s="35">
        <f t="shared" si="40"/>
        <v>1666079</v>
      </c>
      <c r="R48" s="39">
        <f t="shared" si="57"/>
        <v>2295288</v>
      </c>
      <c r="S48" s="57">
        <f t="shared" si="11"/>
        <v>0.2741307408917748</v>
      </c>
      <c r="T48" s="5"/>
      <c r="U48" s="5">
        <f>$R51*U$2</f>
        <v>340229.52435378538</v>
      </c>
      <c r="V48" s="5">
        <f>$R52*V$2</f>
        <v>2441808.1183170509</v>
      </c>
      <c r="W48" s="5">
        <f t="shared" si="60"/>
        <v>308367.72941336298</v>
      </c>
      <c r="X48" s="5">
        <f t="shared" si="61"/>
        <v>0</v>
      </c>
      <c r="Y48" s="29">
        <f>SUM(U48:X48)</f>
        <v>3090405.3720841995</v>
      </c>
      <c r="Z48" s="32">
        <f t="shared" ref="Z48:Z73" si="73">$T51*$U$2</f>
        <v>340229.52435378538</v>
      </c>
      <c r="AA48" s="32">
        <f t="shared" si="68"/>
        <v>2441808.1183170509</v>
      </c>
      <c r="AB48" s="32">
        <f t="shared" si="66"/>
        <v>308367.72941336298</v>
      </c>
      <c r="AC48" s="32">
        <f t="shared" si="64"/>
        <v>0</v>
      </c>
      <c r="AD48" s="29">
        <f t="shared" si="65"/>
        <v>3090405.3720841995</v>
      </c>
      <c r="AE48" s="12">
        <f t="shared" si="17"/>
        <v>1994</v>
      </c>
      <c r="AF48" s="56">
        <f t="shared" si="18"/>
        <v>0.11009219936876154</v>
      </c>
      <c r="AG48" s="56">
        <f t="shared" si="19"/>
        <v>0.79012550922090574</v>
      </c>
      <c r="AH48" s="56">
        <f t="shared" si="20"/>
        <v>9.978229141033261E-2</v>
      </c>
      <c r="AI48" s="56"/>
      <c r="AJ48" s="68">
        <f t="shared" si="21"/>
        <v>1994</v>
      </c>
      <c r="AK48" s="60">
        <f t="shared" si="45"/>
        <v>2292293.5496719992</v>
      </c>
      <c r="AL48" s="56">
        <f>CHOOSE(umethod,S48,retroU,MAX(0,cslope*(AK48-nlim)/AK48))</f>
        <v>0.2741307408917748</v>
      </c>
      <c r="AM48">
        <f t="shared" si="23"/>
        <v>1663905.4205589776</v>
      </c>
      <c r="AN48" s="59">
        <f t="shared" si="55"/>
        <v>3090506.4724208089</v>
      </c>
      <c r="AO48" s="59">
        <f t="shared" si="24"/>
        <v>628388.12911302154</v>
      </c>
      <c r="AP48" t="s">
        <v>53</v>
      </c>
      <c r="AQ48">
        <v>1994</v>
      </c>
      <c r="AR48" s="14"/>
      <c r="AS48" s="5"/>
      <c r="AT48" s="6">
        <f>BF48</f>
        <v>0.44</v>
      </c>
      <c r="AU48" s="12"/>
      <c r="AV48" s="6"/>
      <c r="AW48" s="6"/>
      <c r="AX48">
        <v>1994</v>
      </c>
      <c r="BF48" s="27">
        <f t="shared" si="67"/>
        <v>0.44</v>
      </c>
      <c r="BI48" s="6"/>
      <c r="BM48" s="5"/>
      <c r="BO48" s="26">
        <v>0.44</v>
      </c>
      <c r="CB48" t="s">
        <v>55</v>
      </c>
      <c r="CC48">
        <v>1994</v>
      </c>
      <c r="CD48" s="12">
        <v>2295288</v>
      </c>
      <c r="CE48" s="5">
        <v>335201</v>
      </c>
      <c r="CF48" s="5">
        <v>24576</v>
      </c>
      <c r="CG48">
        <v>0</v>
      </c>
      <c r="CH48" s="5">
        <v>54975</v>
      </c>
      <c r="CI48">
        <v>0</v>
      </c>
      <c r="CJ48" s="5">
        <v>214456</v>
      </c>
      <c r="CK48" s="14">
        <v>1666079</v>
      </c>
      <c r="CL48" s="5">
        <f t="shared" si="42"/>
        <v>2295287</v>
      </c>
      <c r="CM48" s="5"/>
      <c r="CN48" s="41">
        <v>0.27400000000000002</v>
      </c>
      <c r="CT48">
        <v>1994</v>
      </c>
      <c r="CU48" s="5"/>
      <c r="CV48" s="5"/>
      <c r="CW48" s="6"/>
      <c r="CX48" s="6"/>
      <c r="DH48" t="s">
        <v>78</v>
      </c>
    </row>
    <row r="49" spans="1:117" ht="28.8" x14ac:dyDescent="0.55000000000000004">
      <c r="A49" t="str">
        <f t="shared" si="36"/>
        <v>Grant</v>
      </c>
      <c r="B49">
        <f t="shared" si="4"/>
        <v>1995</v>
      </c>
      <c r="C49" s="5">
        <f t="shared" si="71"/>
        <v>1628542</v>
      </c>
      <c r="D49" s="29">
        <f t="shared" si="72"/>
        <v>3112653</v>
      </c>
      <c r="E49" s="26">
        <f t="shared" si="7"/>
        <v>0.64779028120275439</v>
      </c>
      <c r="F49" s="26" t="str">
        <f t="shared" si="8"/>
        <v>Grant</v>
      </c>
      <c r="G49" s="5">
        <f t="shared" si="37"/>
        <v>1628542</v>
      </c>
      <c r="H49" s="5">
        <f t="shared" si="9"/>
        <v>3153242.8250972875</v>
      </c>
      <c r="I49" s="26">
        <f t="shared" si="10"/>
        <v>0.66074625557688782</v>
      </c>
      <c r="J49" s="26">
        <f t="shared" si="54"/>
        <v>0.53431188498440052</v>
      </c>
      <c r="K49">
        <v>1995</v>
      </c>
      <c r="L49" s="5" t="e">
        <f>NA()</f>
        <v>#N/A</v>
      </c>
      <c r="M49" s="31">
        <v>3112653</v>
      </c>
      <c r="O49" t="str">
        <f t="shared" si="38"/>
        <v>Grant</v>
      </c>
      <c r="P49">
        <f t="shared" ref="P49:P76" si="74">AQ49</f>
        <v>1995</v>
      </c>
      <c r="Q49" s="35">
        <f>CK49</f>
        <v>1628542</v>
      </c>
      <c r="R49" s="39">
        <f t="shared" si="57"/>
        <v>1844441</v>
      </c>
      <c r="S49" s="57">
        <f t="shared" si="11"/>
        <v>0.1170538932934152</v>
      </c>
      <c r="T49" s="42" t="s">
        <v>83</v>
      </c>
      <c r="U49" s="5">
        <f>$R52*$U$2</f>
        <v>1220904.0591585254</v>
      </c>
      <c r="V49" s="5">
        <f>$R53*$V$2</f>
        <v>1850206.3764801777</v>
      </c>
      <c r="W49" s="5">
        <f>$R54*$W$2</f>
        <v>82132.389458584308</v>
      </c>
      <c r="X49" s="5">
        <f>$R55*$X$2</f>
        <v>0</v>
      </c>
      <c r="Y49" s="29">
        <f>SUM(U49:X49)</f>
        <v>3153242.8250972875</v>
      </c>
      <c r="Z49" s="32">
        <f t="shared" si="73"/>
        <v>1220904.0591585254</v>
      </c>
      <c r="AA49" s="32">
        <f t="shared" si="68"/>
        <v>1850206.3764801777</v>
      </c>
      <c r="AB49" s="32">
        <f t="shared" si="66"/>
        <v>82132.389458584308</v>
      </c>
      <c r="AC49" s="32">
        <f t="shared" si="64"/>
        <v>0</v>
      </c>
      <c r="AD49" s="29">
        <f t="shared" si="65"/>
        <v>3153242.8250972875</v>
      </c>
      <c r="AE49" s="12">
        <f t="shared" si="17"/>
        <v>1995</v>
      </c>
      <c r="AF49" s="56">
        <f t="shared" si="18"/>
        <v>0.38718999039373275</v>
      </c>
      <c r="AG49" s="56">
        <f t="shared" si="19"/>
        <v>0.58676304969411708</v>
      </c>
      <c r="AH49" s="56">
        <f t="shared" si="20"/>
        <v>2.6046959912150204E-2</v>
      </c>
      <c r="AI49" s="56"/>
      <c r="AJ49" s="68">
        <f t="shared" si="21"/>
        <v>1995</v>
      </c>
      <c r="AK49" s="60">
        <f t="shared" si="45"/>
        <v>1842445.1840150789</v>
      </c>
      <c r="AL49" s="56">
        <f>CHOOSE(umethod,S49,retroU,MAX(0,cslope*(AK49-nlim)/AK49))</f>
        <v>0.1170538932934152</v>
      </c>
      <c r="AM49">
        <f t="shared" si="23"/>
        <v>1626779.8020464112</v>
      </c>
      <c r="AN49" s="59">
        <f t="shared" si="55"/>
        <v>3153249.912465963</v>
      </c>
      <c r="AO49" s="59">
        <f t="shared" si="24"/>
        <v>215665.38196866773</v>
      </c>
      <c r="AP49" t="s">
        <v>53</v>
      </c>
      <c r="AQ49" s="19">
        <v>1995</v>
      </c>
      <c r="AR49" s="14"/>
      <c r="AS49" s="5"/>
      <c r="AT49" s="6">
        <f t="shared" ref="AT49" si="75">BF49</f>
        <v>0.28000000000000003</v>
      </c>
      <c r="AU49" s="12"/>
      <c r="AV49" s="6"/>
      <c r="AW49" s="6"/>
      <c r="AX49">
        <v>1995</v>
      </c>
      <c r="BF49" s="27">
        <f t="shared" si="67"/>
        <v>0.28000000000000003</v>
      </c>
      <c r="BI49" s="6"/>
      <c r="BM49" s="5"/>
      <c r="BO49" s="26">
        <v>0.28000000000000003</v>
      </c>
      <c r="CB49" t="s">
        <v>55</v>
      </c>
      <c r="CC49">
        <v>1995</v>
      </c>
      <c r="CD49" s="12">
        <v>1844441</v>
      </c>
      <c r="CE49" s="5">
        <v>94747</v>
      </c>
      <c r="CF49" s="5">
        <v>2224</v>
      </c>
      <c r="CG49">
        <v>507</v>
      </c>
      <c r="CH49" s="5">
        <v>31940</v>
      </c>
      <c r="CI49">
        <v>0</v>
      </c>
      <c r="CJ49" s="5">
        <v>86480</v>
      </c>
      <c r="CK49" s="14">
        <v>1628542</v>
      </c>
      <c r="CL49" s="5">
        <f t="shared" si="42"/>
        <v>1844440</v>
      </c>
      <c r="CM49" s="5"/>
      <c r="CN49" s="41">
        <v>0.11700000000000001</v>
      </c>
      <c r="CT49">
        <v>1995</v>
      </c>
      <c r="CU49" s="5"/>
      <c r="CV49" s="5"/>
      <c r="CW49" s="6"/>
      <c r="CX49" s="6"/>
      <c r="DF49" s="9" t="s">
        <v>1</v>
      </c>
      <c r="DG49" s="9" t="s">
        <v>67</v>
      </c>
      <c r="DH49" s="30" t="s">
        <v>30</v>
      </c>
      <c r="DI49" s="9" t="s">
        <v>32</v>
      </c>
      <c r="DJ49" s="9" t="s">
        <v>68</v>
      </c>
      <c r="DL49" s="33" t="s">
        <v>69</v>
      </c>
      <c r="DM49" s="9" t="s">
        <v>70</v>
      </c>
    </row>
    <row r="50" spans="1:117" x14ac:dyDescent="0.55000000000000004">
      <c r="A50" t="s">
        <v>73</v>
      </c>
      <c r="B50">
        <f t="shared" si="4"/>
        <v>1996</v>
      </c>
      <c r="C50" s="43">
        <f>L50</f>
        <v>1186180</v>
      </c>
      <c r="D50" s="31">
        <f t="shared" si="72"/>
        <v>1431408</v>
      </c>
      <c r="E50" s="26">
        <f t="shared" si="7"/>
        <v>0.18792051552344743</v>
      </c>
      <c r="F50" s="26" t="s">
        <v>82</v>
      </c>
      <c r="G50" s="5">
        <f>Q50</f>
        <v>1186180</v>
      </c>
      <c r="H50" s="5">
        <f t="shared" si="9"/>
        <v>1757511.260493631</v>
      </c>
      <c r="I50" s="26">
        <f t="shared" si="10"/>
        <v>0.39316069207370369</v>
      </c>
      <c r="J50" s="26">
        <f t="shared" si="54"/>
        <v>-5.6156666411252831E-3</v>
      </c>
      <c r="K50">
        <v>1996</v>
      </c>
      <c r="L50" s="43">
        <v>1186180</v>
      </c>
      <c r="M50" s="31">
        <v>1431408</v>
      </c>
      <c r="O50" t="str">
        <f t="shared" ref="O50:O76" si="76">AP50</f>
        <v>Brittany</v>
      </c>
      <c r="P50">
        <f t="shared" si="74"/>
        <v>1996</v>
      </c>
      <c r="Q50" s="5">
        <f t="shared" ref="Q50:Q76" si="77">AR50</f>
        <v>1186180</v>
      </c>
      <c r="R50" s="5">
        <f>AU50</f>
        <v>1248442.946191224</v>
      </c>
      <c r="S50" s="57">
        <f t="shared" si="11"/>
        <v>4.9872480261254348E-2</v>
      </c>
      <c r="T50" s="29">
        <f>R50</f>
        <v>1248442.946191224</v>
      </c>
      <c r="U50" s="5">
        <f>$R53*$U$2</f>
        <v>925103.18824008887</v>
      </c>
      <c r="V50" s="5">
        <f>$R54*$V$2</f>
        <v>492794.33675150573</v>
      </c>
      <c r="W50" s="5">
        <f>$R55*$W$2</f>
        <v>339613.73550203635</v>
      </c>
      <c r="X50" s="5">
        <f>$R56*$X$2</f>
        <v>0</v>
      </c>
      <c r="Y50" s="22">
        <f t="shared" ref="Y50:Y70" si="78">SUM(U50:X50)</f>
        <v>1757511.260493631</v>
      </c>
      <c r="Z50" s="32">
        <f t="shared" si="73"/>
        <v>925103.18824008887</v>
      </c>
      <c r="AA50" s="32">
        <f t="shared" si="68"/>
        <v>492794.33675150573</v>
      </c>
      <c r="AB50" s="32">
        <f t="shared" si="66"/>
        <v>339613.73550203635</v>
      </c>
      <c r="AC50" s="32">
        <f t="shared" si="64"/>
        <v>0</v>
      </c>
      <c r="AD50" s="12">
        <f t="shared" si="65"/>
        <v>1757511.260493631</v>
      </c>
      <c r="AE50" s="12">
        <f t="shared" si="17"/>
        <v>1996</v>
      </c>
      <c r="AF50" s="56">
        <f t="shared" si="18"/>
        <v>0.52637113003774194</v>
      </c>
      <c r="AG50" s="56">
        <f t="shared" si="19"/>
        <v>0.28039327418766857</v>
      </c>
      <c r="AH50" s="56">
        <f t="shared" si="20"/>
        <v>0.19323559577458937</v>
      </c>
      <c r="AI50" s="56"/>
      <c r="AJ50" s="68">
        <f t="shared" si="21"/>
        <v>1996</v>
      </c>
      <c r="AK50" s="60">
        <f t="shared" si="45"/>
        <v>1247525.1793623904</v>
      </c>
      <c r="AL50" s="56">
        <f>CHOOSE(umethod,S50,retroU,MAX(0,cslope*(AK50-nlim)/AK50))</f>
        <v>4.9872480261254348E-2</v>
      </c>
      <c r="AM50">
        <f t="shared" si="23"/>
        <v>1185308.0044792218</v>
      </c>
      <c r="AN50" s="59">
        <f t="shared" si="55"/>
        <v>1757162.3379765367</v>
      </c>
      <c r="AO50" s="59">
        <f t="shared" si="24"/>
        <v>62217.174883168656</v>
      </c>
      <c r="AP50" t="s">
        <v>53</v>
      </c>
      <c r="AQ50" s="19">
        <v>1996</v>
      </c>
      <c r="AR50" s="14">
        <v>1186180</v>
      </c>
      <c r="AS50" s="5">
        <f>AU50-AR50</f>
        <v>62262.946191224037</v>
      </c>
      <c r="AT50" s="41">
        <f>AS50/AU50</f>
        <v>4.9872480261254341E-2</v>
      </c>
      <c r="AU50" s="12">
        <v>1248442.946191224</v>
      </c>
      <c r="AV50" s="6">
        <f>(AU50-CD50)/CD50</f>
        <v>0.40842129593228443</v>
      </c>
      <c r="AW50" s="6"/>
      <c r="AX50">
        <v>1996</v>
      </c>
      <c r="BF50" s="27">
        <f t="shared" si="67"/>
        <v>0.27</v>
      </c>
      <c r="BI50" s="6"/>
      <c r="BM50" s="5"/>
      <c r="BO50" s="26">
        <v>0.27</v>
      </c>
      <c r="CB50" t="s">
        <v>55</v>
      </c>
      <c r="CC50">
        <v>1996</v>
      </c>
      <c r="CD50" s="12">
        <v>886413</v>
      </c>
      <c r="CE50" s="5">
        <v>24816</v>
      </c>
      <c r="CF50">
        <v>0</v>
      </c>
      <c r="CG50">
        <v>0</v>
      </c>
      <c r="CH50">
        <v>81</v>
      </c>
      <c r="CI50">
        <v>0</v>
      </c>
      <c r="CJ50" s="5">
        <v>16175</v>
      </c>
      <c r="CK50" s="14">
        <v>845342</v>
      </c>
      <c r="CL50" s="5">
        <f t="shared" si="42"/>
        <v>886414</v>
      </c>
      <c r="CM50" s="5"/>
      <c r="CN50" s="41">
        <v>4.5999999999999999E-2</v>
      </c>
      <c r="CT50">
        <v>1996</v>
      </c>
      <c r="CU50" s="5">
        <v>1186180</v>
      </c>
      <c r="CV50" s="5">
        <v>1431408</v>
      </c>
      <c r="CW50" s="6">
        <f t="shared" ref="CW50:CW71" si="79">(CU50-Q50)/Q50</f>
        <v>0</v>
      </c>
      <c r="CX50" s="6">
        <f t="shared" ref="CX50:CX71" si="80">(CV50-AD50)/AD50</f>
        <v>-0.18554831927622392</v>
      </c>
      <c r="DF50">
        <v>1996</v>
      </c>
      <c r="DG50" s="5">
        <v>1253503.3355702001</v>
      </c>
      <c r="DH50" s="29">
        <v>1123652.9428018699</v>
      </c>
      <c r="DI50" s="5">
        <f>DG50-DH50</f>
        <v>129850.39276833017</v>
      </c>
      <c r="DJ50" s="6">
        <f>DI50/DG50</f>
        <v>0.10358998582900711</v>
      </c>
      <c r="DL50" s="34">
        <f>(L50-DH50)/DG50</f>
        <v>4.9881843489221693E-2</v>
      </c>
      <c r="DM50" s="6">
        <f>(AT50-DJ50)/DJ50</f>
        <v>-0.51855886587746669</v>
      </c>
    </row>
    <row r="51" spans="1:117" x14ac:dyDescent="0.55000000000000004">
      <c r="A51" t="s">
        <v>73</v>
      </c>
      <c r="B51">
        <f t="shared" si="4"/>
        <v>1997</v>
      </c>
      <c r="C51" s="43">
        <f t="shared" ref="C51:C76" si="81">L51</f>
        <v>1045815</v>
      </c>
      <c r="D51" s="31">
        <f t="shared" si="72"/>
        <v>2858328</v>
      </c>
      <c r="E51" s="26">
        <f t="shared" si="7"/>
        <v>1.0054403527372759</v>
      </c>
      <c r="F51" s="26" t="s">
        <v>82</v>
      </c>
      <c r="G51" s="5">
        <f t="shared" ref="G51:G76" si="82">Q51</f>
        <v>1045815</v>
      </c>
      <c r="H51" s="5">
        <f t="shared" si="9"/>
        <v>2557187.9481640672</v>
      </c>
      <c r="I51" s="26">
        <f t="shared" si="10"/>
        <v>0.89411171124051547</v>
      </c>
      <c r="J51" s="26">
        <f t="shared" si="54"/>
        <v>0.40891906187958105</v>
      </c>
      <c r="K51">
        <v>1997</v>
      </c>
      <c r="L51" s="43">
        <v>1045815</v>
      </c>
      <c r="M51" s="31">
        <v>2858328</v>
      </c>
      <c r="O51" t="str">
        <f t="shared" si="76"/>
        <v>Brittany</v>
      </c>
      <c r="P51">
        <f t="shared" si="74"/>
        <v>1997</v>
      </c>
      <c r="Q51" s="5">
        <f t="shared" si="77"/>
        <v>1045815</v>
      </c>
      <c r="R51" s="5">
        <f t="shared" ref="R51:R71" si="83">AU51</f>
        <v>1134098.414512618</v>
      </c>
      <c r="S51" s="57">
        <f t="shared" si="11"/>
        <v>7.7844579785042778E-2</v>
      </c>
      <c r="T51" s="29">
        <f t="shared" ref="T51:T76" si="84">R51</f>
        <v>1134098.414512618</v>
      </c>
      <c r="U51" s="5">
        <f>$R54*$U$2</f>
        <v>246397.16837575287</v>
      </c>
      <c r="V51" s="5">
        <f>$R55*$V$2</f>
        <v>2037682.413012218</v>
      </c>
      <c r="W51" s="5">
        <f>$R56*$W$2</f>
        <v>270192.25280034391</v>
      </c>
      <c r="X51" s="31">
        <f>$R57*$DC57</f>
        <v>2916.1139757523961</v>
      </c>
      <c r="Y51" s="22">
        <f t="shared" si="78"/>
        <v>2557187.9481640672</v>
      </c>
      <c r="Z51" s="32">
        <f t="shared" si="73"/>
        <v>246397.16837575287</v>
      </c>
      <c r="AA51" s="32">
        <f t="shared" si="68"/>
        <v>2037682.413012218</v>
      </c>
      <c r="AB51" s="32">
        <f>$T56*$W$2</f>
        <v>270192.25280034391</v>
      </c>
      <c r="AC51" s="32">
        <f t="shared" si="64"/>
        <v>0</v>
      </c>
      <c r="AD51" s="12">
        <f t="shared" si="65"/>
        <v>2554271.8341883146</v>
      </c>
      <c r="AE51" s="12">
        <f t="shared" si="17"/>
        <v>1997</v>
      </c>
      <c r="AF51" s="56">
        <f t="shared" si="18"/>
        <v>9.6354735502587399E-2</v>
      </c>
      <c r="AG51" s="56">
        <f t="shared" si="19"/>
        <v>0.79684499313989487</v>
      </c>
      <c r="AH51" s="56">
        <f t="shared" si="20"/>
        <v>0.10565991169883637</v>
      </c>
      <c r="AI51" s="56"/>
      <c r="AJ51" s="68">
        <f t="shared" si="21"/>
        <v>1997</v>
      </c>
      <c r="AK51" s="60">
        <f t="shared" si="45"/>
        <v>1133685.8245013235</v>
      </c>
      <c r="AL51" s="56">
        <f>CHOOSE(umethod,S51,retroU,MAX(0,cslope*(AK51-nlim)/AK51))</f>
        <v>7.7844579785042778E-2</v>
      </c>
      <c r="AM51">
        <f t="shared" si="23"/>
        <v>1045434.5278847582</v>
      </c>
      <c r="AN51" s="59">
        <f t="shared" si="55"/>
        <v>2556856.4778380245</v>
      </c>
      <c r="AO51" s="59">
        <f t="shared" si="24"/>
        <v>88251.29661656532</v>
      </c>
      <c r="AP51" t="s">
        <v>53</v>
      </c>
      <c r="AQ51" s="19">
        <v>1997</v>
      </c>
      <c r="AR51" s="14">
        <v>1045815</v>
      </c>
      <c r="AS51" s="5">
        <f t="shared" ref="AS51:AS76" si="85">AU51-AR51</f>
        <v>88283.414512617979</v>
      </c>
      <c r="AT51" s="41">
        <f t="shared" ref="AT51:AT76" si="86">AS51/AU51</f>
        <v>7.784457978504275E-2</v>
      </c>
      <c r="AU51" s="12">
        <v>1134098.414512618</v>
      </c>
      <c r="AV51" s="6">
        <f t="shared" ref="AV51:AV60" si="87">(AU51-CD51)/CD51</f>
        <v>-0.32886158733977194</v>
      </c>
      <c r="AW51" s="6"/>
      <c r="AX51">
        <v>1997</v>
      </c>
      <c r="BF51" s="27">
        <f t="shared" si="67"/>
        <v>0.18</v>
      </c>
      <c r="BI51" s="6"/>
      <c r="BM51" s="5"/>
      <c r="BO51" s="26">
        <v>0.18</v>
      </c>
      <c r="CB51" t="s">
        <v>55</v>
      </c>
      <c r="CC51">
        <v>1997</v>
      </c>
      <c r="CD51" s="12">
        <v>1689813</v>
      </c>
      <c r="CE51" s="5">
        <v>38231</v>
      </c>
      <c r="CF51">
        <v>0</v>
      </c>
      <c r="CG51">
        <v>20</v>
      </c>
      <c r="CH51">
        <v>191</v>
      </c>
      <c r="CI51">
        <v>0</v>
      </c>
      <c r="CJ51" s="5">
        <v>31764</v>
      </c>
      <c r="CK51" s="14">
        <v>1619608</v>
      </c>
      <c r="CL51" s="5">
        <f t="shared" si="42"/>
        <v>1689814</v>
      </c>
      <c r="CM51" s="5"/>
      <c r="CN51" s="41">
        <v>4.2000000000000003E-2</v>
      </c>
      <c r="CT51">
        <v>1997</v>
      </c>
      <c r="CU51" s="5">
        <v>1045815</v>
      </c>
      <c r="CV51" s="5">
        <v>2858328</v>
      </c>
      <c r="CW51" s="6">
        <f t="shared" si="79"/>
        <v>0</v>
      </c>
      <c r="CX51" s="6">
        <f t="shared" si="80"/>
        <v>0.11903829566687722</v>
      </c>
      <c r="DF51">
        <v>1997</v>
      </c>
      <c r="DG51" s="5">
        <v>1137153.1204357899</v>
      </c>
      <c r="DH51" s="29">
        <v>955315.20151580998</v>
      </c>
      <c r="DI51" s="5">
        <f t="shared" ref="DI51:DI76" si="88">DG51-DH51</f>
        <v>181837.91891997994</v>
      </c>
      <c r="DJ51" s="6">
        <f t="shared" ref="DJ51:DJ76" si="89">DI51/DG51</f>
        <v>0.15990627440770194</v>
      </c>
      <c r="DL51" s="34">
        <f t="shared" ref="DL51:DL76" si="90">(L51-DH51)/DG51</f>
        <v>7.9584531632387268E-2</v>
      </c>
      <c r="DM51" s="6">
        <f t="shared" ref="DM51:DM76" si="91">(AT51-DJ51)/DJ51</f>
        <v>-0.51318620814985771</v>
      </c>
    </row>
    <row r="52" spans="1:117" x14ac:dyDescent="0.55000000000000004">
      <c r="A52" t="s">
        <v>73</v>
      </c>
      <c r="B52">
        <f t="shared" si="4"/>
        <v>1998</v>
      </c>
      <c r="C52" s="43">
        <f t="shared" si="81"/>
        <v>3561043</v>
      </c>
      <c r="D52" s="31">
        <f t="shared" si="72"/>
        <v>2785129</v>
      </c>
      <c r="E52" s="26">
        <f t="shared" si="7"/>
        <v>-0.24575928760684423</v>
      </c>
      <c r="F52" s="26" t="s">
        <v>82</v>
      </c>
      <c r="G52" s="5">
        <f t="shared" si="82"/>
        <v>3561043</v>
      </c>
      <c r="H52" s="5">
        <f t="shared" si="9"/>
        <v>2766941.9917605631</v>
      </c>
      <c r="I52" s="26">
        <f t="shared" si="10"/>
        <v>-0.25231074320517038</v>
      </c>
      <c r="J52" s="26">
        <f t="shared" si="54"/>
        <v>0.81100709002729454</v>
      </c>
      <c r="K52">
        <v>1998</v>
      </c>
      <c r="L52" s="43">
        <v>3561043</v>
      </c>
      <c r="M52" s="31">
        <v>2785129</v>
      </c>
      <c r="O52" t="str">
        <f t="shared" si="76"/>
        <v>Brittany</v>
      </c>
      <c r="P52">
        <f t="shared" si="74"/>
        <v>1998</v>
      </c>
      <c r="Q52" s="5">
        <f t="shared" si="77"/>
        <v>3561043</v>
      </c>
      <c r="R52" s="5">
        <f t="shared" si="83"/>
        <v>4069680.1971950848</v>
      </c>
      <c r="S52" s="57">
        <f t="shared" si="11"/>
        <v>0.12498210487046357</v>
      </c>
      <c r="T52" s="29">
        <f t="shared" si="84"/>
        <v>4069680.1971950848</v>
      </c>
      <c r="U52" s="5">
        <f>$R55*$U$2</f>
        <v>1018841.206506109</v>
      </c>
      <c r="V52" s="5">
        <f>$R56*$V$2</f>
        <v>1621153.5168020632</v>
      </c>
      <c r="W52" s="31">
        <f>$R57*$DB57</f>
        <v>122476.78698160063</v>
      </c>
      <c r="X52" s="31">
        <f t="shared" ref="X52:X76" si="92">$R58*DC58</f>
        <v>4470.4814707902096</v>
      </c>
      <c r="Y52" s="22">
        <f t="shared" si="78"/>
        <v>2766941.9917605631</v>
      </c>
      <c r="Z52" s="32">
        <f t="shared" si="73"/>
        <v>1018841.206506109</v>
      </c>
      <c r="AA52" s="32">
        <f t="shared" si="68"/>
        <v>1621153.5168020632</v>
      </c>
      <c r="AB52" s="32">
        <f t="shared" si="66"/>
        <v>200628.64153176488</v>
      </c>
      <c r="AC52" s="32">
        <f t="shared" si="64"/>
        <v>0</v>
      </c>
      <c r="AD52" s="12">
        <f t="shared" si="65"/>
        <v>2840623.3648399371</v>
      </c>
      <c r="AE52" s="12">
        <f t="shared" si="17"/>
        <v>1998</v>
      </c>
      <c r="AF52" s="56">
        <f t="shared" si="18"/>
        <v>0.36821921440349237</v>
      </c>
      <c r="AG52" s="56">
        <f t="shared" si="19"/>
        <v>0.58590079648563498</v>
      </c>
      <c r="AH52" s="56">
        <f t="shared" si="20"/>
        <v>4.4264313218821953E-2</v>
      </c>
      <c r="AI52" s="56"/>
      <c r="AJ52" s="68">
        <f t="shared" si="21"/>
        <v>1998</v>
      </c>
      <c r="AK52" s="60">
        <f t="shared" si="45"/>
        <v>4069562.5432835938</v>
      </c>
      <c r="AL52" s="56">
        <f>CHOOSE(umethod,S52,retroU,MAX(0,cslope*(AK52-nlim)/AK52))</f>
        <v>0.12498210487046357</v>
      </c>
      <c r="AM52">
        <f t="shared" si="23"/>
        <v>3560940.0507220132</v>
      </c>
      <c r="AN52" s="59">
        <f t="shared" si="55"/>
        <v>2767037.3722820883</v>
      </c>
      <c r="AO52" s="59">
        <f t="shared" si="24"/>
        <v>508622.49256158061</v>
      </c>
      <c r="AP52" t="s">
        <v>53</v>
      </c>
      <c r="AQ52" s="19">
        <v>1998</v>
      </c>
      <c r="AR52" s="14">
        <v>3561043</v>
      </c>
      <c r="AS52" s="5">
        <f t="shared" si="85"/>
        <v>508637.19719508477</v>
      </c>
      <c r="AT52" s="41">
        <f t="shared" si="86"/>
        <v>0.12498210487046353</v>
      </c>
      <c r="AU52" s="12">
        <v>4069680.1971950848</v>
      </c>
      <c r="AV52" s="6">
        <f t="shared" si="87"/>
        <v>-5.7344078121006094E-3</v>
      </c>
      <c r="AW52" s="6"/>
      <c r="AX52">
        <v>1998</v>
      </c>
      <c r="BF52" s="27">
        <f t="shared" si="67"/>
        <v>0.36</v>
      </c>
      <c r="BI52" s="6"/>
      <c r="BM52" s="5"/>
      <c r="BO52" s="26">
        <v>0.36</v>
      </c>
      <c r="CB52" t="s">
        <v>55</v>
      </c>
      <c r="CC52">
        <v>1998</v>
      </c>
      <c r="CD52" s="12">
        <v>4093152</v>
      </c>
      <c r="CE52" s="5">
        <v>334938</v>
      </c>
      <c r="CF52" s="5">
        <v>80296</v>
      </c>
      <c r="CG52">
        <v>0</v>
      </c>
      <c r="CH52" s="5">
        <v>26006</v>
      </c>
      <c r="CI52">
        <v>0</v>
      </c>
      <c r="CJ52" s="5">
        <v>28281</v>
      </c>
      <c r="CK52" s="14">
        <v>3623631</v>
      </c>
      <c r="CL52" s="5">
        <f t="shared" si="42"/>
        <v>4093152</v>
      </c>
      <c r="CM52" s="5"/>
      <c r="CN52" s="41">
        <v>0.115</v>
      </c>
      <c r="CT52">
        <v>1998</v>
      </c>
      <c r="CU52" s="5">
        <v>3561043</v>
      </c>
      <c r="CV52" s="5">
        <v>2785129</v>
      </c>
      <c r="CW52" s="6">
        <f t="shared" si="79"/>
        <v>0</v>
      </c>
      <c r="CX52" s="6">
        <f t="shared" si="80"/>
        <v>-1.9535981266233109E-2</v>
      </c>
      <c r="DF52">
        <v>1998</v>
      </c>
      <c r="DG52" s="5">
        <v>4085678.7589310301</v>
      </c>
      <c r="DH52" s="29">
        <v>3384399.7947341399</v>
      </c>
      <c r="DI52" s="5">
        <f t="shared" si="88"/>
        <v>701278.96419689013</v>
      </c>
      <c r="DJ52" s="6">
        <f t="shared" si="89"/>
        <v>0.17164319702422506</v>
      </c>
      <c r="DL52" s="34">
        <f t="shared" si="90"/>
        <v>4.3234726880993626E-2</v>
      </c>
      <c r="DM52" s="6">
        <f t="shared" si="91"/>
        <v>-0.27184935355856815</v>
      </c>
    </row>
    <row r="53" spans="1:117" x14ac:dyDescent="0.55000000000000004">
      <c r="A53" t="s">
        <v>73</v>
      </c>
      <c r="B53">
        <f t="shared" si="4"/>
        <v>1999</v>
      </c>
      <c r="C53" s="43">
        <f t="shared" si="81"/>
        <v>2987256</v>
      </c>
      <c r="D53" s="31">
        <f t="shared" si="72"/>
        <v>2232718</v>
      </c>
      <c r="E53" s="26">
        <f t="shared" si="7"/>
        <v>-0.29113556290450376</v>
      </c>
      <c r="F53" s="26" t="s">
        <v>82</v>
      </c>
      <c r="G53" s="5">
        <f t="shared" si="82"/>
        <v>2987256</v>
      </c>
      <c r="H53" s="5">
        <f t="shared" si="9"/>
        <v>3598370.8542432808</v>
      </c>
      <c r="I53" s="26">
        <f t="shared" si="10"/>
        <v>0.18612596226474895</v>
      </c>
      <c r="J53" s="26">
        <f t="shared" si="54"/>
        <v>0.89618946456744586</v>
      </c>
      <c r="K53">
        <v>1999</v>
      </c>
      <c r="L53" s="43">
        <v>2987256</v>
      </c>
      <c r="M53" s="31">
        <v>2232718</v>
      </c>
      <c r="O53" t="str">
        <f t="shared" si="76"/>
        <v>Brittany</v>
      </c>
      <c r="P53">
        <f t="shared" si="74"/>
        <v>1999</v>
      </c>
      <c r="Q53" s="5">
        <f t="shared" si="77"/>
        <v>2987256</v>
      </c>
      <c r="R53" s="5">
        <f t="shared" si="83"/>
        <v>3083677.2941336296</v>
      </c>
      <c r="S53" s="57">
        <f t="shared" si="11"/>
        <v>3.1268282941623315E-2</v>
      </c>
      <c r="T53" s="29">
        <f t="shared" si="84"/>
        <v>3083677.2941336296</v>
      </c>
      <c r="U53" s="5">
        <f>$R56*$U$2</f>
        <v>810576.75840103161</v>
      </c>
      <c r="V53" s="31">
        <f>$R57*$DA57</f>
        <v>1825487.348821</v>
      </c>
      <c r="W53" s="31">
        <f t="shared" ref="W53:W76" si="93">$R58*DB58</f>
        <v>952212.55327831465</v>
      </c>
      <c r="X53" s="31">
        <f t="shared" si="92"/>
        <v>10094.19374293412</v>
      </c>
      <c r="Y53" s="22">
        <f t="shared" si="78"/>
        <v>3598370.8542432808</v>
      </c>
      <c r="Z53" s="32">
        <f t="shared" si="73"/>
        <v>810576.75840103161</v>
      </c>
      <c r="AA53" s="32">
        <f t="shared" si="68"/>
        <v>1203771.849190589</v>
      </c>
      <c r="AB53" s="32">
        <f t="shared" si="66"/>
        <v>335286.11030926579</v>
      </c>
      <c r="AC53" s="32">
        <f t="shared" si="64"/>
        <v>0</v>
      </c>
      <c r="AD53" s="12">
        <f t="shared" si="65"/>
        <v>2349634.7179008862</v>
      </c>
      <c r="AE53" s="12">
        <f t="shared" si="17"/>
        <v>1999</v>
      </c>
      <c r="AF53" s="56">
        <f t="shared" si="18"/>
        <v>0.22526215091064919</v>
      </c>
      <c r="AG53" s="56">
        <f t="shared" si="19"/>
        <v>0.5073093971590904</v>
      </c>
      <c r="AH53" s="56">
        <f t="shared" si="20"/>
        <v>0.26462323975180158</v>
      </c>
      <c r="AI53" s="56"/>
      <c r="AJ53" s="68">
        <f t="shared" si="21"/>
        <v>1999</v>
      </c>
      <c r="AK53" s="60">
        <f t="shared" si="45"/>
        <v>3083507.8780233189</v>
      </c>
      <c r="AL53" s="56">
        <f>CHOOSE(umethod,S53,retroU,MAX(0,cslope*(AK53-nlim)/AK53))</f>
        <v>3.1268282941623315E-2</v>
      </c>
      <c r="AM53">
        <f t="shared" si="23"/>
        <v>2987091.8812405611</v>
      </c>
      <c r="AN53" s="59">
        <f t="shared" si="55"/>
        <v>3598536.7402449087</v>
      </c>
      <c r="AO53" s="59">
        <f t="shared" si="24"/>
        <v>96415.996782757808</v>
      </c>
      <c r="AP53" t="s">
        <v>53</v>
      </c>
      <c r="AQ53" s="19">
        <v>1999</v>
      </c>
      <c r="AR53" s="14">
        <v>2987256</v>
      </c>
      <c r="AS53" s="5">
        <f t="shared" si="85"/>
        <v>96421.29413362965</v>
      </c>
      <c r="AT53" s="41">
        <f t="shared" si="86"/>
        <v>3.1268282941623295E-2</v>
      </c>
      <c r="AU53" s="12">
        <v>3083677.2941336296</v>
      </c>
      <c r="AV53" s="6">
        <f t="shared" si="87"/>
        <v>9.4269835674766992E-3</v>
      </c>
      <c r="AW53" s="6"/>
      <c r="AX53">
        <v>1999</v>
      </c>
      <c r="BF53" s="27">
        <f t="shared" si="67"/>
        <v>0.15</v>
      </c>
      <c r="BI53" s="6"/>
      <c r="BM53" s="5"/>
      <c r="BO53" s="26">
        <v>0.15</v>
      </c>
      <c r="CB53" t="s">
        <v>55</v>
      </c>
      <c r="CC53">
        <v>1999</v>
      </c>
      <c r="CD53" s="12">
        <v>3054879</v>
      </c>
      <c r="CE53" s="5">
        <v>15202</v>
      </c>
      <c r="CF53">
        <v>0</v>
      </c>
      <c r="CG53">
        <v>0</v>
      </c>
      <c r="CH53">
        <v>71</v>
      </c>
      <c r="CI53">
        <v>0</v>
      </c>
      <c r="CJ53" s="5">
        <v>54640</v>
      </c>
      <c r="CK53" s="14">
        <v>2984966</v>
      </c>
      <c r="CL53" s="5">
        <f t="shared" si="42"/>
        <v>3054879</v>
      </c>
      <c r="CM53" s="5"/>
      <c r="CN53" s="41">
        <v>2.3E-2</v>
      </c>
      <c r="CT53">
        <v>1999</v>
      </c>
      <c r="CU53" s="5">
        <v>2987256</v>
      </c>
      <c r="CV53" s="5">
        <v>2232718</v>
      </c>
      <c r="CW53" s="6">
        <f t="shared" si="79"/>
        <v>0</v>
      </c>
      <c r="CX53" s="6">
        <f t="shared" si="80"/>
        <v>-4.9759529432446041E-2</v>
      </c>
      <c r="DF53">
        <v>1999</v>
      </c>
      <c r="DG53" s="5">
        <v>3086172.18647613</v>
      </c>
      <c r="DH53" s="29">
        <v>2774503.6118896301</v>
      </c>
      <c r="DI53" s="5">
        <f t="shared" si="88"/>
        <v>311668.57458649995</v>
      </c>
      <c r="DJ53" s="6">
        <f t="shared" si="89"/>
        <v>0.10098871863088464</v>
      </c>
      <c r="DL53" s="34">
        <f t="shared" si="90"/>
        <v>6.8937303317899448E-2</v>
      </c>
      <c r="DM53" s="6">
        <f t="shared" si="91"/>
        <v>-0.69037845646988183</v>
      </c>
    </row>
    <row r="54" spans="1:117" x14ac:dyDescent="0.55000000000000004">
      <c r="A54" t="s">
        <v>73</v>
      </c>
      <c r="B54">
        <f t="shared" si="4"/>
        <v>2000</v>
      </c>
      <c r="C54" s="43">
        <f t="shared" si="81"/>
        <v>699976</v>
      </c>
      <c r="D54" s="31">
        <f t="shared" si="72"/>
        <v>2988615</v>
      </c>
      <c r="E54" s="26">
        <f t="shared" si="7"/>
        <v>1.4515192996258222</v>
      </c>
      <c r="F54" s="26" t="s">
        <v>82</v>
      </c>
      <c r="G54" s="5">
        <f t="shared" si="82"/>
        <v>699976</v>
      </c>
      <c r="H54" s="5">
        <f t="shared" si="9"/>
        <v>2282485.9433021657</v>
      </c>
      <c r="I54" s="26">
        <f t="shared" si="10"/>
        <v>1.1819744052431649</v>
      </c>
      <c r="J54" s="26">
        <f t="shared" si="54"/>
        <v>0.48386455044812315</v>
      </c>
      <c r="K54">
        <v>2000</v>
      </c>
      <c r="L54" s="43">
        <v>699976</v>
      </c>
      <c r="M54" s="31">
        <v>2988615</v>
      </c>
      <c r="O54" t="str">
        <f t="shared" si="76"/>
        <v>Brittany</v>
      </c>
      <c r="P54">
        <f t="shared" si="74"/>
        <v>2000</v>
      </c>
      <c r="Q54" s="5">
        <f t="shared" si="77"/>
        <v>699976</v>
      </c>
      <c r="R54" s="5">
        <f t="shared" si="83"/>
        <v>821323.89458584297</v>
      </c>
      <c r="S54" s="57">
        <f t="shared" si="11"/>
        <v>0.147746699427311</v>
      </c>
      <c r="T54" s="29">
        <f t="shared" si="84"/>
        <v>821323.89458584297</v>
      </c>
      <c r="U54" s="31">
        <f>$R57*$CZ57</f>
        <v>55406.165539295529</v>
      </c>
      <c r="V54" s="31">
        <f t="shared" ref="V54:V76" si="94">$R58*DA58</f>
        <v>1926777.5139105804</v>
      </c>
      <c r="W54" s="31">
        <f t="shared" si="93"/>
        <v>300302.26385229005</v>
      </c>
      <c r="X54" s="31">
        <f t="shared" si="92"/>
        <v>0</v>
      </c>
      <c r="Y54" s="22">
        <f t="shared" si="78"/>
        <v>2282485.9433021657</v>
      </c>
      <c r="Z54" s="32">
        <f t="shared" si="73"/>
        <v>601885.92459529452</v>
      </c>
      <c r="AA54" s="32">
        <f t="shared" si="68"/>
        <v>2011716.6618555943</v>
      </c>
      <c r="AB54" s="32">
        <f t="shared" si="66"/>
        <v>180433.71315494739</v>
      </c>
      <c r="AC54" s="32">
        <f t="shared" si="64"/>
        <v>0</v>
      </c>
      <c r="AD54" s="12">
        <f t="shared" si="65"/>
        <v>2794036.2996058362</v>
      </c>
      <c r="AE54" s="12">
        <f t="shared" si="17"/>
        <v>2000</v>
      </c>
      <c r="AF54" s="56">
        <f t="shared" si="18"/>
        <v>2.427448269807838E-2</v>
      </c>
      <c r="AG54" s="56">
        <f t="shared" si="19"/>
        <v>0.84415745015412125</v>
      </c>
      <c r="AH54" s="56">
        <f t="shared" si="20"/>
        <v>0.13156806714780048</v>
      </c>
      <c r="AI54" s="56"/>
      <c r="AJ54" s="68">
        <f t="shared" si="21"/>
        <v>2000</v>
      </c>
      <c r="AK54" s="60">
        <f t="shared" si="45"/>
        <v>821194.304927652</v>
      </c>
      <c r="AL54" s="56">
        <f>CHOOSE(umethod,S54,retroU,MAX(0,cslope*(AK54-nlim)/AK54))</f>
        <v>0.147746699427311</v>
      </c>
      <c r="AM54">
        <f t="shared" si="23"/>
        <v>699865.55678608664</v>
      </c>
      <c r="AN54" s="59">
        <f t="shared" si="55"/>
        <v>2282280.9874157952</v>
      </c>
      <c r="AO54" s="59">
        <f t="shared" si="24"/>
        <v>121328.74814156536</v>
      </c>
      <c r="AP54" t="s">
        <v>53</v>
      </c>
      <c r="AQ54" s="19">
        <v>2000</v>
      </c>
      <c r="AR54" s="14">
        <v>699976</v>
      </c>
      <c r="AS54" s="5">
        <f t="shared" si="85"/>
        <v>121347.89458584297</v>
      </c>
      <c r="AT54" s="41">
        <f t="shared" si="86"/>
        <v>0.14774669942731095</v>
      </c>
      <c r="AU54" s="12">
        <v>821323.89458584297</v>
      </c>
      <c r="AV54" s="6">
        <f t="shared" si="87"/>
        <v>1.8010685003269692E-2</v>
      </c>
      <c r="AW54" s="6"/>
      <c r="AX54">
        <v>2000</v>
      </c>
      <c r="BF54" s="27">
        <f t="shared" si="67"/>
        <v>0.31</v>
      </c>
      <c r="BI54" s="6"/>
      <c r="BM54" s="5"/>
      <c r="BO54" s="26">
        <v>0.31</v>
      </c>
      <c r="CB54" t="s">
        <v>55</v>
      </c>
      <c r="CC54">
        <v>2000</v>
      </c>
      <c r="CD54" s="12">
        <v>806793</v>
      </c>
      <c r="CE54" s="5">
        <v>59602</v>
      </c>
      <c r="CF54">
        <v>17</v>
      </c>
      <c r="CG54">
        <v>4</v>
      </c>
      <c r="CH54">
        <v>243</v>
      </c>
      <c r="CI54">
        <v>0</v>
      </c>
      <c r="CJ54" s="5">
        <v>24188</v>
      </c>
      <c r="CK54" s="14">
        <v>722739</v>
      </c>
      <c r="CL54" s="5">
        <f t="shared" si="42"/>
        <v>806793</v>
      </c>
      <c r="CM54" s="5"/>
      <c r="CN54" s="41">
        <v>0.104</v>
      </c>
      <c r="CT54">
        <v>2000</v>
      </c>
      <c r="CU54" s="5">
        <v>699976</v>
      </c>
      <c r="CV54" s="5">
        <v>2988615</v>
      </c>
      <c r="CW54" s="6">
        <f t="shared" si="79"/>
        <v>0</v>
      </c>
      <c r="CX54" s="6">
        <f t="shared" si="80"/>
        <v>6.9640720280410712E-2</v>
      </c>
      <c r="DF54">
        <v>2000</v>
      </c>
      <c r="DG54" s="5">
        <v>813977.815497573</v>
      </c>
      <c r="DH54" s="29">
        <v>697074.96151265095</v>
      </c>
      <c r="DI54" s="5">
        <f t="shared" si="88"/>
        <v>116902.85398492205</v>
      </c>
      <c r="DJ54" s="6">
        <f t="shared" si="89"/>
        <v>0.14361921388909232</v>
      </c>
      <c r="DL54" s="34">
        <f t="shared" si="90"/>
        <v>3.5640264785050577E-3</v>
      </c>
      <c r="DM54" s="6">
        <f t="shared" si="91"/>
        <v>2.8739090170804085E-2</v>
      </c>
    </row>
    <row r="55" spans="1:117" x14ac:dyDescent="0.55000000000000004">
      <c r="A55" t="s">
        <v>73</v>
      </c>
      <c r="B55">
        <f t="shared" si="4"/>
        <v>2001</v>
      </c>
      <c r="C55" s="43">
        <f t="shared" si="81"/>
        <v>3151893</v>
      </c>
      <c r="D55" s="31">
        <f t="shared" si="72"/>
        <v>2160110</v>
      </c>
      <c r="E55" s="26">
        <f t="shared" si="7"/>
        <v>-0.37784407839360423</v>
      </c>
      <c r="F55" s="26" t="s">
        <v>82</v>
      </c>
      <c r="G55" s="5">
        <f t="shared" si="82"/>
        <v>3151893</v>
      </c>
      <c r="H55" s="5">
        <f t="shared" si="9"/>
        <v>1868662.078775011</v>
      </c>
      <c r="I55" s="26">
        <f t="shared" si="10"/>
        <v>-0.52278051581601337</v>
      </c>
      <c r="J55" s="26">
        <f t="shared" si="54"/>
        <v>0.28864243394939038</v>
      </c>
      <c r="K55">
        <v>2001</v>
      </c>
      <c r="L55" s="43">
        <v>3151893</v>
      </c>
      <c r="M55" s="31">
        <v>2160110</v>
      </c>
      <c r="O55" t="str">
        <f t="shared" si="76"/>
        <v>Brittany</v>
      </c>
      <c r="P55">
        <f t="shared" si="74"/>
        <v>2001</v>
      </c>
      <c r="Q55" s="5">
        <f t="shared" si="77"/>
        <v>3151893</v>
      </c>
      <c r="R55" s="5">
        <f t="shared" si="83"/>
        <v>3396137.3550203633</v>
      </c>
      <c r="S55" s="57">
        <f t="shared" si="11"/>
        <v>7.1918279353250347E-2</v>
      </c>
      <c r="T55" s="29">
        <f t="shared" si="84"/>
        <v>3396137.3550203633</v>
      </c>
      <c r="U55" s="31">
        <f t="shared" ref="U55:U76" si="95">$R58*CZ58</f>
        <v>469400.5544329721</v>
      </c>
      <c r="V55" s="31">
        <f t="shared" si="94"/>
        <v>1332433.5740673039</v>
      </c>
      <c r="W55" s="31">
        <f t="shared" si="93"/>
        <v>66827.950274735049</v>
      </c>
      <c r="X55" s="31">
        <f t="shared" si="92"/>
        <v>0</v>
      </c>
      <c r="Y55" s="22">
        <f t="shared" si="78"/>
        <v>1868662.078775011</v>
      </c>
      <c r="Z55" s="32">
        <f t="shared" si="73"/>
        <v>1005858.3309277971</v>
      </c>
      <c r="AA55" s="32">
        <f t="shared" si="68"/>
        <v>1082602.2789296843</v>
      </c>
      <c r="AB55" s="32">
        <f t="shared" si="66"/>
        <v>268366.97926117288</v>
      </c>
      <c r="AC55" s="32">
        <f t="shared" si="64"/>
        <v>0</v>
      </c>
      <c r="AD55" s="12">
        <f t="shared" si="65"/>
        <v>2356827.5891186544</v>
      </c>
      <c r="AE55" s="12">
        <f t="shared" si="17"/>
        <v>2001</v>
      </c>
      <c r="AF55" s="56">
        <f t="shared" si="18"/>
        <v>0.25119606148409912</v>
      </c>
      <c r="AG55" s="56">
        <f t="shared" si="19"/>
        <v>0.71304147989173727</v>
      </c>
      <c r="AH55" s="56">
        <f t="shared" si="20"/>
        <v>3.5762458624163697E-2</v>
      </c>
      <c r="AI55" s="56"/>
      <c r="AJ55" s="68">
        <f t="shared" si="21"/>
        <v>2001</v>
      </c>
      <c r="AK55" s="60">
        <f t="shared" si="45"/>
        <v>3395840.9212409169</v>
      </c>
      <c r="AL55" s="56">
        <f>CHOOSE(umethod,S55,retroU,MAX(0,cslope*(AK55-nlim)/AK55))</f>
        <v>7.1918279353250347E-2</v>
      </c>
      <c r="AM55">
        <f t="shared" si="23"/>
        <v>3151617.8852279135</v>
      </c>
      <c r="AN55" s="59">
        <f t="shared" si="55"/>
        <v>1868815.476374689</v>
      </c>
      <c r="AO55" s="59">
        <f t="shared" si="24"/>
        <v>244223.03601300344</v>
      </c>
      <c r="AP55" t="s">
        <v>53</v>
      </c>
      <c r="AQ55" s="19">
        <v>2001</v>
      </c>
      <c r="AR55" s="14">
        <v>3151893</v>
      </c>
      <c r="AS55" s="5">
        <f t="shared" si="85"/>
        <v>244244.35502036335</v>
      </c>
      <c r="AT55" s="41">
        <f t="shared" si="86"/>
        <v>7.1918279353250375E-2</v>
      </c>
      <c r="AU55" s="12">
        <v>3396137.3550203633</v>
      </c>
      <c r="AV55" s="6">
        <f t="shared" si="87"/>
        <v>-1.1710310667469729E-3</v>
      </c>
      <c r="AW55" s="6"/>
      <c r="AX55">
        <v>2001</v>
      </c>
      <c r="BF55" s="27">
        <f t="shared" si="67"/>
        <v>0.32</v>
      </c>
      <c r="BI55" s="6"/>
      <c r="BM55" s="5"/>
      <c r="BO55" s="26">
        <v>0.32</v>
      </c>
      <c r="CB55" t="s">
        <v>55</v>
      </c>
      <c r="CC55">
        <v>2001</v>
      </c>
      <c r="CD55" s="12">
        <v>3400119</v>
      </c>
      <c r="CE55" s="5">
        <v>79639</v>
      </c>
      <c r="CF55" s="5">
        <v>6221</v>
      </c>
      <c r="CG55">
        <v>541</v>
      </c>
      <c r="CH55" s="5">
        <v>2163</v>
      </c>
      <c r="CI55">
        <v>0</v>
      </c>
      <c r="CJ55" s="5">
        <v>103574</v>
      </c>
      <c r="CK55" s="14">
        <v>3207981</v>
      </c>
      <c r="CL55" s="5">
        <f t="shared" si="42"/>
        <v>3400119</v>
      </c>
      <c r="CM55" s="5"/>
      <c r="CN55" s="41">
        <v>5.7000000000000002E-2</v>
      </c>
      <c r="CT55">
        <v>2001</v>
      </c>
      <c r="CU55" s="5">
        <v>3151893</v>
      </c>
      <c r="CV55" s="5">
        <v>2160110</v>
      </c>
      <c r="CW55" s="6">
        <f t="shared" si="79"/>
        <v>0</v>
      </c>
      <c r="CX55" s="6">
        <f t="shared" si="80"/>
        <v>-8.3467110630785574E-2</v>
      </c>
      <c r="DF55">
        <v>2001</v>
      </c>
      <c r="DG55" s="5">
        <v>3398886.8274582499</v>
      </c>
      <c r="DH55" s="29">
        <v>3035230.7267200798</v>
      </c>
      <c r="DI55" s="5">
        <f t="shared" si="88"/>
        <v>363656.10073817009</v>
      </c>
      <c r="DJ55" s="6">
        <f t="shared" si="89"/>
        <v>0.10699270649447272</v>
      </c>
      <c r="DL55" s="34">
        <f t="shared" si="90"/>
        <v>3.4323671014125062E-2</v>
      </c>
      <c r="DM55" s="6">
        <f t="shared" si="91"/>
        <v>-0.32782072993951511</v>
      </c>
    </row>
    <row r="56" spans="1:117" ht="14.7" thickBot="1" x14ac:dyDescent="0.6">
      <c r="A56" t="s">
        <v>73</v>
      </c>
      <c r="B56">
        <f t="shared" si="4"/>
        <v>2002</v>
      </c>
      <c r="C56" s="43">
        <f t="shared" si="81"/>
        <v>2302250</v>
      </c>
      <c r="D56" s="31">
        <f t="shared" si="72"/>
        <v>2425524</v>
      </c>
      <c r="E56" s="26">
        <f t="shared" si="7"/>
        <v>5.2160677901878581E-2</v>
      </c>
      <c r="F56" s="26" t="s">
        <v>82</v>
      </c>
      <c r="G56" s="5">
        <f t="shared" si="82"/>
        <v>2302250</v>
      </c>
      <c r="H56" s="5">
        <f t="shared" si="9"/>
        <v>2826467.1680969703</v>
      </c>
      <c r="I56" s="26">
        <f t="shared" si="10"/>
        <v>0.20514067570148103</v>
      </c>
      <c r="J56" s="26">
        <f t="shared" si="54"/>
        <v>0.49347741142899099</v>
      </c>
      <c r="K56">
        <v>2002</v>
      </c>
      <c r="L56" s="43">
        <v>2302250</v>
      </c>
      <c r="M56" s="31">
        <v>2425524</v>
      </c>
      <c r="O56" t="str">
        <f t="shared" si="76"/>
        <v>Brittany</v>
      </c>
      <c r="P56">
        <f t="shared" si="74"/>
        <v>2002</v>
      </c>
      <c r="Q56" s="5">
        <f t="shared" si="77"/>
        <v>2302250</v>
      </c>
      <c r="R56" s="5">
        <f t="shared" si="83"/>
        <v>2701922.5280034388</v>
      </c>
      <c r="S56" s="57">
        <f t="shared" si="11"/>
        <v>0.14792153507775563</v>
      </c>
      <c r="T56" s="29">
        <f t="shared" si="84"/>
        <v>2701922.5280034388</v>
      </c>
      <c r="U56" s="31">
        <f t="shared" si="95"/>
        <v>161507.09988694591</v>
      </c>
      <c r="V56" s="31">
        <f t="shared" si="94"/>
        <v>2500772.2444914007</v>
      </c>
      <c r="W56" s="31">
        <f t="shared" si="93"/>
        <v>164187.82371862367</v>
      </c>
      <c r="X56" s="31">
        <f t="shared" si="92"/>
        <v>0</v>
      </c>
      <c r="Y56" s="22">
        <f t="shared" si="78"/>
        <v>2826467.1680969703</v>
      </c>
      <c r="Z56" s="32">
        <f t="shared" si="73"/>
        <v>541301.13946484216</v>
      </c>
      <c r="AA56" s="32">
        <f t="shared" si="68"/>
        <v>1610201.8755670369</v>
      </c>
      <c r="AB56" s="32">
        <f t="shared" si="66"/>
        <v>138263.43049989361</v>
      </c>
      <c r="AC56" s="32">
        <f t="shared" si="64"/>
        <v>0</v>
      </c>
      <c r="AD56" s="12">
        <f t="shared" si="65"/>
        <v>2289766.4455317724</v>
      </c>
      <c r="AE56" s="12">
        <f t="shared" si="17"/>
        <v>2002</v>
      </c>
      <c r="AF56" s="56">
        <f t="shared" si="18"/>
        <v>5.7140978572090363E-2</v>
      </c>
      <c r="AG56" s="56">
        <f t="shared" si="19"/>
        <v>0.88476960663765414</v>
      </c>
      <c r="AH56" s="56">
        <f t="shared" si="20"/>
        <v>5.8089414790255478E-2</v>
      </c>
      <c r="AI56" s="56"/>
      <c r="AJ56" s="68">
        <f t="shared" si="21"/>
        <v>2002</v>
      </c>
      <c r="AK56" s="60">
        <f t="shared" si="45"/>
        <v>2701980.7562391218</v>
      </c>
      <c r="AL56" s="56">
        <f>CHOOSE(umethod,S56,retroU,MAX(0,cslope*(AK56-nlim)/AK56))</f>
        <v>0.14792153507775563</v>
      </c>
      <c r="AM56">
        <f t="shared" si="23"/>
        <v>2302299.6150256759</v>
      </c>
      <c r="AN56" s="59">
        <f t="shared" si="55"/>
        <v>2826441.7434068136</v>
      </c>
      <c r="AO56" s="59">
        <f t="shared" si="24"/>
        <v>399681.14121344592</v>
      </c>
      <c r="AP56" t="s">
        <v>53</v>
      </c>
      <c r="AQ56" s="19">
        <v>2002</v>
      </c>
      <c r="AR56" s="14">
        <v>2302250</v>
      </c>
      <c r="AS56" s="5">
        <f t="shared" si="85"/>
        <v>399672.52800343884</v>
      </c>
      <c r="AT56" s="41">
        <f t="shared" si="86"/>
        <v>0.14792153507775563</v>
      </c>
      <c r="AU56" s="12">
        <v>2701922.5280034388</v>
      </c>
      <c r="AV56" s="6">
        <f t="shared" si="87"/>
        <v>-1.1577702571676814E-2</v>
      </c>
      <c r="AW56" s="6"/>
      <c r="AX56">
        <v>2002</v>
      </c>
      <c r="BF56" s="27">
        <f t="shared" si="67"/>
        <v>0.4</v>
      </c>
      <c r="BI56" s="6"/>
      <c r="BM56" s="5"/>
      <c r="BO56" s="26">
        <v>0.4</v>
      </c>
      <c r="CB56" t="s">
        <v>55</v>
      </c>
      <c r="CC56">
        <v>2002</v>
      </c>
      <c r="CD56" s="12">
        <v>2733571</v>
      </c>
      <c r="CE56" s="5">
        <v>195862</v>
      </c>
      <c r="CF56" s="5">
        <v>25755</v>
      </c>
      <c r="CG56">
        <v>140</v>
      </c>
      <c r="CH56" s="5">
        <v>77263</v>
      </c>
      <c r="CI56">
        <v>0</v>
      </c>
      <c r="CJ56" s="5">
        <v>76370</v>
      </c>
      <c r="CK56" s="14">
        <v>2358181</v>
      </c>
      <c r="CL56" s="5">
        <f t="shared" si="42"/>
        <v>2733571</v>
      </c>
      <c r="CM56" s="5"/>
      <c r="CN56" s="41">
        <v>0.13700000000000001</v>
      </c>
      <c r="CT56">
        <v>2002</v>
      </c>
      <c r="CU56" s="5">
        <v>2302250</v>
      </c>
      <c r="CV56" s="5">
        <v>2425524</v>
      </c>
      <c r="CW56" s="6">
        <f t="shared" si="79"/>
        <v>0</v>
      </c>
      <c r="CX56" s="6">
        <f t="shared" si="80"/>
        <v>5.9288821675740552E-2</v>
      </c>
      <c r="CZ56" s="23" t="s">
        <v>58</v>
      </c>
      <c r="DA56" s="23" t="s">
        <v>59</v>
      </c>
      <c r="DB56" s="23" t="s">
        <v>60</v>
      </c>
      <c r="DC56" s="24" t="s">
        <v>61</v>
      </c>
      <c r="DF56">
        <v>2002</v>
      </c>
      <c r="DG56" s="5">
        <v>2711068.5666916599</v>
      </c>
      <c r="DH56" s="29">
        <v>2217562.0731851701</v>
      </c>
      <c r="DI56" s="5">
        <f t="shared" si="88"/>
        <v>493506.49350648979</v>
      </c>
      <c r="DJ56" s="6">
        <f t="shared" si="89"/>
        <v>0.18203394025873715</v>
      </c>
      <c r="DL56" s="34">
        <f t="shared" si="90"/>
        <v>3.1237840258011376E-2</v>
      </c>
      <c r="DM56" s="6">
        <f t="shared" si="91"/>
        <v>-0.18739585119398752</v>
      </c>
    </row>
    <row r="57" spans="1:117" x14ac:dyDescent="0.55000000000000004">
      <c r="A57" t="s">
        <v>73</v>
      </c>
      <c r="B57">
        <f t="shared" si="4"/>
        <v>2003</v>
      </c>
      <c r="C57" s="43">
        <f t="shared" si="81"/>
        <v>1494491</v>
      </c>
      <c r="D57" s="31">
        <f t="shared" si="72"/>
        <v>1619282</v>
      </c>
      <c r="E57" s="26">
        <f t="shared" si="7"/>
        <v>8.0197160478462634E-2</v>
      </c>
      <c r="F57" s="26" t="s">
        <v>82</v>
      </c>
      <c r="G57" s="5">
        <f t="shared" si="82"/>
        <v>1494491</v>
      </c>
      <c r="H57" s="5">
        <f t="shared" si="9"/>
        <v>1321874.9421960777</v>
      </c>
      <c r="I57" s="26">
        <f t="shared" si="10"/>
        <v>-0.12273454111898989</v>
      </c>
      <c r="J57" s="26">
        <f t="shared" si="54"/>
        <v>-0.33169796223975051</v>
      </c>
      <c r="K57">
        <v>2003</v>
      </c>
      <c r="L57" s="43">
        <v>1494491</v>
      </c>
      <c r="M57" s="31">
        <v>1619282</v>
      </c>
      <c r="O57" s="25" t="str">
        <f t="shared" si="76"/>
        <v>Brittany</v>
      </c>
      <c r="P57" s="25">
        <f t="shared" si="74"/>
        <v>2003</v>
      </c>
      <c r="Q57" s="5">
        <f t="shared" si="77"/>
        <v>1494491</v>
      </c>
      <c r="R57" s="5">
        <f>AU57</f>
        <v>2006286.4153176486</v>
      </c>
      <c r="S57" s="57">
        <f t="shared" si="11"/>
        <v>0.25509588830895702</v>
      </c>
      <c r="T57" s="29">
        <f t="shared" si="84"/>
        <v>2006286.4153176486</v>
      </c>
      <c r="U57" s="31">
        <f t="shared" si="95"/>
        <v>116069.59784559246</v>
      </c>
      <c r="V57" s="31">
        <f t="shared" si="94"/>
        <v>1114748.9084053922</v>
      </c>
      <c r="W57" s="31">
        <f t="shared" si="93"/>
        <v>91056.435945092977</v>
      </c>
      <c r="X57" s="31">
        <f t="shared" si="92"/>
        <v>0</v>
      </c>
      <c r="Y57" s="22">
        <f t="shared" si="78"/>
        <v>1321874.9421960777</v>
      </c>
      <c r="Z57" s="32">
        <f t="shared" si="73"/>
        <v>805100.93778351846</v>
      </c>
      <c r="AA57" s="32">
        <f t="shared" si="68"/>
        <v>829580.58299936168</v>
      </c>
      <c r="AB57" s="32">
        <f t="shared" si="66"/>
        <v>123194.00157277285</v>
      </c>
      <c r="AC57" s="32">
        <f t="shared" si="64"/>
        <v>0</v>
      </c>
      <c r="AD57" s="12">
        <f t="shared" si="65"/>
        <v>1757875.5223556529</v>
      </c>
      <c r="AE57" s="12">
        <f t="shared" si="17"/>
        <v>2003</v>
      </c>
      <c r="AF57" s="56">
        <f t="shared" si="18"/>
        <v>8.7806791807976875E-2</v>
      </c>
      <c r="AG57" s="56">
        <f t="shared" si="19"/>
        <v>0.84330890375561574</v>
      </c>
      <c r="AH57" s="56">
        <f t="shared" si="20"/>
        <v>6.8884304436407348E-2</v>
      </c>
      <c r="AI57" s="56"/>
      <c r="AJ57" s="68">
        <f t="shared" si="21"/>
        <v>2003</v>
      </c>
      <c r="AK57" s="60">
        <f t="shared" si="45"/>
        <v>2003453.7036245412</v>
      </c>
      <c r="AL57" s="56">
        <f>CHOOSE(umethod,S57,retroU,MAX(0,cslope*(AK57-nlim)/AK57))</f>
        <v>0.25509588830895702</v>
      </c>
      <c r="AM57">
        <f t="shared" si="23"/>
        <v>1492380.901412569</v>
      </c>
      <c r="AN57" s="59">
        <f t="shared" si="55"/>
        <v>1321724.4887396949</v>
      </c>
      <c r="AO57" s="59">
        <f t="shared" si="24"/>
        <v>511072.80221197219</v>
      </c>
      <c r="AP57" t="s">
        <v>53</v>
      </c>
      <c r="AQ57" s="19">
        <v>2003</v>
      </c>
      <c r="AR57" s="14">
        <v>1494491</v>
      </c>
      <c r="AS57" s="5">
        <f t="shared" si="85"/>
        <v>511795.41531764856</v>
      </c>
      <c r="AT57" s="41">
        <f t="shared" si="86"/>
        <v>0.25509588830895696</v>
      </c>
      <c r="AU57" s="12">
        <v>2006286.4153176486</v>
      </c>
      <c r="AV57" s="6">
        <f t="shared" si="87"/>
        <v>-5.8957592383406171E-2</v>
      </c>
      <c r="AW57" s="6"/>
      <c r="AX57">
        <v>2003</v>
      </c>
      <c r="BF57" s="27">
        <f t="shared" si="67"/>
        <v>0.45</v>
      </c>
      <c r="BI57" s="6"/>
      <c r="BM57" s="5"/>
      <c r="BO57" s="26">
        <v>0.45</v>
      </c>
      <c r="CB57" t="s">
        <v>55</v>
      </c>
      <c r="CC57">
        <v>2003</v>
      </c>
      <c r="CD57" s="12">
        <v>2131983</v>
      </c>
      <c r="CE57" s="5">
        <v>429450</v>
      </c>
      <c r="CF57" s="5">
        <v>5941</v>
      </c>
      <c r="CG57">
        <v>60</v>
      </c>
      <c r="CH57" s="5">
        <v>59987</v>
      </c>
      <c r="CI57">
        <v>0</v>
      </c>
      <c r="CJ57" s="5">
        <v>113264</v>
      </c>
      <c r="CK57" s="14">
        <v>1523281</v>
      </c>
      <c r="CL57" s="5">
        <f t="shared" si="42"/>
        <v>2131983</v>
      </c>
      <c r="CM57" s="5"/>
      <c r="CN57" s="41">
        <v>0.28599999999999998</v>
      </c>
      <c r="CT57">
        <v>2003</v>
      </c>
      <c r="CU57" s="5">
        <v>1494491</v>
      </c>
      <c r="CV57" s="5">
        <v>1619282</v>
      </c>
      <c r="CW57" s="6">
        <f t="shared" si="79"/>
        <v>0</v>
      </c>
      <c r="CX57" s="6">
        <f t="shared" si="80"/>
        <v>-7.8841488258468775E-2</v>
      </c>
      <c r="CY57">
        <v>2003</v>
      </c>
      <c r="CZ57" s="20">
        <v>2.7616279069767442E-2</v>
      </c>
      <c r="DA57" s="20">
        <v>0.90988372093023251</v>
      </c>
      <c r="DB57" s="20">
        <v>6.1046511627906974E-2</v>
      </c>
      <c r="DC57" s="20">
        <v>1.4534883720930232E-3</v>
      </c>
      <c r="DF57">
        <v>2003</v>
      </c>
      <c r="DG57" s="5">
        <v>2010283.0300398599</v>
      </c>
      <c r="DH57" s="29">
        <v>1451821.7344965001</v>
      </c>
      <c r="DI57" s="5">
        <f t="shared" si="88"/>
        <v>558461.29554335983</v>
      </c>
      <c r="DJ57" s="6">
        <f t="shared" si="89"/>
        <v>0.27780232295563212</v>
      </c>
      <c r="DL57" s="34">
        <f t="shared" si="90"/>
        <v>2.1225501516895281E-2</v>
      </c>
      <c r="DM57" s="6">
        <f t="shared" si="91"/>
        <v>-8.1735942324361363E-2</v>
      </c>
    </row>
    <row r="58" spans="1:117" x14ac:dyDescent="0.55000000000000004">
      <c r="A58" t="s">
        <v>73</v>
      </c>
      <c r="B58">
        <f t="shared" si="4"/>
        <v>2004</v>
      </c>
      <c r="C58" s="43">
        <f t="shared" si="81"/>
        <v>2716634</v>
      </c>
      <c r="D58" s="31">
        <f t="shared" si="72"/>
        <v>1231521</v>
      </c>
      <c r="E58" s="26">
        <f t="shared" si="7"/>
        <v>-0.79114362316427123</v>
      </c>
      <c r="F58" s="26" t="s">
        <v>82</v>
      </c>
      <c r="G58" s="5">
        <f t="shared" si="82"/>
        <v>2716634</v>
      </c>
      <c r="H58" s="5">
        <f>Y58</f>
        <v>1274857.4320357505</v>
      </c>
      <c r="I58" s="26">
        <f t="shared" si="10"/>
        <v>-0.75655925962537551</v>
      </c>
      <c r="J58" s="26">
        <f t="shared" si="54"/>
        <v>-0.21310530676328254</v>
      </c>
      <c r="K58">
        <v>2004</v>
      </c>
      <c r="L58" s="43">
        <v>2716634</v>
      </c>
      <c r="M58" s="31">
        <v>1231521</v>
      </c>
      <c r="O58" s="25" t="str">
        <f t="shared" si="76"/>
        <v>Brittany</v>
      </c>
      <c r="P58" s="25">
        <f t="shared" si="74"/>
        <v>2004</v>
      </c>
      <c r="Q58" s="5">
        <f t="shared" si="77"/>
        <v>2716634</v>
      </c>
      <c r="R58" s="5">
        <f t="shared" si="83"/>
        <v>3352861.1030926574</v>
      </c>
      <c r="S58" s="57">
        <f t="shared" si="11"/>
        <v>0.18975647470329315</v>
      </c>
      <c r="T58" s="29">
        <f t="shared" si="84"/>
        <v>3352861.1030926574</v>
      </c>
      <c r="U58" s="31">
        <f t="shared" si="95"/>
        <v>103697.57287492021</v>
      </c>
      <c r="V58" s="31">
        <f t="shared" si="94"/>
        <v>1003406.2157086715</v>
      </c>
      <c r="W58" s="31">
        <f t="shared" si="93"/>
        <v>165625.8726965368</v>
      </c>
      <c r="X58" s="31">
        <f t="shared" si="92"/>
        <v>2127.7707556219716</v>
      </c>
      <c r="Y58" s="22">
        <f>SUM(U58:X58)</f>
        <v>1274857.4320357505</v>
      </c>
      <c r="Z58" s="32">
        <f t="shared" si="73"/>
        <v>414790.29149968084</v>
      </c>
      <c r="AA58" s="32">
        <f t="shared" si="68"/>
        <v>739164.00943663705</v>
      </c>
      <c r="AB58" s="32">
        <f t="shared" si="66"/>
        <v>81692.159766111377</v>
      </c>
      <c r="AC58" s="32">
        <f t="shared" si="64"/>
        <v>0</v>
      </c>
      <c r="AD58" s="12">
        <f t="shared" si="65"/>
        <v>1235646.4607024293</v>
      </c>
      <c r="AE58" s="12">
        <f t="shared" si="17"/>
        <v>2004</v>
      </c>
      <c r="AF58" s="56">
        <f t="shared" si="18"/>
        <v>8.1340525041557935E-2</v>
      </c>
      <c r="AG58" s="56">
        <f t="shared" si="19"/>
        <v>0.78707327619088097</v>
      </c>
      <c r="AH58" s="56">
        <f t="shared" si="20"/>
        <v>0.1299171723320135</v>
      </c>
      <c r="AI58" s="56"/>
      <c r="AJ58" s="68">
        <f t="shared" si="21"/>
        <v>2004</v>
      </c>
      <c r="AK58" s="60">
        <f t="shared" si="45"/>
        <v>3348300.0367474952</v>
      </c>
      <c r="AL58" s="56">
        <f>CHOOSE(umethod,S58,retroU,MAX(0,cslope*(AK58-nlim)/AK58))</f>
        <v>0.18975647470329315</v>
      </c>
      <c r="AM58">
        <f t="shared" si="23"/>
        <v>2712938.4255253836</v>
      </c>
      <c r="AN58" s="59">
        <f t="shared" si="55"/>
        <v>1276023.0810597537</v>
      </c>
      <c r="AO58" s="59">
        <f t="shared" si="24"/>
        <v>635361.61122211162</v>
      </c>
      <c r="AP58" t="s">
        <v>53</v>
      </c>
      <c r="AQ58" s="19">
        <v>2004</v>
      </c>
      <c r="AR58" s="14">
        <v>2716634</v>
      </c>
      <c r="AS58" s="5">
        <f t="shared" si="85"/>
        <v>636227.1030926574</v>
      </c>
      <c r="AT58" s="41">
        <f t="shared" si="86"/>
        <v>0.18975647470329315</v>
      </c>
      <c r="AU58" s="12">
        <v>3352861.1030926574</v>
      </c>
      <c r="AV58" s="6">
        <f t="shared" si="87"/>
        <v>-3.3266123434901118E-3</v>
      </c>
      <c r="AW58" s="6"/>
      <c r="AX58">
        <v>2004</v>
      </c>
      <c r="BF58" s="27">
        <f t="shared" si="67"/>
        <v>0.44</v>
      </c>
      <c r="BI58" s="6"/>
      <c r="BM58" s="5"/>
      <c r="BO58" s="26">
        <v>0.44</v>
      </c>
      <c r="CB58" t="s">
        <v>55</v>
      </c>
      <c r="CC58">
        <v>2004</v>
      </c>
      <c r="CD58" s="12">
        <v>3364052</v>
      </c>
      <c r="CE58" s="5">
        <v>351817</v>
      </c>
      <c r="CF58" s="5">
        <v>14175</v>
      </c>
      <c r="CG58">
        <v>124</v>
      </c>
      <c r="CH58" s="5">
        <v>123455</v>
      </c>
      <c r="CI58">
        <v>0</v>
      </c>
      <c r="CJ58" s="5">
        <v>106393</v>
      </c>
      <c r="CK58" s="14">
        <v>2768088</v>
      </c>
      <c r="CL58" s="5">
        <f t="shared" si="42"/>
        <v>3364052</v>
      </c>
      <c r="CM58" s="5"/>
      <c r="CN58" s="41">
        <v>0.17699999999999999</v>
      </c>
      <c r="CT58">
        <v>2004</v>
      </c>
      <c r="CU58" s="5">
        <v>2716634</v>
      </c>
      <c r="CV58" s="5">
        <v>1231521</v>
      </c>
      <c r="CW58" s="6">
        <f t="shared" si="79"/>
        <v>0</v>
      </c>
      <c r="CX58" s="6">
        <f t="shared" si="80"/>
        <v>-3.3387063643463906E-3</v>
      </c>
      <c r="CY58">
        <v>2004</v>
      </c>
      <c r="CZ58" s="20">
        <v>0.14000000000000001</v>
      </c>
      <c r="DA58" s="20">
        <v>0.57466666666666666</v>
      </c>
      <c r="DB58" s="20">
        <v>0.28399999999999997</v>
      </c>
      <c r="DC58" s="20">
        <v>1.3333333333333333E-3</v>
      </c>
      <c r="DF58">
        <v>2004</v>
      </c>
      <c r="DG58" s="5">
        <v>3361406.07113251</v>
      </c>
      <c r="DH58" s="29">
        <v>2608159.3178857602</v>
      </c>
      <c r="DI58" s="5">
        <f t="shared" si="88"/>
        <v>753246.75324674975</v>
      </c>
      <c r="DJ58" s="6">
        <f t="shared" si="89"/>
        <v>0.22408680692153601</v>
      </c>
      <c r="DL58" s="34">
        <f t="shared" si="90"/>
        <v>3.2270627177659904E-2</v>
      </c>
      <c r="DM58" s="6">
        <f t="shared" si="91"/>
        <v>-0.15320104155111472</v>
      </c>
    </row>
    <row r="59" spans="1:117" x14ac:dyDescent="0.55000000000000004">
      <c r="A59" t="s">
        <v>73</v>
      </c>
      <c r="B59">
        <f t="shared" si="4"/>
        <v>2005</v>
      </c>
      <c r="C59" s="43">
        <f t="shared" si="81"/>
        <v>1331383</v>
      </c>
      <c r="D59" s="31">
        <f t="shared" si="72"/>
        <v>884912</v>
      </c>
      <c r="E59" s="26">
        <f t="shared" si="7"/>
        <v>-0.40848532553504846</v>
      </c>
      <c r="F59" s="26" t="s">
        <v>82</v>
      </c>
      <c r="G59" s="5">
        <f t="shared" si="82"/>
        <v>1331383</v>
      </c>
      <c r="H59" s="5">
        <f t="shared" si="9"/>
        <v>826792.95575855998</v>
      </c>
      <c r="I59" s="26">
        <f t="shared" si="10"/>
        <v>-0.47641922268505188</v>
      </c>
      <c r="J59" s="26">
        <f t="shared" si="54"/>
        <v>-0.78580075611803391</v>
      </c>
      <c r="K59">
        <v>2005</v>
      </c>
      <c r="L59" s="43">
        <v>1331383</v>
      </c>
      <c r="M59" s="31">
        <v>884912</v>
      </c>
      <c r="O59" s="25" t="str">
        <f t="shared" si="76"/>
        <v>Brittany</v>
      </c>
      <c r="P59" s="25">
        <f t="shared" si="74"/>
        <v>2005</v>
      </c>
      <c r="Q59" s="5">
        <f t="shared" si="77"/>
        <v>1331383</v>
      </c>
      <c r="R59" s="5">
        <f t="shared" si="83"/>
        <v>1804337.1315494739</v>
      </c>
      <c r="S59" s="57">
        <f t="shared" si="11"/>
        <v>0.2621207108581336</v>
      </c>
      <c r="T59" s="29">
        <f t="shared" si="84"/>
        <v>1804337.1315494739</v>
      </c>
      <c r="U59" s="31">
        <f t="shared" si="95"/>
        <v>137477.36407396389</v>
      </c>
      <c r="V59" s="31">
        <f t="shared" si="94"/>
        <v>620163.04212688212</v>
      </c>
      <c r="W59" s="31">
        <f t="shared" si="93"/>
        <v>69152.549557714068</v>
      </c>
      <c r="X59" s="31">
        <f t="shared" si="92"/>
        <v>0</v>
      </c>
      <c r="Y59" s="22">
        <f t="shared" si="78"/>
        <v>826792.95575855998</v>
      </c>
      <c r="Z59" s="32">
        <f t="shared" si="73"/>
        <v>369582.00471831852</v>
      </c>
      <c r="AA59" s="32">
        <f t="shared" si="68"/>
        <v>490152.95859666821</v>
      </c>
      <c r="AB59" s="32">
        <f t="shared" si="66"/>
        <v>66173.670499843312</v>
      </c>
      <c r="AC59" s="32">
        <f t="shared" si="64"/>
        <v>0</v>
      </c>
      <c r="AD59" s="12">
        <f t="shared" si="65"/>
        <v>925908.6338148301</v>
      </c>
      <c r="AE59" s="12">
        <f t="shared" si="17"/>
        <v>2005</v>
      </c>
      <c r="AF59" s="56">
        <f t="shared" si="18"/>
        <v>0.16627786087973156</v>
      </c>
      <c r="AG59" s="56">
        <f t="shared" si="19"/>
        <v>0.75008263895753613</v>
      </c>
      <c r="AH59" s="56">
        <f t="shared" si="20"/>
        <v>8.3639500162732389E-2</v>
      </c>
      <c r="AI59" s="56"/>
      <c r="AJ59" s="68">
        <f t="shared" si="21"/>
        <v>2005</v>
      </c>
      <c r="AK59" s="60">
        <f t="shared" si="45"/>
        <v>1794323.8982165304</v>
      </c>
      <c r="AL59" s="56">
        <f>CHOOSE(umethod,S59,retroU,MAX(0,cslope*(AK59-nlim)/AK59))</f>
        <v>0.2621207108581336</v>
      </c>
      <c r="AM59">
        <f t="shared" si="23"/>
        <v>1323994.4425062761</v>
      </c>
      <c r="AN59" s="59">
        <f t="shared" si="55"/>
        <v>825953.19904753449</v>
      </c>
      <c r="AO59" s="59">
        <f t="shared" si="24"/>
        <v>470329.45571025438</v>
      </c>
      <c r="AP59" t="s">
        <v>53</v>
      </c>
      <c r="AQ59" s="19">
        <v>2005</v>
      </c>
      <c r="AR59" s="14">
        <v>1331383</v>
      </c>
      <c r="AS59" s="5">
        <f t="shared" si="85"/>
        <v>472954.13154947385</v>
      </c>
      <c r="AT59" s="41">
        <f t="shared" si="86"/>
        <v>0.2621207108581336</v>
      </c>
      <c r="AU59" s="12">
        <v>1804337.1315494739</v>
      </c>
      <c r="AV59" s="6">
        <f t="shared" si="87"/>
        <v>3.9479672607496824E-2</v>
      </c>
      <c r="AW59" s="6"/>
      <c r="AX59">
        <v>2005</v>
      </c>
      <c r="BF59" s="27">
        <f t="shared" si="67"/>
        <v>0.46</v>
      </c>
      <c r="BI59" s="6"/>
      <c r="BM59" s="5"/>
      <c r="BO59" s="26">
        <v>0.46</v>
      </c>
      <c r="CB59" t="s">
        <v>55</v>
      </c>
      <c r="CC59">
        <v>2005</v>
      </c>
      <c r="CD59" s="12">
        <v>1735808</v>
      </c>
      <c r="CE59" s="5">
        <v>176446</v>
      </c>
      <c r="CF59" s="5">
        <v>3361</v>
      </c>
      <c r="CG59">
        <v>234</v>
      </c>
      <c r="CH59" s="5">
        <v>50487</v>
      </c>
      <c r="CI59">
        <v>0</v>
      </c>
      <c r="CJ59" s="5">
        <v>77503</v>
      </c>
      <c r="CK59" s="14">
        <v>1427778</v>
      </c>
      <c r="CL59" s="5">
        <f t="shared" si="42"/>
        <v>1735809</v>
      </c>
      <c r="CM59" s="5"/>
      <c r="CN59" s="41">
        <v>0.17699999999999999</v>
      </c>
      <c r="CT59">
        <v>2005</v>
      </c>
      <c r="CU59" s="5">
        <v>1331383</v>
      </c>
      <c r="CV59" s="5">
        <v>884912</v>
      </c>
      <c r="CW59" s="6">
        <f t="shared" si="79"/>
        <v>0</v>
      </c>
      <c r="CX59" s="6">
        <f t="shared" si="80"/>
        <v>-4.4277191417818558E-2</v>
      </c>
      <c r="CY59">
        <v>2005</v>
      </c>
      <c r="CZ59" s="20">
        <v>8.951048951048951E-2</v>
      </c>
      <c r="DA59" s="20">
        <v>0.7384615384615385</v>
      </c>
      <c r="DB59" s="20">
        <v>0.16643356643356644</v>
      </c>
      <c r="DC59" s="20">
        <v>5.5944055944055944E-3</v>
      </c>
      <c r="DF59">
        <v>2005</v>
      </c>
      <c r="DG59" s="5">
        <v>1803477.67733786</v>
      </c>
      <c r="DH59" s="29">
        <v>1309971.18383136</v>
      </c>
      <c r="DI59" s="5">
        <f t="shared" si="88"/>
        <v>493506.49350650003</v>
      </c>
      <c r="DJ59" s="6">
        <f t="shared" si="89"/>
        <v>0.27364158686730866</v>
      </c>
      <c r="DL59" s="34">
        <f t="shared" si="90"/>
        <v>1.1872515217513721E-2</v>
      </c>
      <c r="DM59" s="6">
        <f t="shared" si="91"/>
        <v>-4.2102065483057012E-2</v>
      </c>
    </row>
    <row r="60" spans="1:117" x14ac:dyDescent="0.55000000000000004">
      <c r="A60" t="s">
        <v>73</v>
      </c>
      <c r="B60">
        <f t="shared" si="4"/>
        <v>2006</v>
      </c>
      <c r="C60" s="43">
        <f t="shared" si="81"/>
        <v>1970621</v>
      </c>
      <c r="D60" s="31">
        <f t="shared" si="72"/>
        <v>744365</v>
      </c>
      <c r="E60" s="26">
        <f t="shared" si="7"/>
        <v>-0.97357249455406303</v>
      </c>
      <c r="F60" s="26" t="s">
        <v>82</v>
      </c>
      <c r="G60" s="5">
        <f t="shared" si="82"/>
        <v>1970621</v>
      </c>
      <c r="H60" s="5">
        <f t="shared" si="9"/>
        <v>653276.45190826431</v>
      </c>
      <c r="I60" s="26">
        <f t="shared" si="10"/>
        <v>-1.1041036041238916</v>
      </c>
      <c r="J60" s="26">
        <f t="shared" si="54"/>
        <v>-1.0199356287759442</v>
      </c>
      <c r="K60">
        <v>2006</v>
      </c>
      <c r="L60" s="43">
        <v>1970621</v>
      </c>
      <c r="M60" s="31">
        <v>744365</v>
      </c>
      <c r="O60" s="25" t="str">
        <f t="shared" si="76"/>
        <v>Brittany</v>
      </c>
      <c r="P60" s="25">
        <f t="shared" si="74"/>
        <v>2006</v>
      </c>
      <c r="Q60" s="5">
        <f t="shared" si="77"/>
        <v>1970621</v>
      </c>
      <c r="R60" s="5">
        <f t="shared" si="83"/>
        <v>2683669.7926117284</v>
      </c>
      <c r="S60" s="57">
        <f t="shared" si="11"/>
        <v>0.26569915366442842</v>
      </c>
      <c r="T60" s="29">
        <f t="shared" si="84"/>
        <v>2683669.7926117284</v>
      </c>
      <c r="U60" s="31">
        <f t="shared" si="95"/>
        <v>31132.682837694883</v>
      </c>
      <c r="V60" s="31">
        <f t="shared" si="94"/>
        <v>555348.16721733462</v>
      </c>
      <c r="W60" s="31">
        <f t="shared" si="93"/>
        <v>66795.60185323481</v>
      </c>
      <c r="X60" s="31">
        <f t="shared" si="92"/>
        <v>0</v>
      </c>
      <c r="Y60" s="22">
        <f t="shared" si="78"/>
        <v>653276.45190826431</v>
      </c>
      <c r="Z60" s="32">
        <f t="shared" si="73"/>
        <v>245076.4792983341</v>
      </c>
      <c r="AA60" s="32">
        <f t="shared" si="68"/>
        <v>397042.02299905987</v>
      </c>
      <c r="AB60" s="32">
        <f t="shared" si="66"/>
        <v>142092.46212415406</v>
      </c>
      <c r="AC60" s="32">
        <f t="shared" si="64"/>
        <v>0</v>
      </c>
      <c r="AD60" s="12">
        <f t="shared" si="65"/>
        <v>784210.96442154807</v>
      </c>
      <c r="AE60" s="12">
        <f t="shared" si="17"/>
        <v>2006</v>
      </c>
      <c r="AF60" s="56">
        <f t="shared" si="18"/>
        <v>4.7656214680254015E-2</v>
      </c>
      <c r="AG60" s="56">
        <f t="shared" si="19"/>
        <v>0.85009671723988423</v>
      </c>
      <c r="AH60" s="56">
        <f t="shared" si="20"/>
        <v>0.10224706807986171</v>
      </c>
      <c r="AI60" s="56"/>
      <c r="AJ60" s="68">
        <f t="shared" si="21"/>
        <v>2006</v>
      </c>
      <c r="AK60" s="60">
        <f t="shared" si="45"/>
        <v>2683639.5726586096</v>
      </c>
      <c r="AL60" s="56">
        <f>CHOOSE(umethod,S60,retroU,MAX(0,cslope*(AK60-nlim)/AK60))</f>
        <v>0.26569915366442842</v>
      </c>
      <c r="AM60">
        <f t="shared" si="23"/>
        <v>1970598.8094628486</v>
      </c>
      <c r="AN60" s="59">
        <f t="shared" si="55"/>
        <v>653278.02039415657</v>
      </c>
      <c r="AO60" s="59">
        <f t="shared" si="24"/>
        <v>713040.76319576101</v>
      </c>
      <c r="AP60" t="s">
        <v>53</v>
      </c>
      <c r="AQ60" s="19">
        <v>2006</v>
      </c>
      <c r="AR60" s="14">
        <v>1970621</v>
      </c>
      <c r="AS60" s="5">
        <f t="shared" si="85"/>
        <v>713048.79261172842</v>
      </c>
      <c r="AT60" s="41">
        <f t="shared" si="86"/>
        <v>0.26569915366442842</v>
      </c>
      <c r="AU60" s="12">
        <v>2683669.7926117284</v>
      </c>
      <c r="AV60" s="6">
        <f t="shared" si="87"/>
        <v>-5.0342367298129249E-2</v>
      </c>
      <c r="AW60" s="6"/>
      <c r="AX60">
        <v>2006</v>
      </c>
      <c r="BF60" s="27">
        <f t="shared" si="67"/>
        <v>0.44</v>
      </c>
      <c r="BI60" s="6"/>
      <c r="BM60" s="5"/>
      <c r="BO60" s="26">
        <v>0.44</v>
      </c>
      <c r="CB60" t="s">
        <v>55</v>
      </c>
      <c r="CC60">
        <v>2006</v>
      </c>
      <c r="CD60" s="12">
        <v>2825934</v>
      </c>
      <c r="CE60" s="5">
        <v>455783</v>
      </c>
      <c r="CF60" s="5">
        <v>9497</v>
      </c>
      <c r="CG60">
        <v>122</v>
      </c>
      <c r="CH60" s="5">
        <v>75541</v>
      </c>
      <c r="CI60">
        <v>0</v>
      </c>
      <c r="CJ60" s="5">
        <v>197432</v>
      </c>
      <c r="CK60" s="14">
        <v>2087558</v>
      </c>
      <c r="CL60" s="5">
        <f t="shared" si="42"/>
        <v>2825933</v>
      </c>
      <c r="CM60" s="5"/>
      <c r="CN60" s="41">
        <v>0.26100000000000001</v>
      </c>
      <c r="CT60">
        <v>2006</v>
      </c>
      <c r="CU60" s="5">
        <v>1970621</v>
      </c>
      <c r="CV60" s="5">
        <v>744365</v>
      </c>
      <c r="CW60" s="6">
        <f t="shared" si="79"/>
        <v>0</v>
      </c>
      <c r="CX60" s="6">
        <f t="shared" si="80"/>
        <v>-5.0810261816397022E-2</v>
      </c>
      <c r="CY60">
        <v>2006</v>
      </c>
      <c r="CZ60" s="20">
        <v>4.3250327653997382E-2</v>
      </c>
      <c r="DA60" s="20">
        <v>0.93184796854521623</v>
      </c>
      <c r="DB60" s="20">
        <v>2.4901703800786368E-2</v>
      </c>
      <c r="DC60" s="20">
        <v>0</v>
      </c>
      <c r="DF60">
        <v>2006</v>
      </c>
      <c r="DG60" s="5">
        <v>2687087.9879998402</v>
      </c>
      <c r="DH60" s="29">
        <v>1868906.16981802</v>
      </c>
      <c r="DI60" s="5">
        <f t="shared" si="88"/>
        <v>818181.81818182021</v>
      </c>
      <c r="DJ60" s="6">
        <f t="shared" si="89"/>
        <v>0.30448642613703236</v>
      </c>
      <c r="DL60" s="34">
        <f t="shared" si="90"/>
        <v>3.7853181822189774E-2</v>
      </c>
      <c r="DM60" s="6">
        <f t="shared" si="91"/>
        <v>-0.12738588371472412</v>
      </c>
    </row>
    <row r="61" spans="1:117" x14ac:dyDescent="0.55000000000000004">
      <c r="A61" t="s">
        <v>73</v>
      </c>
      <c r="B61">
        <f t="shared" si="4"/>
        <v>2007</v>
      </c>
      <c r="C61" s="43">
        <f t="shared" si="81"/>
        <v>1057248</v>
      </c>
      <c r="D61" s="31">
        <f t="shared" si="72"/>
        <v>1296356</v>
      </c>
      <c r="E61" s="26">
        <f t="shared" si="7"/>
        <v>0.20388794589883796</v>
      </c>
      <c r="F61" s="26" t="s">
        <v>82</v>
      </c>
      <c r="G61" s="5">
        <f t="shared" si="82"/>
        <v>1057248</v>
      </c>
      <c r="H61" s="5">
        <f t="shared" si="9"/>
        <v>1919087.3845169125</v>
      </c>
      <c r="I61" s="26">
        <f t="shared" si="10"/>
        <v>0.59618044680644766</v>
      </c>
      <c r="J61" s="26">
        <f t="shared" si="54"/>
        <v>0.11802657100699165</v>
      </c>
      <c r="K61">
        <v>2007</v>
      </c>
      <c r="L61" s="43">
        <v>1057248</v>
      </c>
      <c r="M61" s="31">
        <v>1296356</v>
      </c>
      <c r="O61" s="25" t="str">
        <f t="shared" si="76"/>
        <v>Brittany</v>
      </c>
      <c r="P61" s="25">
        <f t="shared" si="74"/>
        <v>2007</v>
      </c>
      <c r="Q61" s="5">
        <f t="shared" si="77"/>
        <v>1057248</v>
      </c>
      <c r="R61" s="5">
        <f t="shared" si="83"/>
        <v>1382634.3049989361</v>
      </c>
      <c r="S61" s="57">
        <f t="shared" si="11"/>
        <v>0.23533793702535577</v>
      </c>
      <c r="T61" s="29">
        <f t="shared" si="84"/>
        <v>1382634.3049989361</v>
      </c>
      <c r="U61" s="31">
        <f t="shared" si="95"/>
        <v>35108.21746776253</v>
      </c>
      <c r="V61" s="31">
        <f t="shared" si="94"/>
        <v>1326803.5459028916</v>
      </c>
      <c r="W61" s="31">
        <f t="shared" si="93"/>
        <v>544300.78329583409</v>
      </c>
      <c r="X61" s="31">
        <f t="shared" si="92"/>
        <v>12874.837850424572</v>
      </c>
      <c r="Y61" s="22">
        <f t="shared" si="78"/>
        <v>1919087.3845169125</v>
      </c>
      <c r="Z61" s="32">
        <f t="shared" si="73"/>
        <v>198521.01149952994</v>
      </c>
      <c r="AA61" s="32">
        <f t="shared" si="68"/>
        <v>852554.77274492441</v>
      </c>
      <c r="AB61" s="32">
        <f t="shared" si="66"/>
        <v>170201.99096711003</v>
      </c>
      <c r="AC61" s="32">
        <f t="shared" si="64"/>
        <v>0</v>
      </c>
      <c r="AD61" s="12">
        <f t="shared" si="65"/>
        <v>1221277.7752115645</v>
      </c>
      <c r="AE61" s="12">
        <f t="shared" si="17"/>
        <v>2007</v>
      </c>
      <c r="AF61" s="56">
        <f t="shared" si="18"/>
        <v>1.8294225552735965E-2</v>
      </c>
      <c r="AG61" s="56">
        <f t="shared" si="19"/>
        <v>0.69137213688520227</v>
      </c>
      <c r="AH61" s="56">
        <f t="shared" si="20"/>
        <v>0.28362480400174672</v>
      </c>
      <c r="AI61" s="56"/>
      <c r="AJ61" s="68">
        <f t="shared" si="21"/>
        <v>2007</v>
      </c>
      <c r="AK61" s="60">
        <f t="shared" si="45"/>
        <v>1382600.7638578219</v>
      </c>
      <c r="AL61" s="56">
        <f>CHOOSE(umethod,S61,retroU,MAX(0,cslope*(AK61-nlim)/AK61))</f>
        <v>0.23533793702535577</v>
      </c>
      <c r="AM61">
        <f t="shared" si="23"/>
        <v>1057222.3523618411</v>
      </c>
      <c r="AN61" s="59">
        <f t="shared" si="55"/>
        <v>1919071.1316682936</v>
      </c>
      <c r="AO61" s="59">
        <f t="shared" si="24"/>
        <v>325378.41149598081</v>
      </c>
      <c r="AP61" t="s">
        <v>53</v>
      </c>
      <c r="AQ61" s="19">
        <v>2007</v>
      </c>
      <c r="AR61" s="14">
        <v>1057248</v>
      </c>
      <c r="AS61" s="5">
        <f t="shared" si="85"/>
        <v>325386.30499893613</v>
      </c>
      <c r="AT61" s="41">
        <f t="shared" si="86"/>
        <v>0.23533793702535574</v>
      </c>
      <c r="AU61" s="12">
        <v>1382634.3049989361</v>
      </c>
      <c r="AV61" s="6" t="s">
        <v>12</v>
      </c>
      <c r="AW61" s="6"/>
      <c r="AX61">
        <v>2007</v>
      </c>
      <c r="BF61" s="27">
        <f t="shared" si="67"/>
        <v>0.44</v>
      </c>
      <c r="BI61" s="6"/>
      <c r="BM61" s="5"/>
      <c r="BO61" s="26">
        <v>0.44</v>
      </c>
      <c r="CT61">
        <v>2007</v>
      </c>
      <c r="CU61" s="5">
        <v>1057248</v>
      </c>
      <c r="CV61" s="5">
        <v>1296356</v>
      </c>
      <c r="CW61" s="6">
        <f t="shared" si="79"/>
        <v>0</v>
      </c>
      <c r="CX61" s="6">
        <f t="shared" si="80"/>
        <v>6.1475142111244545E-2</v>
      </c>
      <c r="CY61">
        <v>2007</v>
      </c>
      <c r="CZ61" s="20">
        <v>7.4999999999999997E-2</v>
      </c>
      <c r="DA61" s="20">
        <v>0.80625000000000002</v>
      </c>
      <c r="DB61" s="20">
        <v>0.11874999999999999</v>
      </c>
      <c r="DC61" s="20">
        <v>0</v>
      </c>
      <c r="DF61">
        <v>2007</v>
      </c>
      <c r="DG61" s="5">
        <v>1388880.1168436401</v>
      </c>
      <c r="DH61" s="29">
        <v>1012256.74022026</v>
      </c>
      <c r="DI61" s="5">
        <f t="shared" si="88"/>
        <v>376623.37662338011</v>
      </c>
      <c r="DJ61" s="6">
        <f t="shared" si="89"/>
        <v>0.27117054384743583</v>
      </c>
      <c r="DL61" s="34">
        <f t="shared" si="90"/>
        <v>3.2393911637231043E-2</v>
      </c>
      <c r="DM61" s="6">
        <f t="shared" si="91"/>
        <v>-0.13214048367377243</v>
      </c>
    </row>
    <row r="62" spans="1:117" x14ac:dyDescent="0.55000000000000004">
      <c r="A62" t="s">
        <v>73</v>
      </c>
      <c r="B62">
        <f t="shared" si="4"/>
        <v>2008</v>
      </c>
      <c r="C62" s="43">
        <f t="shared" si="81"/>
        <v>982016</v>
      </c>
      <c r="D62" s="31">
        <f t="shared" si="72"/>
        <v>1641562</v>
      </c>
      <c r="E62" s="26">
        <f t="shared" si="7"/>
        <v>0.51379590505962547</v>
      </c>
      <c r="F62" s="26" t="s">
        <v>82</v>
      </c>
      <c r="G62" s="5">
        <f t="shared" si="82"/>
        <v>982016</v>
      </c>
      <c r="H62" s="5">
        <f t="shared" si="9"/>
        <v>1341575.4990023808</v>
      </c>
      <c r="I62" s="26">
        <f t="shared" si="10"/>
        <v>0.31199234632089623</v>
      </c>
      <c r="J62" s="26">
        <f t="shared" si="54"/>
        <v>-0.21247842028387309</v>
      </c>
      <c r="K62">
        <v>2008</v>
      </c>
      <c r="L62" s="43">
        <v>982016</v>
      </c>
      <c r="M62" s="31">
        <v>1641562</v>
      </c>
      <c r="O62" s="25" t="str">
        <f t="shared" si="76"/>
        <v>Brittany</v>
      </c>
      <c r="P62" s="25">
        <f t="shared" si="74"/>
        <v>2008</v>
      </c>
      <c r="Q62" s="5">
        <f t="shared" si="77"/>
        <v>982016</v>
      </c>
      <c r="R62" s="5">
        <f t="shared" si="83"/>
        <v>1231940.0157277284</v>
      </c>
      <c r="S62" s="57">
        <f t="shared" si="11"/>
        <v>0.20287027983265393</v>
      </c>
      <c r="T62" s="29">
        <f t="shared" si="84"/>
        <v>1231940.0157277284</v>
      </c>
      <c r="U62" s="31">
        <f t="shared" si="95"/>
        <v>27325.473485414244</v>
      </c>
      <c r="V62" s="31">
        <f t="shared" si="94"/>
        <v>976285.53194332158</v>
      </c>
      <c r="W62" s="31">
        <f t="shared" si="93"/>
        <v>337964.49357364496</v>
      </c>
      <c r="X62" s="31">
        <f t="shared" si="92"/>
        <v>0</v>
      </c>
      <c r="Y62" s="22">
        <f t="shared" si="78"/>
        <v>1341575.4990023808</v>
      </c>
      <c r="Z62" s="32">
        <f t="shared" si="73"/>
        <v>426277.38637246221</v>
      </c>
      <c r="AA62" s="32">
        <f t="shared" si="68"/>
        <v>1021211.9458026602</v>
      </c>
      <c r="AB62" s="32">
        <f t="shared" si="66"/>
        <v>160130.7957646556</v>
      </c>
      <c r="AC62" s="32">
        <f t="shared" si="64"/>
        <v>0</v>
      </c>
      <c r="AD62" s="12">
        <f t="shared" si="65"/>
        <v>1607620.1279397779</v>
      </c>
      <c r="AE62" s="12">
        <f t="shared" si="17"/>
        <v>2008</v>
      </c>
      <c r="AF62" s="56">
        <f t="shared" si="18"/>
        <v>2.0368196576140477E-2</v>
      </c>
      <c r="AG62" s="56">
        <f t="shared" si="19"/>
        <v>0.72771568403664555</v>
      </c>
      <c r="AH62" s="56">
        <f t="shared" si="20"/>
        <v>0.25191611938721403</v>
      </c>
      <c r="AI62" s="56"/>
      <c r="AJ62" s="68">
        <f t="shared" si="21"/>
        <v>2008</v>
      </c>
      <c r="AK62" s="60">
        <f t="shared" si="45"/>
        <v>1232707.4700926775</v>
      </c>
      <c r="AL62" s="56">
        <f>CHOOSE(umethod,S62,retroU,MAX(0,cslope*(AK62-nlim)/AK62))</f>
        <v>0.20287027983265393</v>
      </c>
      <c r="AM62">
        <f t="shared" si="23"/>
        <v>982627.7606831732</v>
      </c>
      <c r="AN62" s="59">
        <f t="shared" si="55"/>
        <v>1341905.7511766064</v>
      </c>
      <c r="AO62" s="59">
        <f t="shared" si="24"/>
        <v>250079.70940950431</v>
      </c>
      <c r="AP62" t="s">
        <v>53</v>
      </c>
      <c r="AQ62" s="19">
        <v>2008</v>
      </c>
      <c r="AR62" s="14">
        <v>982016</v>
      </c>
      <c r="AS62" s="5">
        <f t="shared" si="85"/>
        <v>249924.01572772837</v>
      </c>
      <c r="AT62" s="41">
        <f t="shared" si="86"/>
        <v>0.20287027983265396</v>
      </c>
      <c r="AU62" s="12">
        <v>1231940.0157277284</v>
      </c>
      <c r="AV62" s="6" t="s">
        <v>12</v>
      </c>
      <c r="AW62" s="6"/>
      <c r="AX62">
        <v>2008</v>
      </c>
      <c r="BF62" s="27">
        <f t="shared" si="67"/>
        <v>0.43</v>
      </c>
      <c r="BI62" s="6"/>
      <c r="BM62" s="5"/>
      <c r="BO62" s="26">
        <v>0.43</v>
      </c>
      <c r="CT62">
        <v>2008</v>
      </c>
      <c r="CU62" s="5">
        <v>982016</v>
      </c>
      <c r="CV62" s="5">
        <v>1641562</v>
      </c>
      <c r="CW62" s="6">
        <f t="shared" si="79"/>
        <v>0</v>
      </c>
      <c r="CX62" s="6">
        <f t="shared" si="80"/>
        <v>2.1113117129056971E-2</v>
      </c>
      <c r="CY62">
        <v>2008</v>
      </c>
      <c r="CZ62" s="20">
        <v>0.11159420289855072</v>
      </c>
      <c r="DA62" s="20">
        <v>0.8144927536231884</v>
      </c>
      <c r="DB62" s="20">
        <v>7.3913043478260873E-2</v>
      </c>
      <c r="DC62" s="20">
        <v>0</v>
      </c>
      <c r="DF62">
        <v>2008</v>
      </c>
      <c r="DG62" s="5">
        <v>1220522.63845577</v>
      </c>
      <c r="DH62" s="29">
        <v>934828.08984328795</v>
      </c>
      <c r="DI62" s="5">
        <f t="shared" si="88"/>
        <v>285694.54861248203</v>
      </c>
      <c r="DJ62" s="6">
        <f t="shared" si="89"/>
        <v>0.2340755833697182</v>
      </c>
      <c r="DL62" s="34">
        <f t="shared" si="90"/>
        <v>3.86620523617777E-2</v>
      </c>
      <c r="DM62" s="6">
        <f t="shared" si="91"/>
        <v>-0.13331293716259174</v>
      </c>
    </row>
    <row r="63" spans="1:117" x14ac:dyDescent="0.55000000000000004">
      <c r="A63" t="s">
        <v>73</v>
      </c>
      <c r="B63">
        <f t="shared" si="4"/>
        <v>2009</v>
      </c>
      <c r="C63" s="43">
        <f t="shared" si="81"/>
        <v>474550</v>
      </c>
      <c r="D63" s="31">
        <f t="shared" si="72"/>
        <v>1613902</v>
      </c>
      <c r="E63" s="26">
        <f t="shared" si="7"/>
        <v>1.224043141698661</v>
      </c>
      <c r="F63" s="26" t="s">
        <v>82</v>
      </c>
      <c r="G63" s="5">
        <f t="shared" si="82"/>
        <v>474550</v>
      </c>
      <c r="H63" s="5">
        <f t="shared" si="9"/>
        <v>1605367.0756795239</v>
      </c>
      <c r="I63" s="26">
        <f t="shared" si="10"/>
        <v>1.2187407304265099</v>
      </c>
      <c r="J63" s="26">
        <f t="shared" si="54"/>
        <v>0.38184642982810568</v>
      </c>
      <c r="K63">
        <v>2009</v>
      </c>
      <c r="L63" s="43">
        <v>474550</v>
      </c>
      <c r="M63" s="31">
        <v>1613902</v>
      </c>
      <c r="O63" s="25" t="str">
        <f t="shared" si="76"/>
        <v>Brittany</v>
      </c>
      <c r="P63" s="25">
        <f t="shared" si="74"/>
        <v>2009</v>
      </c>
      <c r="Q63" s="5">
        <f t="shared" si="77"/>
        <v>474550</v>
      </c>
      <c r="R63" s="5">
        <f t="shared" si="83"/>
        <v>816921.59766111372</v>
      </c>
      <c r="S63" s="57">
        <f t="shared" si="11"/>
        <v>0.41909970141729669</v>
      </c>
      <c r="T63" s="29">
        <f t="shared" si="84"/>
        <v>816921.59766111372</v>
      </c>
      <c r="U63" s="31">
        <f t="shared" si="95"/>
        <v>181433.59443194472</v>
      </c>
      <c r="V63" s="31">
        <f t="shared" si="94"/>
        <v>1200578.6295520912</v>
      </c>
      <c r="W63" s="31">
        <f t="shared" si="93"/>
        <v>220586.4788784436</v>
      </c>
      <c r="X63" s="31">
        <f t="shared" si="92"/>
        <v>2768.3728170443637</v>
      </c>
      <c r="Y63" s="22">
        <f t="shared" si="78"/>
        <v>1605367.0756795239</v>
      </c>
      <c r="Z63" s="32">
        <f t="shared" si="73"/>
        <v>510605.9729013301</v>
      </c>
      <c r="AA63" s="32">
        <f t="shared" si="68"/>
        <v>960784.77458793356</v>
      </c>
      <c r="AB63" s="32">
        <f t="shared" si="66"/>
        <v>150786.61449047897</v>
      </c>
      <c r="AC63" s="32">
        <f t="shared" si="64"/>
        <v>0</v>
      </c>
      <c r="AD63" s="12">
        <f t="shared" si="65"/>
        <v>1622177.3619797428</v>
      </c>
      <c r="AE63" s="12">
        <f t="shared" si="17"/>
        <v>2009</v>
      </c>
      <c r="AF63" s="56">
        <f t="shared" si="18"/>
        <v>0.11301689014342532</v>
      </c>
      <c r="AG63" s="56">
        <f t="shared" si="19"/>
        <v>0.74785302859404124</v>
      </c>
      <c r="AH63" s="56">
        <f t="shared" si="20"/>
        <v>0.13740563278032419</v>
      </c>
      <c r="AI63" s="56"/>
      <c r="AJ63" s="68">
        <f t="shared" si="21"/>
        <v>2009</v>
      </c>
      <c r="AK63" s="60">
        <f t="shared" si="45"/>
        <v>816443.22330445587</v>
      </c>
      <c r="AL63" s="56">
        <f>CHOOSE(umethod,S63,retroU,MAX(0,cslope*(AK63-nlim)/AK63))</f>
        <v>0.41909970141729669</v>
      </c>
      <c r="AM63">
        <f t="shared" si="23"/>
        <v>474272.1121933831</v>
      </c>
      <c r="AN63" s="59">
        <f t="shared" si="55"/>
        <v>1604701.5153639382</v>
      </c>
      <c r="AO63" s="59">
        <f t="shared" si="24"/>
        <v>342171.11111107277</v>
      </c>
      <c r="AP63" t="s">
        <v>53</v>
      </c>
      <c r="AQ63" s="19">
        <v>2009</v>
      </c>
      <c r="AR63" s="14">
        <v>474550</v>
      </c>
      <c r="AS63" s="5">
        <f t="shared" si="85"/>
        <v>342371.59766111372</v>
      </c>
      <c r="AT63" s="41">
        <f t="shared" si="86"/>
        <v>0.41909970141729669</v>
      </c>
      <c r="AU63" s="12">
        <v>816921.59766111372</v>
      </c>
      <c r="AV63" s="6"/>
      <c r="AW63" s="6"/>
      <c r="AX63">
        <v>2009</v>
      </c>
      <c r="BF63" s="27">
        <f t="shared" si="67"/>
        <v>0.42</v>
      </c>
      <c r="BI63" s="6"/>
      <c r="BM63" s="5"/>
      <c r="BO63" s="26">
        <v>0.42</v>
      </c>
      <c r="CT63">
        <v>2009</v>
      </c>
      <c r="CU63" s="5">
        <v>474550</v>
      </c>
      <c r="CV63" s="5">
        <v>1613902</v>
      </c>
      <c r="CW63" s="6">
        <f t="shared" si="79"/>
        <v>0</v>
      </c>
      <c r="CX63" s="6">
        <f t="shared" si="80"/>
        <v>-5.101391607168851E-3</v>
      </c>
      <c r="CY63">
        <v>2009</v>
      </c>
      <c r="CZ63" s="20">
        <v>3.8109756097560975E-2</v>
      </c>
      <c r="DA63" s="20">
        <v>0.75914634146341464</v>
      </c>
      <c r="DB63" s="20">
        <v>0.2027439024390244</v>
      </c>
      <c r="DC63" s="20">
        <v>0</v>
      </c>
      <c r="DF63">
        <v>2009</v>
      </c>
      <c r="DG63" s="5">
        <v>792484.111633047</v>
      </c>
      <c r="DH63" s="29">
        <v>454821.77397071</v>
      </c>
      <c r="DI63" s="5">
        <f t="shared" si="88"/>
        <v>337662.337662337</v>
      </c>
      <c r="DJ63" s="6">
        <f t="shared" si="89"/>
        <v>0.42608089260808885</v>
      </c>
      <c r="DL63" s="34">
        <f t="shared" si="90"/>
        <v>2.4894159693166176E-2</v>
      </c>
      <c r="DM63" s="6">
        <f>(AT63-DJ63)/DJ63</f>
        <v>-1.638466148542711E-2</v>
      </c>
    </row>
    <row r="64" spans="1:117" x14ac:dyDescent="0.55000000000000004">
      <c r="A64" t="s">
        <v>73</v>
      </c>
      <c r="B64">
        <f t="shared" si="4"/>
        <v>2010</v>
      </c>
      <c r="C64" s="43">
        <f t="shared" si="81"/>
        <v>608718</v>
      </c>
      <c r="D64" s="31">
        <f t="shared" si="72"/>
        <v>1521759</v>
      </c>
      <c r="E64" s="26">
        <f t="shared" si="7"/>
        <v>0.91626707532000706</v>
      </c>
      <c r="F64" s="26" t="s">
        <v>82</v>
      </c>
      <c r="G64" s="5">
        <f t="shared" si="82"/>
        <v>608718</v>
      </c>
      <c r="H64" s="5">
        <f t="shared" si="9"/>
        <v>1596985.3916231559</v>
      </c>
      <c r="I64" s="26">
        <f t="shared" si="10"/>
        <v>0.96451789450628955</v>
      </c>
      <c r="J64" s="26">
        <f t="shared" si="54"/>
        <v>0.21022467596827565</v>
      </c>
      <c r="K64">
        <v>2010</v>
      </c>
      <c r="L64" s="43">
        <v>608718</v>
      </c>
      <c r="M64" s="31">
        <v>1521759</v>
      </c>
      <c r="O64" s="25" t="str">
        <f t="shared" si="76"/>
        <v>Brittany</v>
      </c>
      <c r="P64" s="25">
        <f t="shared" si="74"/>
        <v>2010</v>
      </c>
      <c r="Q64" s="5">
        <f t="shared" si="77"/>
        <v>608718</v>
      </c>
      <c r="R64" s="5">
        <f t="shared" si="83"/>
        <v>661736.70499843312</v>
      </c>
      <c r="S64" s="57">
        <f t="shared" si="11"/>
        <v>8.0120544316124476E-2</v>
      </c>
      <c r="T64" s="29">
        <f t="shared" si="84"/>
        <v>661736.70499843312</v>
      </c>
      <c r="U64" s="31">
        <f t="shared" si="95"/>
        <v>49889.996670395216</v>
      </c>
      <c r="V64" s="31">
        <f t="shared" si="94"/>
        <v>1222679.3400690875</v>
      </c>
      <c r="W64" s="31">
        <f t="shared" si="93"/>
        <v>318362.8739601018</v>
      </c>
      <c r="X64" s="31">
        <f t="shared" si="92"/>
        <v>6053.1809235716164</v>
      </c>
      <c r="Y64" s="22">
        <f t="shared" si="78"/>
        <v>1596985.3916231559</v>
      </c>
      <c r="Z64" s="32">
        <f t="shared" si="73"/>
        <v>480392.38729396678</v>
      </c>
      <c r="AA64" s="32">
        <f t="shared" si="68"/>
        <v>904719.68694287364</v>
      </c>
      <c r="AB64" s="32">
        <f t="shared" si="66"/>
        <v>145270.36357440299</v>
      </c>
      <c r="AC64" s="32">
        <f t="shared" si="64"/>
        <v>0</v>
      </c>
      <c r="AD64" s="12">
        <f t="shared" si="65"/>
        <v>1530382.4378112433</v>
      </c>
      <c r="AE64" s="12">
        <f t="shared" si="17"/>
        <v>2010</v>
      </c>
      <c r="AF64" s="56">
        <f t="shared" si="18"/>
        <v>3.1240108351703613E-2</v>
      </c>
      <c r="AG64" s="56">
        <f t="shared" si="19"/>
        <v>0.76561710988875831</v>
      </c>
      <c r="AH64" s="56">
        <f t="shared" si="20"/>
        <v>0.19935240211341054</v>
      </c>
      <c r="AI64" s="56"/>
      <c r="AJ64" s="68">
        <f t="shared" si="21"/>
        <v>2010</v>
      </c>
      <c r="AK64" s="60">
        <f t="shared" si="45"/>
        <v>659539.7334426723</v>
      </c>
      <c r="AL64" s="56">
        <f>CHOOSE(umethod,S64,retroU,MAX(0,cslope*(AK64-nlim)/AK64))</f>
        <v>8.0120544316124476E-2</v>
      </c>
      <c r="AM64">
        <f t="shared" si="23"/>
        <v>606697.05100113375</v>
      </c>
      <c r="AN64" s="59">
        <f t="shared" si="55"/>
        <v>1593665.0002395585</v>
      </c>
      <c r="AO64" s="59">
        <f t="shared" si="24"/>
        <v>52842.682441538549</v>
      </c>
      <c r="AP64" t="s">
        <v>53</v>
      </c>
      <c r="AQ64" s="19">
        <v>2010</v>
      </c>
      <c r="AR64" s="14">
        <v>608718</v>
      </c>
      <c r="AS64" s="5">
        <f t="shared" si="85"/>
        <v>53018.704998433124</v>
      </c>
      <c r="AT64" s="41">
        <f t="shared" si="86"/>
        <v>8.0120544316124434E-2</v>
      </c>
      <c r="AU64" s="12">
        <v>661736.70499843312</v>
      </c>
      <c r="AV64" s="6"/>
      <c r="AW64" s="6"/>
      <c r="AX64">
        <v>2010</v>
      </c>
      <c r="BF64" s="27">
        <f t="shared" si="67"/>
        <v>0.38</v>
      </c>
      <c r="BI64" s="6"/>
      <c r="BM64" s="5"/>
      <c r="BO64" s="26">
        <v>0.38</v>
      </c>
      <c r="CT64">
        <v>2010</v>
      </c>
      <c r="CU64" s="5">
        <v>608718</v>
      </c>
      <c r="CV64" s="5">
        <v>1521759</v>
      </c>
      <c r="CW64" s="6">
        <f t="shared" si="79"/>
        <v>0</v>
      </c>
      <c r="CX64" s="6">
        <f t="shared" si="80"/>
        <v>-5.6348253862456817E-3</v>
      </c>
      <c r="CY64">
        <v>2010</v>
      </c>
      <c r="CZ64" s="20">
        <v>5.3054662379421219E-2</v>
      </c>
      <c r="DA64" s="20">
        <v>0.83922829581993574</v>
      </c>
      <c r="DB64" s="20">
        <v>0.1045016077170418</v>
      </c>
      <c r="DC64" s="20">
        <v>3.2154340836012861E-3</v>
      </c>
      <c r="DF64">
        <v>2010</v>
      </c>
      <c r="DG64" s="5">
        <v>663107.409308017</v>
      </c>
      <c r="DH64" s="29">
        <v>585185.33138593903</v>
      </c>
      <c r="DI64" s="5">
        <f t="shared" si="88"/>
        <v>77922.077922077966</v>
      </c>
      <c r="DJ64" s="6">
        <f t="shared" si="89"/>
        <v>0.11751049200821512</v>
      </c>
      <c r="DL64" s="34">
        <f t="shared" si="90"/>
        <v>3.548847182784217E-2</v>
      </c>
      <c r="DM64" s="6">
        <f t="shared" si="91"/>
        <v>-0.31818390896939452</v>
      </c>
    </row>
    <row r="65" spans="1:117" x14ac:dyDescent="0.55000000000000004">
      <c r="A65" t="s">
        <v>73</v>
      </c>
      <c r="B65">
        <f t="shared" si="4"/>
        <v>2011</v>
      </c>
      <c r="C65" s="43">
        <f t="shared" si="81"/>
        <v>1079068</v>
      </c>
      <c r="D65" s="31">
        <f t="shared" si="72"/>
        <v>1567636</v>
      </c>
      <c r="E65" s="26">
        <f t="shared" si="7"/>
        <v>0.37347104651547813</v>
      </c>
      <c r="F65" s="26" t="s">
        <v>82</v>
      </c>
      <c r="G65" s="5">
        <f t="shared" si="82"/>
        <v>1079068</v>
      </c>
      <c r="H65" s="5">
        <f t="shared" si="9"/>
        <v>1137157.6669372031</v>
      </c>
      <c r="I65" s="26">
        <f t="shared" si="10"/>
        <v>5.2434168798394749E-2</v>
      </c>
      <c r="J65" s="26">
        <f t="shared" si="54"/>
        <v>-0.41228613408831222</v>
      </c>
      <c r="K65">
        <v>2011</v>
      </c>
      <c r="L65" s="43">
        <v>1079068</v>
      </c>
      <c r="M65" s="31">
        <v>1567636</v>
      </c>
      <c r="O65" s="25" t="str">
        <f t="shared" si="76"/>
        <v>Brittany</v>
      </c>
      <c r="P65" s="25">
        <f t="shared" si="74"/>
        <v>2011</v>
      </c>
      <c r="Q65" s="5">
        <f t="shared" si="77"/>
        <v>1079068</v>
      </c>
      <c r="R65" s="5">
        <f t="shared" si="83"/>
        <v>1420924.6212415406</v>
      </c>
      <c r="S65" s="57">
        <f t="shared" si="11"/>
        <v>0.24058744294460999</v>
      </c>
      <c r="T65" s="29">
        <f t="shared" si="84"/>
        <v>1420924.6212415406</v>
      </c>
      <c r="U65" s="31">
        <f t="shared" si="95"/>
        <v>64600.325957258479</v>
      </c>
      <c r="V65" s="31">
        <f t="shared" si="94"/>
        <v>879650.46261584666</v>
      </c>
      <c r="W65" s="31">
        <f t="shared" si="93"/>
        <v>190675.19909250591</v>
      </c>
      <c r="X65" s="31">
        <f t="shared" si="92"/>
        <v>2231.6792715920915</v>
      </c>
      <c r="Y65" s="22">
        <f t="shared" si="78"/>
        <v>1137157.6669372031</v>
      </c>
      <c r="Z65" s="32">
        <f t="shared" si="73"/>
        <v>452359.84347143682</v>
      </c>
      <c r="AA65" s="32">
        <f t="shared" si="68"/>
        <v>871622.18144641793</v>
      </c>
      <c r="AB65" s="32">
        <f t="shared" si="66"/>
        <v>294487.25193175912</v>
      </c>
      <c r="AC65" s="32">
        <f t="shared" si="64"/>
        <v>0</v>
      </c>
      <c r="AD65" s="12">
        <f t="shared" si="65"/>
        <v>1618469.2768496138</v>
      </c>
      <c r="AE65" s="12">
        <f t="shared" si="17"/>
        <v>2011</v>
      </c>
      <c r="AF65" s="56">
        <f t="shared" si="18"/>
        <v>5.6808592014554724E-2</v>
      </c>
      <c r="AG65" s="56">
        <f t="shared" si="19"/>
        <v>0.77355189011307368</v>
      </c>
      <c r="AH65" s="56">
        <f t="shared" si="20"/>
        <v>0.16767701140868754</v>
      </c>
      <c r="AI65" s="56"/>
      <c r="AJ65" s="68">
        <f t="shared" si="21"/>
        <v>2011</v>
      </c>
      <c r="AK65" s="60">
        <f t="shared" si="45"/>
        <v>1420920.271489149</v>
      </c>
      <c r="AL65" s="56">
        <f>CHOOSE(umethod,S65,retroU,MAX(0,cslope*(AK65-nlim)/AK65))</f>
        <v>0.24058744294460999</v>
      </c>
      <c r="AM65">
        <f t="shared" si="23"/>
        <v>1079064.6967434136</v>
      </c>
      <c r="AN65" s="59">
        <f t="shared" si="55"/>
        <v>1137156.4984471407</v>
      </c>
      <c r="AO65" s="59">
        <f t="shared" si="24"/>
        <v>341855.57474573539</v>
      </c>
      <c r="AP65" t="s">
        <v>53</v>
      </c>
      <c r="AQ65" s="19">
        <v>2011</v>
      </c>
      <c r="AR65" s="14">
        <v>1079068</v>
      </c>
      <c r="AS65" s="5">
        <f t="shared" si="85"/>
        <v>341856.62124154065</v>
      </c>
      <c r="AT65" s="41">
        <f t="shared" si="86"/>
        <v>0.24058744294460993</v>
      </c>
      <c r="AU65" s="12">
        <v>1420924.6212415406</v>
      </c>
      <c r="AV65" s="6"/>
      <c r="AW65" s="6"/>
      <c r="AX65">
        <v>2011</v>
      </c>
      <c r="BF65" s="27">
        <f t="shared" si="67"/>
        <v>0.46</v>
      </c>
      <c r="BI65" s="6"/>
      <c r="BM65" s="5"/>
      <c r="BO65" s="26">
        <v>0.46</v>
      </c>
      <c r="CT65">
        <v>2011</v>
      </c>
      <c r="CU65" s="5">
        <v>1079068</v>
      </c>
      <c r="CV65" s="5">
        <v>1567636</v>
      </c>
      <c r="CW65" s="6">
        <f t="shared" si="79"/>
        <v>0</v>
      </c>
      <c r="CX65" s="6">
        <f t="shared" si="80"/>
        <v>-3.1408243317761243E-2</v>
      </c>
      <c r="CY65">
        <v>2011</v>
      </c>
      <c r="CZ65" s="20">
        <v>1.9230769230769232E-2</v>
      </c>
      <c r="DA65" s="20">
        <v>0.93376068376068377</v>
      </c>
      <c r="DB65" s="20">
        <v>4.7008547008547008E-2</v>
      </c>
      <c r="DC65" s="20">
        <v>0</v>
      </c>
      <c r="DF65">
        <v>2011</v>
      </c>
      <c r="DG65" s="5">
        <v>1416827.8529980599</v>
      </c>
      <c r="DH65" s="29">
        <v>1027237.20048948</v>
      </c>
      <c r="DI65" s="5">
        <f t="shared" si="88"/>
        <v>389590.65250857989</v>
      </c>
      <c r="DJ65" s="6">
        <f t="shared" si="89"/>
        <v>0.27497388033711484</v>
      </c>
      <c r="DL65" s="34">
        <f t="shared" si="90"/>
        <v>3.6582284432681127E-2</v>
      </c>
      <c r="DM65" s="6">
        <f t="shared" si="91"/>
        <v>-0.12505346817067689</v>
      </c>
    </row>
    <row r="66" spans="1:117" x14ac:dyDescent="0.55000000000000004">
      <c r="A66" t="s">
        <v>73</v>
      </c>
      <c r="B66">
        <f t="shared" si="4"/>
        <v>2012</v>
      </c>
      <c r="C66" s="43">
        <f t="shared" si="81"/>
        <v>1381072</v>
      </c>
      <c r="D66" s="31">
        <f t="shared" si="72"/>
        <v>2530282</v>
      </c>
      <c r="E66" s="26">
        <f t="shared" si="7"/>
        <v>0.60547074977719351</v>
      </c>
      <c r="F66" s="26" t="s">
        <v>82</v>
      </c>
      <c r="G66" s="5">
        <f t="shared" si="82"/>
        <v>1381072</v>
      </c>
      <c r="H66" s="5">
        <f t="shared" si="9"/>
        <v>3027578.7899983842</v>
      </c>
      <c r="I66" s="26">
        <f t="shared" si="10"/>
        <v>0.7849032116775021</v>
      </c>
      <c r="J66" s="26">
        <f t="shared" si="54"/>
        <v>0.50611291584587603</v>
      </c>
      <c r="K66">
        <v>2012</v>
      </c>
      <c r="L66" s="43">
        <v>1381072</v>
      </c>
      <c r="M66" s="31">
        <v>2530282</v>
      </c>
      <c r="O66" s="25" t="str">
        <f t="shared" si="76"/>
        <v>Brittany</v>
      </c>
      <c r="P66" s="25">
        <f t="shared" si="74"/>
        <v>2012</v>
      </c>
      <c r="Q66" s="5">
        <f t="shared" si="77"/>
        <v>1381072</v>
      </c>
      <c r="R66" s="5">
        <f t="shared" si="83"/>
        <v>1702019.9096711003</v>
      </c>
      <c r="S66" s="57">
        <f t="shared" si="11"/>
        <v>0.18856883391753065</v>
      </c>
      <c r="T66" s="29">
        <f t="shared" si="84"/>
        <v>1702019.9096711003</v>
      </c>
      <c r="U66" s="31">
        <f t="shared" si="95"/>
        <v>251921.92635103708</v>
      </c>
      <c r="V66" s="31">
        <f t="shared" si="94"/>
        <v>2596814.6162122232</v>
      </c>
      <c r="W66" s="31">
        <f t="shared" si="93"/>
        <v>177418.50209157128</v>
      </c>
      <c r="X66" s="31">
        <f t="shared" si="92"/>
        <v>1423.74534355275</v>
      </c>
      <c r="Y66" s="22">
        <f>SUM(U66:X66)</f>
        <v>3027578.7899983842</v>
      </c>
      <c r="Z66" s="32">
        <f t="shared" si="73"/>
        <v>435811.09072320897</v>
      </c>
      <c r="AA66" s="32">
        <f t="shared" si="68"/>
        <v>1766923.5115905546</v>
      </c>
      <c r="AB66" s="32">
        <f t="shared" si="66"/>
        <v>107232.189</v>
      </c>
      <c r="AC66" s="32">
        <f t="shared" si="64"/>
        <v>0</v>
      </c>
      <c r="AD66" s="12">
        <f t="shared" si="65"/>
        <v>2309966.7913137632</v>
      </c>
      <c r="AE66" s="12">
        <f t="shared" si="17"/>
        <v>2012</v>
      </c>
      <c r="AF66" s="56">
        <f t="shared" si="18"/>
        <v>8.3209040565108305E-2</v>
      </c>
      <c r="AG66" s="56">
        <f t="shared" si="19"/>
        <v>0.85771991295183081</v>
      </c>
      <c r="AH66" s="56">
        <f t="shared" si="20"/>
        <v>5.860078775742314E-2</v>
      </c>
      <c r="AI66" s="56"/>
      <c r="AJ66" s="68">
        <f t="shared" si="21"/>
        <v>2012</v>
      </c>
      <c r="AK66" s="60">
        <f t="shared" si="45"/>
        <v>1702180.4100898972</v>
      </c>
      <c r="AL66" s="56">
        <f>CHOOSE(umethod,S66,retroU,MAX(0,cslope*(AK66-nlim)/AK66))</f>
        <v>0.18856883391753065</v>
      </c>
      <c r="AM66">
        <f t="shared" si="23"/>
        <v>1381202.2350419811</v>
      </c>
      <c r="AN66" s="59">
        <f t="shared" si="55"/>
        <v>3027621.5269340547</v>
      </c>
      <c r="AO66" s="59">
        <f t="shared" si="24"/>
        <v>320978.17504791613</v>
      </c>
      <c r="AP66" t="s">
        <v>53</v>
      </c>
      <c r="AQ66" s="19">
        <v>2012</v>
      </c>
      <c r="AR66" s="14">
        <v>1381072</v>
      </c>
      <c r="AS66" s="5">
        <f t="shared" si="85"/>
        <v>320947.90967110032</v>
      </c>
      <c r="AT66" s="41">
        <f t="shared" si="86"/>
        <v>0.18856883391753071</v>
      </c>
      <c r="AU66" s="12">
        <v>1702019.9096711003</v>
      </c>
      <c r="AV66" s="6"/>
      <c r="AW66" s="6"/>
      <c r="AX66">
        <v>2012</v>
      </c>
      <c r="BF66" s="27">
        <f t="shared" si="67"/>
        <v>0.38</v>
      </c>
      <c r="BI66" s="6"/>
      <c r="BM66" s="5"/>
      <c r="BO66" s="26">
        <v>0.38</v>
      </c>
      <c r="CT66">
        <v>2012</v>
      </c>
      <c r="CU66" s="5">
        <v>1381072</v>
      </c>
      <c r="CV66" s="5">
        <v>2530282</v>
      </c>
      <c r="CW66" s="6">
        <f t="shared" si="79"/>
        <v>0</v>
      </c>
      <c r="CX66" s="6">
        <f t="shared" si="80"/>
        <v>9.5375920344264078E-2</v>
      </c>
      <c r="CY66">
        <v>2012</v>
      </c>
      <c r="CZ66" s="20">
        <v>0.1065989847715736</v>
      </c>
      <c r="DA66" s="20">
        <v>0.57360406091370564</v>
      </c>
      <c r="DB66" s="20">
        <v>0.31979695431472083</v>
      </c>
      <c r="DC66" s="20">
        <v>0</v>
      </c>
      <c r="DF66">
        <v>2012</v>
      </c>
      <c r="DG66" s="5">
        <v>1703055.3033592501</v>
      </c>
      <c r="DH66" s="29">
        <v>1339438.6768246901</v>
      </c>
      <c r="DI66" s="5">
        <f t="shared" si="88"/>
        <v>363616.62653456</v>
      </c>
      <c r="DJ66" s="6">
        <f t="shared" si="89"/>
        <v>0.21350840798729898</v>
      </c>
      <c r="DL66" s="34">
        <f t="shared" si="90"/>
        <v>2.4446254383629729E-2</v>
      </c>
      <c r="DM66" s="6">
        <f t="shared" si="91"/>
        <v>-0.11680839319101594</v>
      </c>
    </row>
    <row r="67" spans="1:117" x14ac:dyDescent="0.55000000000000004">
      <c r="A67" t="s">
        <v>73</v>
      </c>
      <c r="B67">
        <f t="shared" si="4"/>
        <v>2013</v>
      </c>
      <c r="C67" s="43">
        <f t="shared" si="81"/>
        <v>1167839</v>
      </c>
      <c r="D67" s="31">
        <f t="shared" si="72"/>
        <v>1408307</v>
      </c>
      <c r="E67" s="26">
        <f t="shared" si="7"/>
        <v>0.18723324130222524</v>
      </c>
      <c r="F67" s="26" t="s">
        <v>82</v>
      </c>
      <c r="G67" s="5">
        <f t="shared" si="82"/>
        <v>1167839</v>
      </c>
      <c r="H67" s="5">
        <f t="shared" si="9"/>
        <v>805154.93228744587</v>
      </c>
      <c r="I67" s="26">
        <f t="shared" si="10"/>
        <v>-0.37187559005235787</v>
      </c>
      <c r="J67" s="26">
        <f t="shared" si="54"/>
        <v>-0.78194366099416812</v>
      </c>
      <c r="K67">
        <v>2013</v>
      </c>
      <c r="L67" s="43">
        <v>1167839</v>
      </c>
      <c r="M67" s="31">
        <v>1408307</v>
      </c>
      <c r="O67" s="25" t="str">
        <f t="shared" si="76"/>
        <v>Brittany</v>
      </c>
      <c r="P67" s="25">
        <f t="shared" si="74"/>
        <v>2013</v>
      </c>
      <c r="Q67" s="5">
        <f t="shared" si="77"/>
        <v>1167839</v>
      </c>
      <c r="R67" s="5">
        <f t="shared" si="83"/>
        <v>1601307.957646556</v>
      </c>
      <c r="S67" s="57">
        <f t="shared" si="11"/>
        <v>0.27069681105165166</v>
      </c>
      <c r="T67" s="29">
        <f t="shared" si="84"/>
        <v>1601307.957646556</v>
      </c>
      <c r="U67" s="31">
        <f t="shared" si="95"/>
        <v>151329.52308929039</v>
      </c>
      <c r="V67" s="31">
        <f t="shared" si="94"/>
        <v>636028.59240374609</v>
      </c>
      <c r="W67" s="31">
        <f t="shared" si="93"/>
        <v>17796.816794409377</v>
      </c>
      <c r="X67" s="31">
        <f t="shared" si="92"/>
        <v>0</v>
      </c>
      <c r="Y67" s="22">
        <f t="shared" si="78"/>
        <v>805154.93228744587</v>
      </c>
      <c r="Z67" s="32">
        <f t="shared" si="73"/>
        <v>883461.75579527731</v>
      </c>
      <c r="AA67" s="32">
        <f t="shared" si="68"/>
        <v>643393.13399999996</v>
      </c>
      <c r="AB67" s="32">
        <f t="shared" si="66"/>
        <v>78946.679300000003</v>
      </c>
      <c r="AC67" s="32">
        <f t="shared" si="64"/>
        <v>0</v>
      </c>
      <c r="AD67" s="12">
        <f t="shared" si="65"/>
        <v>1605801.5690952772</v>
      </c>
      <c r="AE67" s="12">
        <f t="shared" si="17"/>
        <v>2013</v>
      </c>
      <c r="AF67" s="56">
        <f t="shared" si="18"/>
        <v>0.18795081172683509</v>
      </c>
      <c r="AG67" s="56">
        <f t="shared" si="19"/>
        <v>0.78994559543563658</v>
      </c>
      <c r="AH67" s="56">
        <f t="shared" si="20"/>
        <v>2.2103592837528305E-2</v>
      </c>
      <c r="AI67" s="56"/>
      <c r="AJ67" s="68">
        <f t="shared" si="21"/>
        <v>2013</v>
      </c>
      <c r="AK67" s="60">
        <f t="shared" si="45"/>
        <v>1587914.8449579652</v>
      </c>
      <c r="AL67" s="56">
        <f>CHOOSE(umethod,S67,retroU,MAX(0,cslope*(AK67-nlim)/AK67))</f>
        <v>0.27069681105165166</v>
      </c>
      <c r="AM67">
        <f t="shared" si="23"/>
        <v>1158071.3602062662</v>
      </c>
      <c r="AN67" s="59">
        <f t="shared" si="55"/>
        <v>803236.48907990858</v>
      </c>
      <c r="AO67" s="59">
        <f t="shared" si="24"/>
        <v>429843.48475169903</v>
      </c>
      <c r="AP67" t="s">
        <v>53</v>
      </c>
      <c r="AQ67" s="19">
        <v>2013</v>
      </c>
      <c r="AR67" s="14">
        <v>1167839</v>
      </c>
      <c r="AS67" s="5">
        <f t="shared" si="85"/>
        <v>433468.95764655597</v>
      </c>
      <c r="AT67" s="41">
        <f t="shared" si="86"/>
        <v>0.27069681105165166</v>
      </c>
      <c r="AU67" s="12">
        <v>1601307.957646556</v>
      </c>
      <c r="AV67" s="6"/>
      <c r="AW67" s="6"/>
      <c r="AX67">
        <v>2013</v>
      </c>
      <c r="BF67" s="27">
        <f t="shared" si="67"/>
        <v>0.5</v>
      </c>
      <c r="BI67" s="6"/>
      <c r="BM67" s="5"/>
      <c r="BO67" s="26">
        <v>0.5</v>
      </c>
      <c r="CT67">
        <v>2013</v>
      </c>
      <c r="CU67" s="5">
        <v>1167839</v>
      </c>
      <c r="CV67" s="5">
        <v>1408307</v>
      </c>
      <c r="CW67" s="6">
        <f t="shared" si="79"/>
        <v>0</v>
      </c>
      <c r="CX67" s="6">
        <f t="shared" si="80"/>
        <v>-0.12298815301727935</v>
      </c>
      <c r="CY67">
        <v>2013</v>
      </c>
      <c r="CZ67" s="20">
        <v>3.1155778894472363E-2</v>
      </c>
      <c r="DA67" s="20">
        <v>0.74974874371859301</v>
      </c>
      <c r="DB67" s="20">
        <v>0.21105527638190955</v>
      </c>
      <c r="DC67" s="20">
        <v>8.0402010050251264E-3</v>
      </c>
      <c r="DF67">
        <v>2013</v>
      </c>
      <c r="DG67" s="5">
        <v>1586685.3511230401</v>
      </c>
      <c r="DH67" s="29">
        <v>1132139.8965775799</v>
      </c>
      <c r="DI67" s="5">
        <f t="shared" si="88"/>
        <v>454545.45454546018</v>
      </c>
      <c r="DJ67" s="6">
        <f t="shared" si="89"/>
        <v>0.28647485415034396</v>
      </c>
      <c r="DL67" s="34">
        <f t="shared" si="90"/>
        <v>2.2499169981718574E-2</v>
      </c>
      <c r="DM67" s="6">
        <f t="shared" si="91"/>
        <v>-5.5076537678982011E-2</v>
      </c>
    </row>
    <row r="68" spans="1:117" x14ac:dyDescent="0.55000000000000004">
      <c r="A68" t="s">
        <v>73</v>
      </c>
      <c r="B68">
        <f t="shared" si="4"/>
        <v>2014</v>
      </c>
      <c r="C68" s="43">
        <f t="shared" si="81"/>
        <v>1165580</v>
      </c>
      <c r="D68" s="31">
        <f t="shared" si="72"/>
        <v>810777</v>
      </c>
      <c r="E68" s="26">
        <f t="shared" si="7"/>
        <v>-0.36298104905823131</v>
      </c>
      <c r="F68" s="26" t="s">
        <v>82</v>
      </c>
      <c r="G68" s="5">
        <f t="shared" si="82"/>
        <v>1165580</v>
      </c>
      <c r="H68" s="5">
        <f t="shared" si="9"/>
        <v>920933.05007688294</v>
      </c>
      <c r="I68" s="26">
        <f t="shared" si="10"/>
        <v>-0.23558675521758243</v>
      </c>
      <c r="J68" s="26">
        <f t="shared" si="54"/>
        <v>-0.64704558881795826</v>
      </c>
      <c r="K68">
        <v>2014</v>
      </c>
      <c r="L68" s="43">
        <v>1165580</v>
      </c>
      <c r="M68" s="31">
        <v>810777</v>
      </c>
      <c r="O68" s="25" t="str">
        <f t="shared" si="76"/>
        <v>Brittany</v>
      </c>
      <c r="P68" s="25">
        <f t="shared" si="74"/>
        <v>2014</v>
      </c>
      <c r="Q68" s="5">
        <f t="shared" si="77"/>
        <v>1165580</v>
      </c>
      <c r="R68" s="5">
        <f t="shared" si="83"/>
        <v>1507866.1449047895</v>
      </c>
      <c r="S68" s="57">
        <f t="shared" si="11"/>
        <v>0.22700035149764719</v>
      </c>
      <c r="T68" s="29">
        <f t="shared" si="84"/>
        <v>1507866.1449047895</v>
      </c>
      <c r="U68" s="31">
        <f t="shared" si="95"/>
        <v>256643.11623309052</v>
      </c>
      <c r="V68" s="31">
        <f t="shared" si="94"/>
        <v>639261.65925518482</v>
      </c>
      <c r="W68" s="31">
        <f t="shared" si="93"/>
        <v>25028.274588607597</v>
      </c>
      <c r="X68" s="31">
        <f t="shared" si="92"/>
        <v>0</v>
      </c>
      <c r="Y68" s="22">
        <f t="shared" si="78"/>
        <v>920933.05007688294</v>
      </c>
      <c r="Z68" s="32">
        <f t="shared" si="73"/>
        <v>321696.56699999998</v>
      </c>
      <c r="AA68" s="32">
        <f t="shared" si="68"/>
        <v>473680.07579999993</v>
      </c>
      <c r="AB68" s="32">
        <f t="shared" si="66"/>
        <v>32614.164000000004</v>
      </c>
      <c r="AC68" s="32">
        <f t="shared" si="64"/>
        <v>0</v>
      </c>
      <c r="AD68" s="12">
        <f t="shared" si="65"/>
        <v>827990.8067999999</v>
      </c>
      <c r="AE68" s="12">
        <f t="shared" si="17"/>
        <v>2014</v>
      </c>
      <c r="AF68" s="56">
        <f t="shared" si="18"/>
        <v>0.27867727867043646</v>
      </c>
      <c r="AG68" s="56">
        <f t="shared" si="19"/>
        <v>0.69414563762459913</v>
      </c>
      <c r="AH68" s="56">
        <f t="shared" si="20"/>
        <v>2.7177083704964376E-2</v>
      </c>
      <c r="AI68" s="56"/>
      <c r="AJ68" s="68">
        <f t="shared" si="21"/>
        <v>2014</v>
      </c>
      <c r="AK68" s="60">
        <f t="shared" si="45"/>
        <v>1505232.4783333885</v>
      </c>
      <c r="AL68" s="56">
        <f>CHOOSE(umethod,S68,retroU,MAX(0,cslope*(AK68-nlim)/AK68))</f>
        <v>0.22700035149764719</v>
      </c>
      <c r="AM68">
        <f t="shared" si="23"/>
        <v>1163544.1766660346</v>
      </c>
      <c r="AN68" s="59">
        <f t="shared" si="55"/>
        <v>920477.50134691002</v>
      </c>
      <c r="AO68" s="59">
        <f t="shared" si="24"/>
        <v>341688.30166735384</v>
      </c>
      <c r="AP68" t="s">
        <v>53</v>
      </c>
      <c r="AQ68" s="19">
        <v>2014</v>
      </c>
      <c r="AR68" s="14">
        <v>1165580</v>
      </c>
      <c r="AS68" s="5">
        <f t="shared" si="85"/>
        <v>342286.14490478951</v>
      </c>
      <c r="AT68" s="41">
        <f t="shared" si="86"/>
        <v>0.22700035149764725</v>
      </c>
      <c r="AU68" s="12">
        <v>1507866.1449047895</v>
      </c>
      <c r="AV68" s="6"/>
      <c r="AW68" s="6"/>
      <c r="AX68">
        <v>2014</v>
      </c>
      <c r="BF68" s="27">
        <f t="shared" si="67"/>
        <v>0.45</v>
      </c>
      <c r="BI68" s="6"/>
      <c r="BM68" s="5"/>
      <c r="BO68" s="26">
        <v>0.45</v>
      </c>
      <c r="CT68">
        <v>2014</v>
      </c>
      <c r="CU68" s="5">
        <v>1165580</v>
      </c>
      <c r="CV68" s="5">
        <v>810777</v>
      </c>
      <c r="CW68" s="6">
        <f t="shared" si="79"/>
        <v>0</v>
      </c>
      <c r="CX68" s="6">
        <f t="shared" si="80"/>
        <v>-2.0789852566754256E-2</v>
      </c>
      <c r="CY68">
        <v>2014</v>
      </c>
      <c r="CZ68" s="20">
        <v>4.2842215256008356E-2</v>
      </c>
      <c r="DA68" s="20">
        <v>0.81086729362591436</v>
      </c>
      <c r="DB68" s="20">
        <v>0.14629049111807732</v>
      </c>
      <c r="DC68" s="20">
        <v>0</v>
      </c>
      <c r="DF68">
        <v>2014</v>
      </c>
      <c r="DG68" s="5">
        <v>1509256.7007460601</v>
      </c>
      <c r="DH68" s="29">
        <v>1132633.3241226799</v>
      </c>
      <c r="DI68" s="5">
        <f t="shared" si="88"/>
        <v>376623.37662338023</v>
      </c>
      <c r="DJ68" s="6">
        <f t="shared" si="89"/>
        <v>0.24954229220066187</v>
      </c>
      <c r="DL68" s="34">
        <f t="shared" si="90"/>
        <v>2.182973636031155E-2</v>
      </c>
      <c r="DM68" s="6">
        <f t="shared" si="91"/>
        <v>-9.0333147556760474E-2</v>
      </c>
    </row>
    <row r="69" spans="1:117" x14ac:dyDescent="0.55000000000000004">
      <c r="A69" t="s">
        <v>73</v>
      </c>
      <c r="B69">
        <f t="shared" si="4"/>
        <v>2015</v>
      </c>
      <c r="C69" s="43">
        <f t="shared" si="81"/>
        <v>950865</v>
      </c>
      <c r="D69" s="31">
        <f t="shared" si="72"/>
        <v>438554</v>
      </c>
      <c r="E69" s="26">
        <f t="shared" si="7"/>
        <v>-0.77388914531012754</v>
      </c>
      <c r="F69" s="26" t="s">
        <v>82</v>
      </c>
      <c r="G69" s="5">
        <f t="shared" si="82"/>
        <v>950865</v>
      </c>
      <c r="H69" s="5">
        <f t="shared" si="9"/>
        <v>390127.06417119328</v>
      </c>
      <c r="I69" s="26">
        <f t="shared" si="10"/>
        <v>-0.8908996050049991</v>
      </c>
      <c r="J69" s="26">
        <f t="shared" ref="J69:J76" si="96">I69-(aa-bb*G69)</f>
        <v>-1.4345486131223737</v>
      </c>
      <c r="K69">
        <v>2015</v>
      </c>
      <c r="L69" s="43">
        <v>950865</v>
      </c>
      <c r="M69" s="31">
        <v>438554</v>
      </c>
      <c r="O69" s="25" t="str">
        <f t="shared" si="76"/>
        <v>Brittany</v>
      </c>
      <c r="P69" s="25">
        <f t="shared" si="74"/>
        <v>2015</v>
      </c>
      <c r="Q69" s="5">
        <f t="shared" si="77"/>
        <v>950865</v>
      </c>
      <c r="R69" s="5">
        <f t="shared" si="83"/>
        <v>1452703.6357440299</v>
      </c>
      <c r="S69" s="57">
        <f t="shared" si="11"/>
        <v>0.34545149017060428</v>
      </c>
      <c r="T69" s="29">
        <f t="shared" si="84"/>
        <v>1452703.6357440299</v>
      </c>
      <c r="U69" s="31">
        <f t="shared" si="95"/>
        <v>130984.571606853</v>
      </c>
      <c r="V69" s="31">
        <f t="shared" si="94"/>
        <v>247702.51139240508</v>
      </c>
      <c r="W69" s="31">
        <f t="shared" si="93"/>
        <v>11439.981171935236</v>
      </c>
      <c r="X69" s="31">
        <f t="shared" si="92"/>
        <v>0</v>
      </c>
      <c r="Y69" s="22">
        <f t="shared" si="78"/>
        <v>390127.06417119328</v>
      </c>
      <c r="Z69" s="32">
        <f t="shared" si="73"/>
        <v>236840.03789999997</v>
      </c>
      <c r="AA69" s="32">
        <f t="shared" si="68"/>
        <v>195684.984</v>
      </c>
      <c r="AB69" s="32">
        <f t="shared" si="66"/>
        <v>67443.88900000001</v>
      </c>
      <c r="AC69" s="32">
        <f t="shared" si="64"/>
        <v>0</v>
      </c>
      <c r="AD69" s="12">
        <f t="shared" si="65"/>
        <v>499968.91089999996</v>
      </c>
      <c r="AE69" s="12">
        <f t="shared" si="17"/>
        <v>2015</v>
      </c>
      <c r="AF69" s="56">
        <f t="shared" si="18"/>
        <v>0.33574848718871531</v>
      </c>
      <c r="AG69" s="56">
        <f t="shared" si="19"/>
        <v>0.63492778158992247</v>
      </c>
      <c r="AH69" s="56">
        <f t="shared" si="20"/>
        <v>2.9323731221362306E-2</v>
      </c>
      <c r="AI69" s="56"/>
      <c r="AJ69" s="68">
        <f t="shared" si="21"/>
        <v>2015</v>
      </c>
      <c r="AK69" s="60">
        <f t="shared" si="45"/>
        <v>1449275.9871404259</v>
      </c>
      <c r="AL69" s="56">
        <f>CHOOSE(umethod,S69,retroU,MAX(0,cslope*(AK69-nlim)/AK69))</f>
        <v>0.34545149017060428</v>
      </c>
      <c r="AM69">
        <f t="shared" si="23"/>
        <v>948621.43771429232</v>
      </c>
      <c r="AN69" s="59">
        <f t="shared" ref="AN69:AN100" si="97">AM69*EXP(aa-bb*AM69+J69)</f>
        <v>389744.52714191086</v>
      </c>
      <c r="AO69" s="59">
        <f t="shared" si="24"/>
        <v>500654.54942613363</v>
      </c>
      <c r="AP69" t="s">
        <v>53</v>
      </c>
      <c r="AQ69" s="19">
        <v>2015</v>
      </c>
      <c r="AR69" s="14">
        <v>950865</v>
      </c>
      <c r="AS69" s="5">
        <f t="shared" si="85"/>
        <v>501838.63574402989</v>
      </c>
      <c r="AT69" s="41">
        <f t="shared" si="86"/>
        <v>0.34545149017060434</v>
      </c>
      <c r="AU69" s="12">
        <v>1452703.6357440299</v>
      </c>
      <c r="AV69" s="6"/>
      <c r="AW69" s="6"/>
      <c r="AX69">
        <v>2015</v>
      </c>
      <c r="BF69" s="27">
        <f t="shared" si="67"/>
        <v>0.52</v>
      </c>
      <c r="BI69" s="6"/>
      <c r="BM69" s="5"/>
      <c r="BO69" s="26">
        <v>0.52</v>
      </c>
      <c r="CT69">
        <v>2015</v>
      </c>
      <c r="CU69" s="5">
        <v>950865</v>
      </c>
      <c r="CV69" s="5">
        <v>438554</v>
      </c>
      <c r="CW69" s="6">
        <f t="shared" si="79"/>
        <v>0</v>
      </c>
      <c r="CX69" s="6">
        <f t="shared" si="80"/>
        <v>-0.12283745961213119</v>
      </c>
      <c r="CY69">
        <v>2015</v>
      </c>
      <c r="CZ69" s="20">
        <v>0.17341591233920914</v>
      </c>
      <c r="DA69" s="20">
        <v>0.60552644116245835</v>
      </c>
      <c r="DB69" s="20">
        <v>0.2191519771319676</v>
      </c>
      <c r="DC69" s="20">
        <v>1.9056693663649356E-3</v>
      </c>
      <c r="DF69">
        <v>2015</v>
      </c>
      <c r="DG69" s="5">
        <v>1444834.8004578999</v>
      </c>
      <c r="DH69" s="29">
        <v>925354.28097738198</v>
      </c>
      <c r="DI69" s="5">
        <f t="shared" si="88"/>
        <v>519480.51948051795</v>
      </c>
      <c r="DJ69" s="6">
        <f t="shared" si="89"/>
        <v>0.35954319436096305</v>
      </c>
      <c r="DL69" s="34">
        <f t="shared" si="90"/>
        <v>1.765649541008641E-2</v>
      </c>
      <c r="DM69" s="6">
        <f t="shared" si="91"/>
        <v>-3.9193355378078325E-2</v>
      </c>
    </row>
    <row r="70" spans="1:117" x14ac:dyDescent="0.55000000000000004">
      <c r="A70" t="s">
        <v>73</v>
      </c>
      <c r="B70">
        <f t="shared" ref="B70:B76" si="98">K70</f>
        <v>2016</v>
      </c>
      <c r="C70" s="43">
        <f t="shared" si="81"/>
        <v>1975386</v>
      </c>
      <c r="D70" s="31">
        <f t="shared" si="72"/>
        <v>597944</v>
      </c>
      <c r="E70" s="26">
        <f t="shared" ref="E70:E71" si="99">LN(D70/C70)</f>
        <v>-1.1950219971960248</v>
      </c>
      <c r="F70" s="26" t="s">
        <v>82</v>
      </c>
      <c r="G70" s="5">
        <f t="shared" si="82"/>
        <v>1975386</v>
      </c>
      <c r="H70" s="5">
        <f t="shared" ref="H70:H71" si="100">Y70</f>
        <v>718625.96095230442</v>
      </c>
      <c r="I70" s="26">
        <f t="shared" ref="I70:I71" si="101">LN(H70/G70)</f>
        <v>-1.0111781001244562</v>
      </c>
      <c r="J70" s="26">
        <f t="shared" si="96"/>
        <v>-0.92407653289157543</v>
      </c>
      <c r="K70">
        <v>2016</v>
      </c>
      <c r="L70" s="43">
        <v>1975386</v>
      </c>
      <c r="M70" s="31">
        <v>597944</v>
      </c>
      <c r="O70" s="25" t="str">
        <f t="shared" si="76"/>
        <v>Brittany</v>
      </c>
      <c r="P70" s="25">
        <f t="shared" si="74"/>
        <v>2016</v>
      </c>
      <c r="Q70" s="5">
        <f t="shared" si="77"/>
        <v>1975386</v>
      </c>
      <c r="R70" s="5">
        <f t="shared" si="83"/>
        <v>2944872.5193175911</v>
      </c>
      <c r="S70" s="57">
        <f t="shared" ref="S70:S76" si="102">1-Q70/R70</f>
        <v>0.32921171050971265</v>
      </c>
      <c r="T70" s="29">
        <f t="shared" si="84"/>
        <v>2944872.5193175911</v>
      </c>
      <c r="U70" s="31">
        <f t="shared" si="95"/>
        <v>53410.854018987346</v>
      </c>
      <c r="V70" s="31">
        <f t="shared" si="94"/>
        <v>570959.06030840403</v>
      </c>
      <c r="W70" s="31">
        <f t="shared" si="93"/>
        <v>94256.046624913011</v>
      </c>
      <c r="X70" s="31">
        <f t="shared" si="92"/>
        <v>0</v>
      </c>
      <c r="Y70" s="22">
        <f t="shared" si="78"/>
        <v>718625.96095230442</v>
      </c>
      <c r="Z70" s="32">
        <f t="shared" si="73"/>
        <v>97842.491999999998</v>
      </c>
      <c r="AA70" s="32">
        <f t="shared" si="68"/>
        <v>404663.33399999997</v>
      </c>
      <c r="AB70" s="32">
        <f t="shared" si="66"/>
        <v>52702.700000000004</v>
      </c>
      <c r="AC70" s="32">
        <f t="shared" si="64"/>
        <v>0</v>
      </c>
      <c r="AD70" s="12">
        <f t="shared" si="65"/>
        <v>555208.52599999995</v>
      </c>
      <c r="AE70" s="12">
        <f t="shared" ref="AE70:AE77" si="103">B70</f>
        <v>2016</v>
      </c>
      <c r="AF70" s="56">
        <f t="shared" ref="AF70:AF71" si="104">U70/$Y70</f>
        <v>7.4323579888776456E-2</v>
      </c>
      <c r="AG70" s="56">
        <f t="shared" ref="AG70:AG71" si="105">V70/$Y70</f>
        <v>0.7945149373003223</v>
      </c>
      <c r="AH70" s="56">
        <f t="shared" ref="AH70:AH71" si="106">W70/$Y70</f>
        <v>0.13116148281090118</v>
      </c>
      <c r="AI70" s="56"/>
      <c r="AJ70" s="68">
        <f t="shared" ref="AJ70:AJ75" si="107">B70</f>
        <v>2016</v>
      </c>
      <c r="AK70" s="60">
        <f t="shared" si="45"/>
        <v>2938495.2258277331</v>
      </c>
      <c r="AL70" s="56">
        <f>CHOOSE(umethod,S70,retroU,MAX(0,cslope*(AK70-nlim)/AK70))</f>
        <v>0.32921171050971265</v>
      </c>
      <c r="AM70">
        <f t="shared" ref="AM70:AM76" si="108">AK70*(1-AL70)</f>
        <v>1971108.1862083606</v>
      </c>
      <c r="AN70" s="59">
        <f t="shared" si="97"/>
        <v>718960.73682986316</v>
      </c>
      <c r="AO70" s="59">
        <f t="shared" ref="AO70:AO76" si="109">AK70-AM70</f>
        <v>967387.03961937246</v>
      </c>
      <c r="AP70" t="s">
        <v>53</v>
      </c>
      <c r="AQ70" s="19">
        <v>2016</v>
      </c>
      <c r="AR70" s="14">
        <v>1975386</v>
      </c>
      <c r="AS70" s="5">
        <f t="shared" si="85"/>
        <v>969486.5193175911</v>
      </c>
      <c r="AT70" s="41">
        <f t="shared" si="86"/>
        <v>0.32921171050971271</v>
      </c>
      <c r="AU70" s="12">
        <v>2944872.5193175911</v>
      </c>
      <c r="AV70" s="6"/>
      <c r="AX70">
        <v>2016</v>
      </c>
      <c r="BF70" s="27">
        <f t="shared" si="67"/>
        <v>0.46</v>
      </c>
      <c r="BI70" s="6"/>
      <c r="BM70" s="5"/>
      <c r="BO70" s="26">
        <v>0.46</v>
      </c>
      <c r="CT70">
        <v>2016</v>
      </c>
      <c r="CU70" s="5">
        <v>1975386</v>
      </c>
      <c r="CV70" s="5">
        <v>597944</v>
      </c>
      <c r="CW70" s="6">
        <f t="shared" si="79"/>
        <v>0</v>
      </c>
      <c r="CX70" s="6">
        <f t="shared" si="80"/>
        <v>7.6971933964861433E-2</v>
      </c>
      <c r="CY70">
        <v>2016</v>
      </c>
      <c r="CZ70" s="20">
        <v>5.1387461459403906E-2</v>
      </c>
      <c r="DA70" s="20">
        <v>0.88180883864337101</v>
      </c>
      <c r="DB70" s="20">
        <v>6.4748201438848921E-2</v>
      </c>
      <c r="DC70" s="20">
        <v>2.0554984583761563E-3</v>
      </c>
      <c r="DF70">
        <v>2016</v>
      </c>
      <c r="DG70" s="5">
        <v>2951821.7344964999</v>
      </c>
      <c r="DH70" s="29">
        <v>1938834.7215094899</v>
      </c>
      <c r="DI70" s="5">
        <f t="shared" si="88"/>
        <v>1012987.0129870099</v>
      </c>
      <c r="DJ70" s="6">
        <f t="shared" si="89"/>
        <v>0.3431735057536589</v>
      </c>
      <c r="DL70" s="34">
        <f t="shared" si="90"/>
        <v>1.2382617169374803E-2</v>
      </c>
      <c r="DM70" s="6">
        <f t="shared" si="91"/>
        <v>-4.0684362311956643E-2</v>
      </c>
    </row>
    <row r="71" spans="1:117" x14ac:dyDescent="0.55000000000000004">
      <c r="A71" t="s">
        <v>73</v>
      </c>
      <c r="B71">
        <f t="shared" si="98"/>
        <v>2017</v>
      </c>
      <c r="C71" s="43">
        <f t="shared" si="81"/>
        <v>659667</v>
      </c>
      <c r="D71" s="31">
        <f t="shared" si="72"/>
        <v>599216</v>
      </c>
      <c r="E71" s="26">
        <f t="shared" si="99"/>
        <v>-9.6113028123834918E-2</v>
      </c>
      <c r="F71" s="26" t="s">
        <v>82</v>
      </c>
      <c r="G71" s="5">
        <f t="shared" si="82"/>
        <v>659667</v>
      </c>
      <c r="H71" s="5">
        <f t="shared" si="100"/>
        <v>465319.3902733142</v>
      </c>
      <c r="I71" s="26">
        <f t="shared" si="101"/>
        <v>-0.34901113163077735</v>
      </c>
      <c r="J71" s="26">
        <f t="shared" si="96"/>
        <v>-1.0719373883754066</v>
      </c>
      <c r="K71">
        <v>2017</v>
      </c>
      <c r="L71" s="43">
        <v>659667</v>
      </c>
      <c r="M71" s="31">
        <v>599216</v>
      </c>
      <c r="O71" s="25" t="str">
        <f t="shared" si="76"/>
        <v>Brittany</v>
      </c>
      <c r="P71" s="25">
        <f t="shared" si="74"/>
        <v>2017</v>
      </c>
      <c r="Q71" s="5">
        <f t="shared" si="77"/>
        <v>659667</v>
      </c>
      <c r="R71" s="5">
        <f t="shared" si="83"/>
        <v>1072321.8899999999</v>
      </c>
      <c r="S71" s="57">
        <f t="shared" si="102"/>
        <v>0.38482371184271913</v>
      </c>
      <c r="T71" s="29">
        <f t="shared" si="84"/>
        <v>1072321.8899999999</v>
      </c>
      <c r="U71" s="31">
        <f>$R74*CZ74</f>
        <v>92039.848519660751</v>
      </c>
      <c r="V71" s="31">
        <f>$R75*DA75</f>
        <v>257462.04175365344</v>
      </c>
      <c r="W71" s="31">
        <f t="shared" si="93"/>
        <v>115817.5</v>
      </c>
      <c r="X71" s="31">
        <f t="shared" si="92"/>
        <v>0</v>
      </c>
      <c r="Y71" s="22">
        <f>SUM(U71:X71)</f>
        <v>465319.3902733142</v>
      </c>
      <c r="Z71" s="32">
        <f t="shared" si="73"/>
        <v>202331.66699999999</v>
      </c>
      <c r="AA71" s="32">
        <f t="shared" si="68"/>
        <v>316216.2</v>
      </c>
      <c r="AB71" s="32">
        <f t="shared" si="66"/>
        <v>115817.5</v>
      </c>
      <c r="AC71" s="32">
        <f t="shared" si="64"/>
        <v>0</v>
      </c>
      <c r="AD71" s="12">
        <f t="shared" si="65"/>
        <v>634365.36699999997</v>
      </c>
      <c r="AE71" s="12">
        <f t="shared" si="103"/>
        <v>2017</v>
      </c>
      <c r="AF71" s="56">
        <f t="shared" si="104"/>
        <v>0.19779929752250255</v>
      </c>
      <c r="AG71" s="56">
        <f t="shared" si="105"/>
        <v>0.55330176892570115</v>
      </c>
      <c r="AH71" s="56">
        <f t="shared" si="106"/>
        <v>0.24889893355179629</v>
      </c>
      <c r="AI71" s="56"/>
      <c r="AJ71" s="68">
        <f t="shared" si="107"/>
        <v>2017</v>
      </c>
      <c r="AK71" s="60">
        <f t="shared" si="45"/>
        <v>1068450.2983042465</v>
      </c>
      <c r="AL71" s="56">
        <f>CHOOSE(umethod,S71,retroU,MAX(0,cslope*(AK71-nlim)/AK71))</f>
        <v>0.38482371184271913</v>
      </c>
      <c r="AM71">
        <f t="shared" si="108"/>
        <v>657285.28859134589</v>
      </c>
      <c r="AN71" s="59">
        <f t="shared" si="97"/>
        <v>464319.704024565</v>
      </c>
      <c r="AO71" s="59">
        <f t="shared" si="109"/>
        <v>411165.00971290062</v>
      </c>
      <c r="AP71" t="s">
        <v>53</v>
      </c>
      <c r="AQ71" s="19">
        <v>2017</v>
      </c>
      <c r="AR71" s="14">
        <v>659667</v>
      </c>
      <c r="AS71" s="5">
        <f t="shared" si="85"/>
        <v>412654.8899999999</v>
      </c>
      <c r="AT71" s="41">
        <f t="shared" si="86"/>
        <v>0.38482371184271913</v>
      </c>
      <c r="AU71" s="12">
        <v>1072321.8899999999</v>
      </c>
      <c r="AV71" s="6"/>
      <c r="AX71">
        <v>2017</v>
      </c>
      <c r="BF71" s="27">
        <f t="shared" si="67"/>
        <v>0.56000000000000005</v>
      </c>
      <c r="BI71" s="6"/>
      <c r="BM71" s="5"/>
      <c r="BO71" s="26">
        <v>0.56000000000000005</v>
      </c>
      <c r="CT71">
        <v>2017</v>
      </c>
      <c r="CU71" s="5">
        <v>659667</v>
      </c>
      <c r="CV71" s="5">
        <v>599216</v>
      </c>
      <c r="CW71" s="6">
        <f t="shared" si="79"/>
        <v>0</v>
      </c>
      <c r="CX71" s="6">
        <f t="shared" si="80"/>
        <v>-5.5408710545195909E-2</v>
      </c>
      <c r="CY71">
        <v>2017</v>
      </c>
      <c r="CZ71" s="20">
        <v>0.23933402705515089</v>
      </c>
      <c r="DA71" s="20">
        <v>0.59313215400624353</v>
      </c>
      <c r="DB71" s="20">
        <v>0.16545265348595214</v>
      </c>
      <c r="DC71" s="20">
        <v>2.0811654526534861E-3</v>
      </c>
      <c r="DF71">
        <v>2017</v>
      </c>
      <c r="DG71" s="5">
        <v>1056231.00303951</v>
      </c>
      <c r="DH71" s="29">
        <v>640646.587455097</v>
      </c>
      <c r="DI71" s="5">
        <f t="shared" si="88"/>
        <v>415584.41558441299</v>
      </c>
      <c r="DJ71" s="6">
        <f t="shared" si="89"/>
        <v>0.39345977763243839</v>
      </c>
      <c r="DL71" s="34">
        <f t="shared" si="90"/>
        <v>1.8007815042512539E-2</v>
      </c>
      <c r="DM71" s="6">
        <f t="shared" si="91"/>
        <v>-2.1949043538033224E-2</v>
      </c>
    </row>
    <row r="72" spans="1:117" x14ac:dyDescent="0.55000000000000004">
      <c r="A72" t="s">
        <v>73</v>
      </c>
      <c r="B72">
        <f t="shared" si="98"/>
        <v>2018</v>
      </c>
      <c r="C72" s="5">
        <f t="shared" si="81"/>
        <v>684875</v>
      </c>
      <c r="G72" s="5">
        <f t="shared" si="82"/>
        <v>684875</v>
      </c>
      <c r="H72" s="5"/>
      <c r="I72" s="49">
        <v>0.95</v>
      </c>
      <c r="J72" s="26">
        <f t="shared" si="96"/>
        <v>0.24259315232890777</v>
      </c>
      <c r="K72">
        <v>2018</v>
      </c>
      <c r="L72" s="5">
        <v>684875</v>
      </c>
      <c r="M72" s="5"/>
      <c r="O72" s="25" t="str">
        <f t="shared" si="76"/>
        <v>Brittany</v>
      </c>
      <c r="P72" s="25">
        <f t="shared" si="74"/>
        <v>2018</v>
      </c>
      <c r="Q72">
        <f t="shared" si="77"/>
        <v>684875</v>
      </c>
      <c r="R72" s="5">
        <f t="shared" ref="R72:R76" si="110">AU72</f>
        <v>789466.79299999995</v>
      </c>
      <c r="S72" s="57">
        <f t="shared" si="102"/>
        <v>0.13248409423599394</v>
      </c>
      <c r="T72" s="29">
        <f t="shared" si="84"/>
        <v>789466.79299999995</v>
      </c>
      <c r="U72" s="31">
        <f t="shared" si="95"/>
        <v>175308.91162143357</v>
      </c>
      <c r="V72" s="31">
        <f t="shared" si="94"/>
        <v>694905</v>
      </c>
      <c r="W72" s="31">
        <f t="shared" si="93"/>
        <v>0</v>
      </c>
      <c r="X72" s="31">
        <f t="shared" si="92"/>
        <v>0</v>
      </c>
      <c r="Z72" s="32">
        <f t="shared" si="73"/>
        <v>158108.1</v>
      </c>
      <c r="AA72" s="32">
        <f t="shared" si="68"/>
        <v>694905</v>
      </c>
      <c r="AB72" s="32">
        <f t="shared" si="66"/>
        <v>0</v>
      </c>
      <c r="AC72" s="32">
        <f t="shared" si="64"/>
        <v>0</v>
      </c>
      <c r="AD72" s="29" t="e">
        <f>NA()</f>
        <v>#N/A</v>
      </c>
      <c r="AE72" s="12">
        <f t="shared" si="103"/>
        <v>2018</v>
      </c>
      <c r="AF72" s="56">
        <f>AF71</f>
        <v>0.19779929752250255</v>
      </c>
      <c r="AG72" s="56">
        <f t="shared" ref="AG72:AH72" si="111">AG71</f>
        <v>0.55330176892570115</v>
      </c>
      <c r="AH72" s="56">
        <f t="shared" si="111"/>
        <v>0.24889893355179629</v>
      </c>
      <c r="AI72" s="56"/>
      <c r="AJ72" s="68">
        <f t="shared" si="107"/>
        <v>2018</v>
      </c>
      <c r="AK72" s="60">
        <f t="shared" si="45"/>
        <v>787555.98977639445</v>
      </c>
      <c r="AL72" s="56">
        <f>CHOOSE(umethod,S72,retroU,MAX(0,cslope*(AK72-nlim)/AK72))</f>
        <v>0.13248409423599394</v>
      </c>
      <c r="AM72">
        <f t="shared" si="108"/>
        <v>683217.34781073709</v>
      </c>
      <c r="AN72" s="59">
        <f t="shared" si="97"/>
        <v>1768405.5043224066</v>
      </c>
      <c r="AO72" s="59">
        <f t="shared" si="109"/>
        <v>104338.64196565736</v>
      </c>
      <c r="AP72" t="s">
        <v>53</v>
      </c>
      <c r="AQ72">
        <v>2018</v>
      </c>
      <c r="AR72" s="5">
        <v>684875</v>
      </c>
      <c r="AS72" s="5">
        <f t="shared" si="85"/>
        <v>104591.79299999995</v>
      </c>
      <c r="AT72" s="41">
        <f t="shared" si="86"/>
        <v>0.13248409423599397</v>
      </c>
      <c r="AU72" s="12">
        <v>789466.79299999995</v>
      </c>
      <c r="AX72">
        <v>2018</v>
      </c>
      <c r="BF72" s="27">
        <f t="shared" si="67"/>
        <v>0.36</v>
      </c>
      <c r="BI72" s="6"/>
      <c r="BM72" s="5"/>
      <c r="BO72" s="26">
        <v>0.36</v>
      </c>
      <c r="CT72">
        <v>2018</v>
      </c>
      <c r="CY72">
        <v>2018</v>
      </c>
      <c r="CZ72" s="20">
        <v>0.16591523895401261</v>
      </c>
      <c r="DA72" s="20">
        <v>0.80973850315599638</v>
      </c>
      <c r="DB72" s="20">
        <v>2.2542831379621282E-2</v>
      </c>
      <c r="DC72" s="20">
        <v>1.8034265103697023E-3</v>
      </c>
      <c r="DF72">
        <v>2018</v>
      </c>
      <c r="DG72" s="5">
        <v>771029.88197213202</v>
      </c>
      <c r="DH72" s="29">
        <v>654127.02798720996</v>
      </c>
      <c r="DI72" s="5">
        <f t="shared" si="88"/>
        <v>116902.85398492205</v>
      </c>
      <c r="DJ72" s="6">
        <f t="shared" si="89"/>
        <v>0.15161909637783322</v>
      </c>
      <c r="DL72" s="34">
        <f t="shared" si="90"/>
        <v>3.9879092538078031E-2</v>
      </c>
      <c r="DM72" s="6">
        <f t="shared" si="91"/>
        <v>-0.12620443333968315</v>
      </c>
    </row>
    <row r="73" spans="1:117" x14ac:dyDescent="0.55000000000000004">
      <c r="A73" t="s">
        <v>73</v>
      </c>
      <c r="B73">
        <f t="shared" si="98"/>
        <v>2019</v>
      </c>
      <c r="C73" s="5">
        <f t="shared" si="81"/>
        <v>303816</v>
      </c>
      <c r="G73" s="5">
        <f t="shared" si="82"/>
        <v>303816</v>
      </c>
      <c r="I73" s="49">
        <v>0</v>
      </c>
      <c r="J73" s="26">
        <f t="shared" si="96"/>
        <v>-0.94200739123476052</v>
      </c>
      <c r="K73">
        <v>2019</v>
      </c>
      <c r="L73" s="5">
        <v>303816</v>
      </c>
      <c r="M73" s="5"/>
      <c r="O73" s="25" t="str">
        <f t="shared" si="76"/>
        <v>Brittany</v>
      </c>
      <c r="P73" s="25">
        <f t="shared" si="74"/>
        <v>2019</v>
      </c>
      <c r="Q73">
        <f t="shared" si="77"/>
        <v>303816</v>
      </c>
      <c r="R73" s="5">
        <f t="shared" si="110"/>
        <v>326141.64</v>
      </c>
      <c r="S73" s="57">
        <f t="shared" si="102"/>
        <v>6.8453816568776693E-2</v>
      </c>
      <c r="T73" s="29">
        <f t="shared" si="84"/>
        <v>326141.64</v>
      </c>
      <c r="U73" s="31">
        <f t="shared" si="95"/>
        <v>347452.5</v>
      </c>
      <c r="V73" s="31">
        <f t="shared" si="94"/>
        <v>0</v>
      </c>
      <c r="W73" s="31">
        <f t="shared" si="93"/>
        <v>0</v>
      </c>
      <c r="X73" s="31">
        <f t="shared" si="92"/>
        <v>0</v>
      </c>
      <c r="Z73" s="32">
        <f t="shared" si="73"/>
        <v>347452.5</v>
      </c>
      <c r="AA73" s="32">
        <f t="shared" si="68"/>
        <v>0</v>
      </c>
      <c r="AB73" s="32">
        <f t="shared" si="66"/>
        <v>0</v>
      </c>
      <c r="AC73" s="32">
        <f t="shared" si="64"/>
        <v>0</v>
      </c>
      <c r="AD73" s="29" t="e">
        <f>NA()</f>
        <v>#N/A</v>
      </c>
      <c r="AE73" s="12">
        <f t="shared" si="103"/>
        <v>2019</v>
      </c>
      <c r="AF73" s="56">
        <f t="shared" ref="AF73:AF77" si="112">AF72</f>
        <v>0.19779929752250255</v>
      </c>
      <c r="AG73" s="56">
        <f t="shared" ref="AG73:AG77" si="113">AG72</f>
        <v>0.55330176892570115</v>
      </c>
      <c r="AH73" s="56">
        <f t="shared" ref="AH73:AH77" si="114">AH72</f>
        <v>0.24889893355179629</v>
      </c>
      <c r="AI73" s="56"/>
      <c r="AJ73" s="68">
        <f t="shared" si="107"/>
        <v>2019</v>
      </c>
      <c r="AK73" s="60">
        <f t="shared" si="45"/>
        <v>325911.25786833616</v>
      </c>
      <c r="AL73" s="56">
        <f>CHOOSE(umethod,S73,retroU,MAX(0,cslope*(AK73-nlim)/AK73))</f>
        <v>6.8453816568776693E-2</v>
      </c>
      <c r="AM73">
        <f t="shared" si="108"/>
        <v>303601.38840451778</v>
      </c>
      <c r="AN73" s="59">
        <f t="shared" si="97"/>
        <v>303641.50484750437</v>
      </c>
      <c r="AO73" s="59">
        <f t="shared" si="109"/>
        <v>22309.869463818381</v>
      </c>
      <c r="AP73" t="s">
        <v>53</v>
      </c>
      <c r="AQ73">
        <v>2019</v>
      </c>
      <c r="AR73" s="5">
        <v>303816</v>
      </c>
      <c r="AS73" s="5">
        <f t="shared" si="85"/>
        <v>22325.640000000014</v>
      </c>
      <c r="AT73" s="41">
        <f t="shared" si="86"/>
        <v>6.8453816568776721E-2</v>
      </c>
      <c r="AU73" s="12">
        <v>326141.64</v>
      </c>
      <c r="AX73">
        <v>2019</v>
      </c>
      <c r="BF73" s="27">
        <f t="shared" si="67"/>
        <v>0.25</v>
      </c>
      <c r="BI73" s="6"/>
      <c r="BM73" s="5"/>
      <c r="BO73" s="26">
        <v>0.25</v>
      </c>
      <c r="CT73">
        <v>2019</v>
      </c>
      <c r="CY73">
        <v>2019</v>
      </c>
      <c r="CZ73" s="20">
        <v>0.16376582278481014</v>
      </c>
      <c r="DA73" s="20">
        <v>0.759493670886076</v>
      </c>
      <c r="DB73" s="20">
        <v>7.6740506329113931E-2</v>
      </c>
      <c r="DC73" s="20">
        <v>0</v>
      </c>
      <c r="DF73">
        <v>2019</v>
      </c>
      <c r="DG73" s="5">
        <v>329945.13085698499</v>
      </c>
      <c r="DH73" s="29">
        <v>303971.10488295899</v>
      </c>
      <c r="DI73" s="5">
        <f t="shared" si="88"/>
        <v>25974.025974026008</v>
      </c>
      <c r="DJ73" s="6">
        <f t="shared" si="89"/>
        <v>7.8722258778489054E-2</v>
      </c>
      <c r="DL73" s="34">
        <f t="shared" si="90"/>
        <v>-4.7009295926302288E-4</v>
      </c>
      <c r="DM73" s="6">
        <f t="shared" si="91"/>
        <v>-0.13043886658036541</v>
      </c>
    </row>
    <row r="74" spans="1:117" x14ac:dyDescent="0.55000000000000004">
      <c r="A74" t="s">
        <v>73</v>
      </c>
      <c r="B74">
        <f t="shared" si="98"/>
        <v>2020</v>
      </c>
      <c r="C74" s="5">
        <f t="shared" si="81"/>
        <v>542377</v>
      </c>
      <c r="G74" s="5">
        <f t="shared" si="82"/>
        <v>542377</v>
      </c>
      <c r="I74" s="49">
        <v>0</v>
      </c>
      <c r="J74" s="26">
        <f t="shared" si="96"/>
        <v>-0.79513632855656047</v>
      </c>
      <c r="K74">
        <v>2020</v>
      </c>
      <c r="L74" s="5">
        <v>542377</v>
      </c>
      <c r="M74" s="5"/>
      <c r="O74" s="25" t="str">
        <f t="shared" si="76"/>
        <v>Brittany</v>
      </c>
      <c r="P74" s="25">
        <f t="shared" si="74"/>
        <v>2020</v>
      </c>
      <c r="Q74">
        <f t="shared" si="77"/>
        <v>542377</v>
      </c>
      <c r="R74" s="5">
        <f t="shared" si="110"/>
        <v>674438.89</v>
      </c>
      <c r="S74" s="57">
        <f t="shared" si="102"/>
        <v>0.1958100162343841</v>
      </c>
      <c r="T74" s="29">
        <f t="shared" si="84"/>
        <v>674438.89</v>
      </c>
      <c r="U74" s="31">
        <f t="shared" si="95"/>
        <v>0</v>
      </c>
      <c r="V74" s="31">
        <f t="shared" si="94"/>
        <v>0</v>
      </c>
      <c r="W74" s="31">
        <f t="shared" si="93"/>
        <v>0</v>
      </c>
      <c r="X74" s="31">
        <f t="shared" si="92"/>
        <v>0</v>
      </c>
      <c r="Z74" s="31">
        <f t="shared" ref="Z74:Z76" si="115">$T77*$CZ77</f>
        <v>0</v>
      </c>
      <c r="AA74" s="31">
        <f t="shared" ref="AA74:AA76" si="116">$T78*$DA78</f>
        <v>0</v>
      </c>
      <c r="AB74" s="31">
        <f t="shared" ref="AB74:AB76" si="117">$T79*$DB79</f>
        <v>0</v>
      </c>
      <c r="AC74" s="31">
        <f t="shared" ref="AC74:AC76" si="118">$T80*$DC80</f>
        <v>0</v>
      </c>
      <c r="AD74" s="29" t="e">
        <f>NA()</f>
        <v>#N/A</v>
      </c>
      <c r="AE74" s="12">
        <f t="shared" si="103"/>
        <v>2020</v>
      </c>
      <c r="AF74" s="56">
        <f t="shared" si="112"/>
        <v>0.19779929752250255</v>
      </c>
      <c r="AG74" s="56">
        <f t="shared" si="113"/>
        <v>0.55330176892570115</v>
      </c>
      <c r="AH74" s="56">
        <f t="shared" si="114"/>
        <v>0.24889893355179629</v>
      </c>
      <c r="AI74" s="56"/>
      <c r="AJ74" s="68">
        <f t="shared" si="107"/>
        <v>2020</v>
      </c>
      <c r="AK74" s="60">
        <f t="shared" si="45"/>
        <v>674495.91978459386</v>
      </c>
      <c r="AL74" s="56">
        <f>CHOOSE(umethod,S74,retroU,MAX(0,cslope*(AK74-nlim)/AK74))</f>
        <v>0.1958100162343841</v>
      </c>
      <c r="AM74">
        <f t="shared" si="108"/>
        <v>542422.86278154666</v>
      </c>
      <c r="AN74" s="59">
        <f t="shared" si="97"/>
        <v>542407.54735711846</v>
      </c>
      <c r="AO74" s="59">
        <f t="shared" si="109"/>
        <v>132073.0570030472</v>
      </c>
      <c r="AP74" t="s">
        <v>53</v>
      </c>
      <c r="AQ74">
        <v>2020</v>
      </c>
      <c r="AR74" s="5">
        <v>542377</v>
      </c>
      <c r="AS74" s="5">
        <f t="shared" si="85"/>
        <v>132061.89000000001</v>
      </c>
      <c r="AT74" s="41">
        <f t="shared" si="86"/>
        <v>0.19581001623438413</v>
      </c>
      <c r="AU74" s="12">
        <v>674438.89</v>
      </c>
      <c r="AX74">
        <v>2020</v>
      </c>
      <c r="BF74" s="27">
        <f t="shared" si="67"/>
        <v>0.30774842740380398</v>
      </c>
      <c r="BI74" s="6"/>
      <c r="BM74" s="5"/>
      <c r="BO74" s="26">
        <v>0.30774842740380398</v>
      </c>
      <c r="CT74">
        <v>2020</v>
      </c>
      <c r="CY74">
        <v>2020</v>
      </c>
      <c r="CZ74" s="20">
        <v>0.13646877409406322</v>
      </c>
      <c r="DA74" s="20">
        <v>0.84656900539707014</v>
      </c>
      <c r="DB74" s="20">
        <v>1.6962220508866616E-2</v>
      </c>
      <c r="DC74" s="20">
        <v>0</v>
      </c>
      <c r="DF74">
        <v>2020</v>
      </c>
      <c r="DG74" s="5">
        <v>668100.89606442198</v>
      </c>
      <c r="DH74" s="29">
        <v>525243.75320727995</v>
      </c>
      <c r="DI74" s="5">
        <f t="shared" si="88"/>
        <v>142857.14285714203</v>
      </c>
      <c r="DJ74" s="6">
        <f t="shared" si="89"/>
        <v>0.2138257016248141</v>
      </c>
      <c r="DL74" s="34">
        <f t="shared" si="90"/>
        <v>2.564469961595137E-2</v>
      </c>
      <c r="DM74" s="6">
        <f t="shared" si="91"/>
        <v>-8.4254068867927343E-2</v>
      </c>
    </row>
    <row r="75" spans="1:117" x14ac:dyDescent="0.55000000000000004">
      <c r="A75" t="s">
        <v>73</v>
      </c>
      <c r="B75">
        <f t="shared" si="98"/>
        <v>2021</v>
      </c>
      <c r="C75" s="5">
        <f t="shared" si="81"/>
        <v>499287</v>
      </c>
      <c r="G75" s="5">
        <f t="shared" si="82"/>
        <v>499287</v>
      </c>
      <c r="I75" s="49">
        <v>0</v>
      </c>
      <c r="J75" s="26">
        <f t="shared" si="96"/>
        <v>-0.82166486461569677</v>
      </c>
      <c r="K75">
        <v>2021</v>
      </c>
      <c r="L75" s="5">
        <v>499287</v>
      </c>
      <c r="M75" s="5"/>
      <c r="O75" s="25" t="str">
        <f t="shared" si="76"/>
        <v>Brittany</v>
      </c>
      <c r="P75" s="25">
        <f t="shared" si="74"/>
        <v>2021</v>
      </c>
      <c r="Q75">
        <f t="shared" si="77"/>
        <v>499287</v>
      </c>
      <c r="R75" s="5">
        <f>AU75</f>
        <v>527027</v>
      </c>
      <c r="S75" s="57">
        <f t="shared" si="102"/>
        <v>5.2634874494096096E-2</v>
      </c>
      <c r="T75" s="29">
        <f t="shared" si="84"/>
        <v>527027</v>
      </c>
      <c r="U75" s="31">
        <f t="shared" si="95"/>
        <v>0</v>
      </c>
      <c r="V75" s="31">
        <f t="shared" si="94"/>
        <v>0</v>
      </c>
      <c r="W75" s="31">
        <f t="shared" si="93"/>
        <v>0</v>
      </c>
      <c r="X75" s="31">
        <f t="shared" si="92"/>
        <v>0</v>
      </c>
      <c r="Z75" s="31">
        <f t="shared" si="115"/>
        <v>0</v>
      </c>
      <c r="AA75" s="31">
        <f t="shared" si="116"/>
        <v>0</v>
      </c>
      <c r="AB75" s="31">
        <f t="shared" si="117"/>
        <v>0</v>
      </c>
      <c r="AC75" s="31">
        <f t="shared" si="118"/>
        <v>0</v>
      </c>
      <c r="AD75" s="29" t="e">
        <f>NA()</f>
        <v>#N/A</v>
      </c>
      <c r="AE75" s="12">
        <f t="shared" si="103"/>
        <v>2021</v>
      </c>
      <c r="AF75" s="56">
        <f t="shared" si="112"/>
        <v>0.19779929752250255</v>
      </c>
      <c r="AG75" s="56">
        <f t="shared" si="113"/>
        <v>0.55330176892570115</v>
      </c>
      <c r="AH75" s="56">
        <f t="shared" si="114"/>
        <v>0.24889893355179629</v>
      </c>
      <c r="AI75" s="56"/>
      <c r="AJ75" s="68">
        <f t="shared" si="107"/>
        <v>2021</v>
      </c>
      <c r="AK75" s="60">
        <f>AF72*AN72+AG71*AN71+AH70*AN70</f>
        <v>700998.23639917164</v>
      </c>
      <c r="AL75" s="56">
        <f>CHOOSE(umethod,S75,retroU,MAX(0,cslope*(AK75-nlim)/AK75))</f>
        <v>5.2634874494096096E-2</v>
      </c>
      <c r="AM75">
        <f t="shared" si="108"/>
        <v>664101.28220571857</v>
      </c>
      <c r="AN75" s="59">
        <f t="shared" si="97"/>
        <v>600021.85485046823</v>
      </c>
      <c r="AO75" s="59">
        <f t="shared" si="109"/>
        <v>36896.954193453072</v>
      </c>
      <c r="AP75" t="s">
        <v>53</v>
      </c>
      <c r="AQ75">
        <v>2021</v>
      </c>
      <c r="AR75" s="5">
        <v>499287</v>
      </c>
      <c r="AS75" s="5">
        <f t="shared" si="85"/>
        <v>27740</v>
      </c>
      <c r="AT75" s="41">
        <f t="shared" si="86"/>
        <v>5.263487449409613E-2</v>
      </c>
      <c r="AU75" s="12">
        <v>527027</v>
      </c>
      <c r="AX75">
        <v>2021</v>
      </c>
      <c r="BF75" s="28">
        <f>AVERAGE($BF$72:$BF$74)</f>
        <v>0.30591614246793464</v>
      </c>
      <c r="CT75">
        <v>2021</v>
      </c>
      <c r="CY75">
        <v>2021</v>
      </c>
      <c r="CZ75" s="20">
        <v>0.33263743910925542</v>
      </c>
      <c r="DA75" s="20">
        <v>0.48851774530271397</v>
      </c>
      <c r="DB75" s="20">
        <v>0.17884481558803061</v>
      </c>
      <c r="DC75" s="20">
        <v>0</v>
      </c>
      <c r="DF75">
        <v>2021</v>
      </c>
      <c r="DG75" s="5">
        <v>538743.93084119505</v>
      </c>
      <c r="DH75" s="29">
        <v>499782.89188015601</v>
      </c>
      <c r="DI75" s="5">
        <f t="shared" si="88"/>
        <v>38961.038961039041</v>
      </c>
      <c r="DJ75" s="6">
        <f t="shared" si="89"/>
        <v>7.2318288393904043E-2</v>
      </c>
      <c r="DL75" s="34">
        <f t="shared" si="90"/>
        <v>-9.2045933470047794E-4</v>
      </c>
      <c r="DM75" s="6">
        <f t="shared" si="91"/>
        <v>-0.27217754093675556</v>
      </c>
    </row>
    <row r="76" spans="1:117" x14ac:dyDescent="0.55000000000000004">
      <c r="A76" t="s">
        <v>73</v>
      </c>
      <c r="B76">
        <f t="shared" si="98"/>
        <v>2022</v>
      </c>
      <c r="C76" s="5">
        <f t="shared" si="81"/>
        <v>1056921</v>
      </c>
      <c r="G76" s="5">
        <f t="shared" si="82"/>
        <v>1056921</v>
      </c>
      <c r="I76" s="49">
        <v>0</v>
      </c>
      <c r="J76" s="26">
        <f t="shared" si="96"/>
        <v>-0.47835519469691101</v>
      </c>
      <c r="K76">
        <v>2022</v>
      </c>
      <c r="L76" s="5">
        <v>1056921</v>
      </c>
      <c r="M76" s="5"/>
      <c r="O76" s="25" t="str">
        <f t="shared" si="76"/>
        <v>Brittany</v>
      </c>
      <c r="P76" s="25">
        <f t="shared" si="74"/>
        <v>2022</v>
      </c>
      <c r="Q76">
        <f t="shared" si="77"/>
        <v>1056921</v>
      </c>
      <c r="R76" s="5">
        <f t="shared" si="110"/>
        <v>1158175</v>
      </c>
      <c r="S76" s="57">
        <f t="shared" si="102"/>
        <v>8.7425475424698362E-2</v>
      </c>
      <c r="T76" s="29">
        <f t="shared" si="84"/>
        <v>1158175</v>
      </c>
      <c r="U76" s="31">
        <f t="shared" si="95"/>
        <v>0</v>
      </c>
      <c r="V76" s="31">
        <f t="shared" si="94"/>
        <v>0</v>
      </c>
      <c r="W76" s="31">
        <f t="shared" si="93"/>
        <v>0</v>
      </c>
      <c r="X76" s="31">
        <f t="shared" si="92"/>
        <v>0</v>
      </c>
      <c r="Z76" s="31">
        <f t="shared" si="115"/>
        <v>0</v>
      </c>
      <c r="AA76" s="31">
        <f t="shared" si="116"/>
        <v>0</v>
      </c>
      <c r="AB76" s="31">
        <f t="shared" si="117"/>
        <v>0</v>
      </c>
      <c r="AC76" s="31">
        <f t="shared" si="118"/>
        <v>0</v>
      </c>
      <c r="AD76" s="29" t="e">
        <f>NA()</f>
        <v>#N/A</v>
      </c>
      <c r="AE76" s="12">
        <f t="shared" si="103"/>
        <v>2022</v>
      </c>
      <c r="AF76" s="56">
        <f t="shared" si="112"/>
        <v>0.19779929752250255</v>
      </c>
      <c r="AG76" s="56">
        <f t="shared" si="113"/>
        <v>0.55330176892570115</v>
      </c>
      <c r="AH76" s="56">
        <f t="shared" si="114"/>
        <v>0.24889893355179629</v>
      </c>
      <c r="AI76" s="56"/>
      <c r="AJ76" s="58">
        <f t="shared" ref="AJ70:AJ76" si="119">B76</f>
        <v>2022</v>
      </c>
      <c r="AK76" s="60">
        <f>AF73*AN73+AG72*AN72+AH71*AN71</f>
        <v>1154090.649235846</v>
      </c>
      <c r="AL76" s="56">
        <f>CHOOSE(umethod,S76,retroU,MAX(0,cslope*(AK76-nlim)/AK76))</f>
        <v>8.7425475424698362E-2</v>
      </c>
      <c r="AM76">
        <f t="shared" si="108"/>
        <v>1053193.7255432033</v>
      </c>
      <c r="AN76" s="59">
        <f t="shared" si="97"/>
        <v>1055613.2767198919</v>
      </c>
      <c r="AO76" s="59">
        <f t="shared" si="109"/>
        <v>100896.92369264271</v>
      </c>
      <c r="AP76" t="s">
        <v>53</v>
      </c>
      <c r="AQ76">
        <v>2022</v>
      </c>
      <c r="AR76" s="5">
        <v>1056921</v>
      </c>
      <c r="AS76" s="5">
        <f t="shared" si="85"/>
        <v>101254</v>
      </c>
      <c r="AT76" s="41">
        <f t="shared" si="86"/>
        <v>8.7425475424698335E-2</v>
      </c>
      <c r="AU76" s="12">
        <v>1158175</v>
      </c>
      <c r="AX76">
        <v>2022</v>
      </c>
      <c r="BF76" s="28">
        <f>AVERAGE($BF$72:$BF$74)</f>
        <v>0.30591614246793464</v>
      </c>
      <c r="CY76">
        <v>2022</v>
      </c>
      <c r="CZ76" s="20">
        <f>U$2</f>
        <v>0.3</v>
      </c>
      <c r="DA76" s="20">
        <f t="shared" ref="DA76:DC76" si="120">V$2</f>
        <v>0.6</v>
      </c>
      <c r="DB76" s="20">
        <f t="shared" si="120"/>
        <v>0.1</v>
      </c>
      <c r="DC76" s="20">
        <f t="shared" si="120"/>
        <v>0</v>
      </c>
      <c r="DF76">
        <v>2022</v>
      </c>
      <c r="DG76" s="5">
        <v>1162613.98176291</v>
      </c>
      <c r="DH76" s="29">
        <v>1019756.83890577</v>
      </c>
      <c r="DI76" s="5">
        <f t="shared" si="88"/>
        <v>142857.14285714005</v>
      </c>
      <c r="DJ76" s="6">
        <f t="shared" si="89"/>
        <v>0.12287581699346246</v>
      </c>
      <c r="DL76" s="34">
        <f t="shared" si="90"/>
        <v>3.1966036601311788E-2</v>
      </c>
      <c r="DM76" s="6">
        <f t="shared" si="91"/>
        <v>-0.28850543936281819</v>
      </c>
    </row>
    <row r="77" spans="1:117" x14ac:dyDescent="0.55000000000000004">
      <c r="O77" t="s">
        <v>12</v>
      </c>
      <c r="S77" s="57"/>
      <c r="AA77" s="31" t="s">
        <v>12</v>
      </c>
      <c r="AB77" s="31" t="s">
        <v>12</v>
      </c>
      <c r="AE77" s="12">
        <f t="shared" si="103"/>
        <v>0</v>
      </c>
      <c r="AF77" s="56">
        <f t="shared" si="112"/>
        <v>0.19779929752250255</v>
      </c>
      <c r="AG77" s="56">
        <f t="shared" si="113"/>
        <v>0.55330176892570115</v>
      </c>
      <c r="AH77" s="56">
        <f t="shared" si="114"/>
        <v>0.24889893355179629</v>
      </c>
      <c r="AI77" s="56"/>
      <c r="AJ77" s="58"/>
      <c r="AK77" s="60"/>
      <c r="AL77" s="56"/>
      <c r="AN77" s="59"/>
      <c r="AO77" s="59"/>
      <c r="CY77">
        <v>2023</v>
      </c>
      <c r="CZ77" s="20">
        <f t="shared" ref="CZ77:CZ81" si="121">U$2</f>
        <v>0.3</v>
      </c>
      <c r="DA77" s="20">
        <f t="shared" ref="DA77:DA81" si="122">V$2</f>
        <v>0.6</v>
      </c>
      <c r="DB77" s="20">
        <f t="shared" ref="DB77:DB81" si="123">W$2</f>
        <v>0.1</v>
      </c>
      <c r="DC77" s="20">
        <f t="shared" ref="DC77:DC81" si="124">X$2</f>
        <v>0</v>
      </c>
    </row>
    <row r="78" spans="1:117" x14ac:dyDescent="0.55000000000000004">
      <c r="CY78">
        <v>2024</v>
      </c>
      <c r="CZ78" s="20">
        <f t="shared" si="121"/>
        <v>0.3</v>
      </c>
      <c r="DA78" s="20">
        <f t="shared" si="122"/>
        <v>0.6</v>
      </c>
      <c r="DB78" s="20">
        <f t="shared" si="123"/>
        <v>0.1</v>
      </c>
      <c r="DC78" s="20">
        <f t="shared" si="124"/>
        <v>0</v>
      </c>
    </row>
    <row r="79" spans="1:117" x14ac:dyDescent="0.55000000000000004">
      <c r="CY79">
        <v>2025</v>
      </c>
      <c r="CZ79" s="20">
        <f t="shared" si="121"/>
        <v>0.3</v>
      </c>
      <c r="DA79" s="20">
        <f t="shared" si="122"/>
        <v>0.6</v>
      </c>
      <c r="DB79" s="20">
        <f t="shared" si="123"/>
        <v>0.1</v>
      </c>
      <c r="DC79" s="20">
        <f t="shared" si="124"/>
        <v>0</v>
      </c>
    </row>
    <row r="80" spans="1:117" x14ac:dyDescent="0.55000000000000004">
      <c r="CY80">
        <v>2026</v>
      </c>
      <c r="CZ80" s="20">
        <f t="shared" si="121"/>
        <v>0.3</v>
      </c>
      <c r="DA80" s="20">
        <f t="shared" si="122"/>
        <v>0.6</v>
      </c>
      <c r="DB80" s="20">
        <f t="shared" si="123"/>
        <v>0.1</v>
      </c>
      <c r="DC80" s="20">
        <f t="shared" si="124"/>
        <v>0</v>
      </c>
    </row>
    <row r="81" spans="103:107" x14ac:dyDescent="0.55000000000000004">
      <c r="CY81">
        <v>2027</v>
      </c>
      <c r="CZ81" s="20">
        <f t="shared" si="121"/>
        <v>0.3</v>
      </c>
      <c r="DA81" s="20">
        <f t="shared" si="122"/>
        <v>0.6</v>
      </c>
      <c r="DB81" s="20">
        <f t="shared" si="123"/>
        <v>0.1</v>
      </c>
      <c r="DC81" s="20">
        <f t="shared" si="124"/>
        <v>0</v>
      </c>
    </row>
  </sheetData>
  <phoneticPr fontId="1" type="noConversion"/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11E8-C03B-4E72-A4A4-045D016506DC}">
  <dimension ref="C1:T73"/>
  <sheetViews>
    <sheetView tabSelected="1" topLeftCell="C1" workbookViewId="0">
      <selection activeCell="C9" sqref="C9"/>
    </sheetView>
  </sheetViews>
  <sheetFormatPr defaultRowHeight="14.4" x14ac:dyDescent="0.55000000000000004"/>
  <cols>
    <col min="3" max="3" width="16.7890625" customWidth="1"/>
    <col min="4" max="4" width="8.20703125" customWidth="1"/>
  </cols>
  <sheetData>
    <row r="1" spans="3:20" x14ac:dyDescent="0.55000000000000004">
      <c r="C1" t="s">
        <v>117</v>
      </c>
      <c r="D1" t="s">
        <v>120</v>
      </c>
      <c r="E1" t="s">
        <v>118</v>
      </c>
      <c r="F1" t="s">
        <v>119</v>
      </c>
      <c r="I1">
        <v>0</v>
      </c>
      <c r="J1">
        <v>0</v>
      </c>
      <c r="L1">
        <v>0</v>
      </c>
      <c r="M1">
        <v>0</v>
      </c>
      <c r="O1">
        <v>0</v>
      </c>
      <c r="P1">
        <v>0</v>
      </c>
      <c r="R1" t="str">
        <f>'Orig data'!AJ4</f>
        <v>year</v>
      </c>
      <c r="S1" t="s">
        <v>104</v>
      </c>
      <c r="T1" t="s">
        <v>128</v>
      </c>
    </row>
    <row r="2" spans="3:20" x14ac:dyDescent="0.55000000000000004">
      <c r="C2" t="s">
        <v>121</v>
      </c>
      <c r="D2" t="s">
        <v>122</v>
      </c>
      <c r="E2">
        <v>26591286.282524522</v>
      </c>
      <c r="F2">
        <v>146494.56168974325</v>
      </c>
      <c r="I2" s="67">
        <v>4000000</v>
      </c>
      <c r="J2" s="67">
        <v>0.5</v>
      </c>
      <c r="L2">
        <v>841001</v>
      </c>
      <c r="M2">
        <v>0</v>
      </c>
      <c r="O2">
        <v>487692</v>
      </c>
      <c r="P2">
        <v>0</v>
      </c>
      <c r="R2">
        <f>'Orig data'!AJ5</f>
        <v>1951</v>
      </c>
      <c r="S2">
        <v>1187739</v>
      </c>
      <c r="T2">
        <v>0.85541857259886223</v>
      </c>
    </row>
    <row r="3" spans="3:20" x14ac:dyDescent="0.55000000000000004">
      <c r="C3" t="s">
        <v>123</v>
      </c>
      <c r="D3" t="s">
        <v>91</v>
      </c>
      <c r="E3">
        <v>51361564.376990624</v>
      </c>
      <c r="F3">
        <v>226111.48577717965</v>
      </c>
      <c r="L3">
        <f>L2+250000</f>
        <v>1091001</v>
      </c>
      <c r="M3">
        <f>1.017*(L3-841001)/L3</f>
        <v>0.23304286613852782</v>
      </c>
      <c r="O3">
        <f>O2+250000</f>
        <v>737692</v>
      </c>
      <c r="P3">
        <f>0.776*(O3-487692)/O3</f>
        <v>0.26298238289150483</v>
      </c>
      <c r="R3">
        <f>'Orig data'!AJ6</f>
        <v>1952</v>
      </c>
      <c r="S3">
        <v>927000</v>
      </c>
      <c r="T3">
        <v>0.80987055016181231</v>
      </c>
    </row>
    <row r="4" spans="3:20" x14ac:dyDescent="0.55000000000000004">
      <c r="C4" t="s">
        <v>125</v>
      </c>
      <c r="D4" t="s">
        <v>124</v>
      </c>
      <c r="E4">
        <v>62669271.667370155</v>
      </c>
      <c r="F4">
        <v>222904.90250388713</v>
      </c>
      <c r="L4">
        <f t="shared" ref="L4:L15" si="0">L3+250000</f>
        <v>1341001</v>
      </c>
      <c r="M4">
        <f t="shared" ref="M4:M15" si="1">1.017*(L4-841001)/L4</f>
        <v>0.37919434810264863</v>
      </c>
      <c r="O4">
        <f t="shared" ref="O4:O20" si="2">O3+250000</f>
        <v>987692</v>
      </c>
      <c r="P4">
        <f t="shared" ref="P4:P16" si="3">0.776*(O4-487692)/O4</f>
        <v>0.39283501334424092</v>
      </c>
      <c r="R4">
        <f>'Orig data'!AJ7</f>
        <v>1953</v>
      </c>
      <c r="S4">
        <v>918122</v>
      </c>
      <c r="T4">
        <v>0.85010162048180959</v>
      </c>
    </row>
    <row r="5" spans="3:20" x14ac:dyDescent="0.55000000000000004">
      <c r="C5" t="s">
        <v>126</v>
      </c>
      <c r="D5" t="s">
        <v>127</v>
      </c>
      <c r="E5">
        <v>59304111.669012345</v>
      </c>
      <c r="F5">
        <v>235487.6992020738</v>
      </c>
      <c r="L5">
        <f t="shared" si="0"/>
        <v>1591001</v>
      </c>
      <c r="M5">
        <f t="shared" si="1"/>
        <v>0.47941516064414785</v>
      </c>
      <c r="O5">
        <f t="shared" si="2"/>
        <v>1237692</v>
      </c>
      <c r="P5">
        <f t="shared" si="3"/>
        <v>0.47023007339467332</v>
      </c>
      <c r="R5">
        <f>'Orig data'!AJ8</f>
        <v>1954</v>
      </c>
      <c r="S5">
        <v>1096517</v>
      </c>
      <c r="T5">
        <v>0.92122785146057928</v>
      </c>
    </row>
    <row r="6" spans="3:20" x14ac:dyDescent="0.55000000000000004">
      <c r="D6" t="s">
        <v>129</v>
      </c>
      <c r="E6">
        <f>MAX(E2:E5)</f>
        <v>62669271.667370155</v>
      </c>
      <c r="F6">
        <f>MAX(F2:F5)</f>
        <v>235487.6992020738</v>
      </c>
      <c r="L6">
        <f t="shared" si="0"/>
        <v>1841001</v>
      </c>
      <c r="M6">
        <f t="shared" si="1"/>
        <v>0.55241686452098604</v>
      </c>
      <c r="O6">
        <f t="shared" si="2"/>
        <v>1487692</v>
      </c>
      <c r="P6">
        <f t="shared" si="3"/>
        <v>0.52161334469769283</v>
      </c>
      <c r="R6">
        <f>'Orig data'!AJ9</f>
        <v>1955</v>
      </c>
      <c r="S6">
        <v>357389.09999999992</v>
      </c>
      <c r="T6">
        <v>0.72173186031694869</v>
      </c>
    </row>
    <row r="7" spans="3:20" x14ac:dyDescent="0.55000000000000004">
      <c r="L7">
        <f t="shared" si="0"/>
        <v>2091001</v>
      </c>
      <c r="M7">
        <f t="shared" si="1"/>
        <v>0.60796240652204359</v>
      </c>
      <c r="O7">
        <f t="shared" si="2"/>
        <v>1737692</v>
      </c>
      <c r="P7">
        <f t="shared" si="3"/>
        <v>0.55821169689450145</v>
      </c>
      <c r="R7">
        <f>'Orig data'!AJ10</f>
        <v>1956</v>
      </c>
      <c r="S7">
        <v>282627</v>
      </c>
      <c r="T7">
        <v>0.88341524341269584</v>
      </c>
    </row>
    <row r="8" spans="3:20" x14ac:dyDescent="0.55000000000000004">
      <c r="C8" t="s">
        <v>130</v>
      </c>
      <c r="L8">
        <f t="shared" si="0"/>
        <v>2341001</v>
      </c>
      <c r="M8">
        <f t="shared" si="1"/>
        <v>0.65164431796483635</v>
      </c>
      <c r="O8">
        <f t="shared" si="2"/>
        <v>1987692</v>
      </c>
      <c r="P8">
        <f t="shared" si="3"/>
        <v>0.58560380582102256</v>
      </c>
      <c r="R8">
        <f>'Orig data'!AJ11</f>
        <v>1957</v>
      </c>
      <c r="S8">
        <v>308362.99999999994</v>
      </c>
      <c r="T8">
        <v>0.72546965751403381</v>
      </c>
    </row>
    <row r="9" spans="3:20" x14ac:dyDescent="0.55000000000000004">
      <c r="C9" t="s">
        <v>117</v>
      </c>
      <c r="D9" t="s">
        <v>120</v>
      </c>
      <c r="E9" t="s">
        <v>118</v>
      </c>
      <c r="F9" t="s">
        <v>119</v>
      </c>
      <c r="L9">
        <f t="shared" si="0"/>
        <v>2591001</v>
      </c>
      <c r="M9">
        <f t="shared" si="1"/>
        <v>0.68689668587545882</v>
      </c>
      <c r="O9">
        <f t="shared" si="2"/>
        <v>2237692</v>
      </c>
      <c r="P9">
        <f t="shared" si="3"/>
        <v>0.60687529829842535</v>
      </c>
      <c r="R9">
        <f>'Orig data'!AJ12</f>
        <v>1958</v>
      </c>
      <c r="S9">
        <v>544065.93186850043</v>
      </c>
      <c r="T9">
        <v>0.84030837988028484</v>
      </c>
    </row>
    <row r="10" spans="3:20" x14ac:dyDescent="0.55000000000000004">
      <c r="C10" t="s">
        <v>121</v>
      </c>
      <c r="D10" t="s">
        <v>122</v>
      </c>
      <c r="E10">
        <f>E2/E$6</f>
        <v>0.42431139815479518</v>
      </c>
      <c r="F10">
        <f>F2/F$6</f>
        <v>0.62209008022977519</v>
      </c>
      <c r="L10">
        <f t="shared" si="0"/>
        <v>2841001</v>
      </c>
      <c r="M10">
        <f t="shared" si="1"/>
        <v>0.71594483775260898</v>
      </c>
      <c r="O10">
        <f t="shared" si="2"/>
        <v>2487692</v>
      </c>
      <c r="P10">
        <f t="shared" si="3"/>
        <v>0.62387144389257188</v>
      </c>
      <c r="R10">
        <f>'Orig data'!AJ13</f>
        <v>1959</v>
      </c>
      <c r="S10">
        <v>614926.64487554599</v>
      </c>
      <c r="T10">
        <v>0.76627554011374688</v>
      </c>
    </row>
    <row r="11" spans="3:20" x14ac:dyDescent="0.55000000000000004">
      <c r="C11" t="s">
        <v>123</v>
      </c>
      <c r="D11" t="s">
        <v>91</v>
      </c>
      <c r="E11">
        <f>E3/E$6</f>
        <v>0.81956536290388893</v>
      </c>
      <c r="F11">
        <f>F3/F$6</f>
        <v>0.96018385055073152</v>
      </c>
      <c r="L11">
        <f t="shared" si="0"/>
        <v>3091001</v>
      </c>
      <c r="M11">
        <f t="shared" si="1"/>
        <v>0.74029416360589984</v>
      </c>
      <c r="O11">
        <f t="shared" si="2"/>
        <v>2737692</v>
      </c>
      <c r="P11">
        <f t="shared" si="3"/>
        <v>0.63776348836903496</v>
      </c>
      <c r="R11">
        <f>'Orig data'!AJ14</f>
        <v>1960</v>
      </c>
      <c r="S11">
        <v>387046.89724664099</v>
      </c>
      <c r="T11">
        <v>0.62944250781901845</v>
      </c>
    </row>
    <row r="12" spans="3:20" x14ac:dyDescent="0.55000000000000004">
      <c r="C12" t="s">
        <v>125</v>
      </c>
      <c r="D12" t="s">
        <v>124</v>
      </c>
      <c r="E12">
        <f>E4/E$6</f>
        <v>1</v>
      </c>
      <c r="F12">
        <f>F4/F$6</f>
        <v>0.94656707445517452</v>
      </c>
      <c r="K12" s="67"/>
      <c r="L12">
        <f t="shared" si="0"/>
        <v>3341001</v>
      </c>
      <c r="M12">
        <f t="shared" si="1"/>
        <v>0.76099947291245928</v>
      </c>
      <c r="O12">
        <f t="shared" si="2"/>
        <v>2987692</v>
      </c>
      <c r="P12">
        <f t="shared" si="3"/>
        <v>0.64933065389605082</v>
      </c>
      <c r="R12">
        <f>'Orig data'!AJ15</f>
        <v>1961</v>
      </c>
      <c r="S12">
        <v>251616.14214615227</v>
      </c>
      <c r="T12">
        <v>0.59029190518995134</v>
      </c>
    </row>
    <row r="13" spans="3:20" x14ac:dyDescent="0.55000000000000004">
      <c r="C13" t="s">
        <v>126</v>
      </c>
      <c r="D13" t="s">
        <v>127</v>
      </c>
      <c r="E13">
        <f>E5/E$6</f>
        <v>0.94630287046865524</v>
      </c>
      <c r="F13">
        <f>F5/F$6</f>
        <v>1</v>
      </c>
      <c r="L13">
        <f t="shared" si="0"/>
        <v>3591001</v>
      </c>
      <c r="M13">
        <f t="shared" si="1"/>
        <v>0.77882183825624096</v>
      </c>
      <c r="O13">
        <f t="shared" si="2"/>
        <v>3237692</v>
      </c>
      <c r="P13">
        <f t="shared" si="3"/>
        <v>0.65911149053090901</v>
      </c>
      <c r="R13">
        <f>'Orig data'!AJ16</f>
        <v>1962</v>
      </c>
      <c r="S13">
        <v>241416.59881504547</v>
      </c>
      <c r="T13">
        <v>0.47697992689747593</v>
      </c>
    </row>
    <row r="14" spans="3:20" x14ac:dyDescent="0.55000000000000004">
      <c r="L14">
        <f t="shared" si="0"/>
        <v>3841001</v>
      </c>
      <c r="M14">
        <f t="shared" si="1"/>
        <v>0.79432418788748027</v>
      </c>
      <c r="O14">
        <f t="shared" si="2"/>
        <v>3487692</v>
      </c>
      <c r="P14">
        <f t="shared" si="3"/>
        <v>0.66749013387650058</v>
      </c>
      <c r="R14">
        <f>'Orig data'!AJ17</f>
        <v>1963</v>
      </c>
      <c r="S14">
        <v>327640.48668735276</v>
      </c>
      <c r="T14">
        <v>0.43438055336526582</v>
      </c>
    </row>
    <row r="15" spans="3:20" x14ac:dyDescent="0.55000000000000004">
      <c r="L15">
        <f t="shared" si="0"/>
        <v>4091001</v>
      </c>
      <c r="M15">
        <f t="shared" si="1"/>
        <v>0.80793184846447108</v>
      </c>
      <c r="O15">
        <f t="shared" si="2"/>
        <v>3737692</v>
      </c>
      <c r="P15">
        <f t="shared" si="3"/>
        <v>0.67474794605869082</v>
      </c>
      <c r="R15">
        <f>'Orig data'!AJ18</f>
        <v>1964</v>
      </c>
      <c r="S15">
        <v>366907.12082483614</v>
      </c>
      <c r="T15">
        <v>0.33592513645318611</v>
      </c>
    </row>
    <row r="16" spans="3:20" x14ac:dyDescent="0.55000000000000004">
      <c r="O16">
        <f t="shared" si="2"/>
        <v>3987692</v>
      </c>
      <c r="P16">
        <f t="shared" si="3"/>
        <v>0.68109573156602865</v>
      </c>
      <c r="R16">
        <f>'Orig data'!AJ19</f>
        <v>1965</v>
      </c>
      <c r="S16">
        <v>168080.14817022541</v>
      </c>
      <c r="T16">
        <v>0.24058496409967622</v>
      </c>
    </row>
    <row r="17" spans="18:20" x14ac:dyDescent="0.55000000000000004">
      <c r="R17">
        <f>'Orig data'!AJ20</f>
        <v>1966</v>
      </c>
      <c r="S17">
        <v>408137.8468236422</v>
      </c>
      <c r="T17">
        <v>0.14043534504322719</v>
      </c>
    </row>
    <row r="18" spans="18:20" x14ac:dyDescent="0.55000000000000004">
      <c r="R18">
        <f>'Orig data'!AJ21</f>
        <v>1967</v>
      </c>
      <c r="S18">
        <v>314854.74380164361</v>
      </c>
      <c r="T18">
        <v>0.33786063906527186</v>
      </c>
    </row>
    <row r="19" spans="18:20" x14ac:dyDescent="0.55000000000000004">
      <c r="R19">
        <f>'Orig data'!AJ22</f>
        <v>1968</v>
      </c>
      <c r="S19">
        <v>1137747.2860377347</v>
      </c>
      <c r="T19">
        <v>0.41875228158164224</v>
      </c>
    </row>
    <row r="20" spans="18:20" x14ac:dyDescent="0.55000000000000004">
      <c r="R20">
        <f>'Orig data'!AJ23</f>
        <v>1969</v>
      </c>
      <c r="S20">
        <v>569626.99035989505</v>
      </c>
      <c r="T20">
        <v>0.4654732209378506</v>
      </c>
    </row>
    <row r="21" spans="18:20" x14ac:dyDescent="0.55000000000000004">
      <c r="R21">
        <f>'Orig data'!AJ24</f>
        <v>1970</v>
      </c>
      <c r="S21">
        <v>723902.38431985653</v>
      </c>
      <c r="T21">
        <v>0.61554327758654503</v>
      </c>
    </row>
    <row r="22" spans="18:20" x14ac:dyDescent="0.55000000000000004">
      <c r="R22">
        <f>'Orig data'!AJ25</f>
        <v>1971</v>
      </c>
      <c r="S22">
        <v>369685.00141850073</v>
      </c>
      <c r="T22">
        <v>0.22913721822490996</v>
      </c>
    </row>
    <row r="23" spans="18:20" x14ac:dyDescent="0.55000000000000004">
      <c r="R23">
        <f>'Orig data'!AJ26</f>
        <v>1972</v>
      </c>
      <c r="S23">
        <v>1335366.4493599997</v>
      </c>
      <c r="T23">
        <v>0.6864100398571662</v>
      </c>
    </row>
    <row r="24" spans="18:20" x14ac:dyDescent="0.55000000000000004">
      <c r="R24">
        <f>'Orig data'!AJ27</f>
        <v>1973</v>
      </c>
      <c r="S24">
        <v>1486677.9961585803</v>
      </c>
      <c r="T24">
        <v>0.82276901842119232</v>
      </c>
    </row>
    <row r="25" spans="18:20" x14ac:dyDescent="0.55000000000000004">
      <c r="R25">
        <f>'Orig data'!AJ28</f>
        <v>1974</v>
      </c>
      <c r="S25">
        <v>706353.48170722672</v>
      </c>
      <c r="T25">
        <v>0.51199686844400116</v>
      </c>
    </row>
    <row r="26" spans="18:20" x14ac:dyDescent="0.55000000000000004">
      <c r="R26">
        <f>'Orig data'!AJ29</f>
        <v>1975</v>
      </c>
      <c r="S26">
        <v>479931.4784806252</v>
      </c>
      <c r="T26">
        <v>0.60629289653002161</v>
      </c>
    </row>
    <row r="27" spans="18:20" x14ac:dyDescent="0.55000000000000004">
      <c r="R27">
        <f>'Orig data'!AJ30</f>
        <v>1976</v>
      </c>
      <c r="S27">
        <v>994075.48987078632</v>
      </c>
      <c r="T27">
        <v>0.66074570448789605</v>
      </c>
    </row>
    <row r="28" spans="18:20" x14ac:dyDescent="0.55000000000000004">
      <c r="R28">
        <f>'Orig data'!AJ31</f>
        <v>1977</v>
      </c>
      <c r="S28">
        <v>714340.4547522486</v>
      </c>
      <c r="T28">
        <v>0.17050361504478673</v>
      </c>
    </row>
    <row r="29" spans="18:20" x14ac:dyDescent="0.55000000000000004">
      <c r="R29">
        <f>'Orig data'!AJ32</f>
        <v>1978</v>
      </c>
      <c r="S29">
        <v>1170866.0084676552</v>
      </c>
      <c r="T29">
        <v>0.69711185152498722</v>
      </c>
    </row>
    <row r="30" spans="18:20" x14ac:dyDescent="0.55000000000000004">
      <c r="R30">
        <f>'Orig data'!AJ33</f>
        <v>1979</v>
      </c>
      <c r="S30">
        <v>305527.49775302288</v>
      </c>
      <c r="T30">
        <v>0.17198735472837279</v>
      </c>
    </row>
    <row r="31" spans="18:20" x14ac:dyDescent="0.55000000000000004">
      <c r="R31">
        <f>'Orig data'!AJ34</f>
        <v>1980</v>
      </c>
      <c r="S31">
        <v>902200.16125222784</v>
      </c>
      <c r="T31">
        <v>0.65468745360712499</v>
      </c>
    </row>
    <row r="32" spans="18:20" x14ac:dyDescent="0.55000000000000004">
      <c r="R32">
        <f>'Orig data'!AJ35</f>
        <v>1981</v>
      </c>
      <c r="S32">
        <v>496309.57123742858</v>
      </c>
      <c r="T32">
        <v>0.12648144705569586</v>
      </c>
    </row>
    <row r="33" spans="18:20" x14ac:dyDescent="0.55000000000000004">
      <c r="R33">
        <f>'Orig data'!AJ36</f>
        <v>1982</v>
      </c>
      <c r="S33">
        <v>717475.26979736437</v>
      </c>
      <c r="T33">
        <v>0.54912425363703044</v>
      </c>
    </row>
    <row r="34" spans="18:20" x14ac:dyDescent="0.55000000000000004">
      <c r="R34">
        <f>'Orig data'!AJ37</f>
        <v>1983</v>
      </c>
      <c r="S34">
        <v>466288.34473084798</v>
      </c>
      <c r="T34">
        <v>0.2091699443311118</v>
      </c>
    </row>
    <row r="35" spans="18:20" x14ac:dyDescent="0.55000000000000004">
      <c r="R35">
        <f>'Orig data'!AJ38</f>
        <v>1984</v>
      </c>
      <c r="S35">
        <v>608862.3007138829</v>
      </c>
      <c r="T35">
        <v>0.11639140147812588</v>
      </c>
    </row>
    <row r="36" spans="18:20" x14ac:dyDescent="0.55000000000000004">
      <c r="R36">
        <f>'Orig data'!AJ39</f>
        <v>1985</v>
      </c>
      <c r="S36">
        <v>1827484.5645123832</v>
      </c>
      <c r="T36">
        <v>0.24753948247023994</v>
      </c>
    </row>
    <row r="37" spans="18:20" x14ac:dyDescent="0.55000000000000004">
      <c r="R37">
        <f>'Orig data'!AJ40</f>
        <v>1986</v>
      </c>
      <c r="S37">
        <v>1570122.7310952323</v>
      </c>
      <c r="T37">
        <v>0.36912696063175421</v>
      </c>
    </row>
    <row r="38" spans="18:20" x14ac:dyDescent="0.55000000000000004">
      <c r="R38">
        <f>'Orig data'!AJ41</f>
        <v>1987</v>
      </c>
      <c r="S38">
        <v>478298.90081635024</v>
      </c>
      <c r="T38">
        <v>0.24404667869525809</v>
      </c>
    </row>
    <row r="39" spans="18:20" x14ac:dyDescent="0.55000000000000004">
      <c r="R39">
        <f>'Orig data'!AJ42</f>
        <v>1988</v>
      </c>
      <c r="S39">
        <v>1031497.6766307169</v>
      </c>
      <c r="T39">
        <v>0.48945861844768335</v>
      </c>
    </row>
    <row r="40" spans="18:20" x14ac:dyDescent="0.55000000000000004">
      <c r="R40">
        <f>'Orig data'!AJ43</f>
        <v>1989</v>
      </c>
      <c r="S40">
        <v>1092698.4667264996</v>
      </c>
      <c r="T40">
        <v>0.32431410272221262</v>
      </c>
    </row>
    <row r="41" spans="18:20" x14ac:dyDescent="0.55000000000000004">
      <c r="R41">
        <f>'Orig data'!AJ44</f>
        <v>1990</v>
      </c>
      <c r="S41">
        <v>1590057.2213418295</v>
      </c>
      <c r="T41">
        <v>0.45953971602968235</v>
      </c>
    </row>
    <row r="42" spans="18:20" x14ac:dyDescent="0.55000000000000004">
      <c r="R42">
        <f>'Orig data'!AJ45</f>
        <v>1991</v>
      </c>
      <c r="S42">
        <v>1448841.0143012691</v>
      </c>
      <c r="T42">
        <v>0.23918884256231565</v>
      </c>
    </row>
    <row r="43" spans="18:20" x14ac:dyDescent="0.55000000000000004">
      <c r="R43">
        <f>'Orig data'!AJ46</f>
        <v>1992</v>
      </c>
      <c r="S43">
        <v>1552362.3730925554</v>
      </c>
      <c r="T43">
        <v>0.3341601755588095</v>
      </c>
    </row>
    <row r="44" spans="18:20" x14ac:dyDescent="0.55000000000000004">
      <c r="R44">
        <f>'Orig data'!AJ47</f>
        <v>1993</v>
      </c>
      <c r="S44">
        <v>1474817.6983316527</v>
      </c>
      <c r="T44">
        <v>0.3326310742532318</v>
      </c>
    </row>
    <row r="45" spans="18:20" x14ac:dyDescent="0.55000000000000004">
      <c r="R45">
        <f>'Orig data'!AJ48</f>
        <v>1994</v>
      </c>
      <c r="S45">
        <v>2292293.5496719992</v>
      </c>
      <c r="T45">
        <v>0.2741307408917748</v>
      </c>
    </row>
    <row r="46" spans="18:20" x14ac:dyDescent="0.55000000000000004">
      <c r="R46">
        <f>'Orig data'!AJ49</f>
        <v>1995</v>
      </c>
      <c r="S46">
        <v>1842445.1840150789</v>
      </c>
      <c r="T46">
        <v>0.1170538932934152</v>
      </c>
    </row>
    <row r="47" spans="18:20" x14ac:dyDescent="0.55000000000000004">
      <c r="R47">
        <f>'Orig data'!AJ50</f>
        <v>1996</v>
      </c>
      <c r="S47">
        <v>1247525.1793623904</v>
      </c>
      <c r="T47">
        <v>4.9872480261254348E-2</v>
      </c>
    </row>
    <row r="48" spans="18:20" x14ac:dyDescent="0.55000000000000004">
      <c r="R48">
        <f>'Orig data'!AJ51</f>
        <v>1997</v>
      </c>
      <c r="S48">
        <v>1133685.8245013235</v>
      </c>
      <c r="T48">
        <v>7.7844579785042778E-2</v>
      </c>
    </row>
    <row r="49" spans="18:20" x14ac:dyDescent="0.55000000000000004">
      <c r="R49">
        <f>'Orig data'!AJ52</f>
        <v>1998</v>
      </c>
      <c r="S49">
        <v>4069562.5432835938</v>
      </c>
      <c r="T49">
        <v>0.12498210487046357</v>
      </c>
    </row>
    <row r="50" spans="18:20" x14ac:dyDescent="0.55000000000000004">
      <c r="R50">
        <f>'Orig data'!AJ53</f>
        <v>1999</v>
      </c>
      <c r="S50">
        <v>3083507.8780233189</v>
      </c>
      <c r="T50">
        <v>3.1268282941623315E-2</v>
      </c>
    </row>
    <row r="51" spans="18:20" x14ac:dyDescent="0.55000000000000004">
      <c r="R51">
        <f>'Orig data'!AJ54</f>
        <v>2000</v>
      </c>
      <c r="S51">
        <v>821194.304927652</v>
      </c>
      <c r="T51">
        <v>0.147746699427311</v>
      </c>
    </row>
    <row r="52" spans="18:20" x14ac:dyDescent="0.55000000000000004">
      <c r="R52">
        <f>'Orig data'!AJ55</f>
        <v>2001</v>
      </c>
      <c r="S52">
        <v>3395840.9212409169</v>
      </c>
      <c r="T52">
        <v>7.1918279353250347E-2</v>
      </c>
    </row>
    <row r="53" spans="18:20" x14ac:dyDescent="0.55000000000000004">
      <c r="R53">
        <f>'Orig data'!AJ56</f>
        <v>2002</v>
      </c>
      <c r="S53">
        <v>2701980.7562391218</v>
      </c>
      <c r="T53">
        <v>0.14792153507775563</v>
      </c>
    </row>
    <row r="54" spans="18:20" x14ac:dyDescent="0.55000000000000004">
      <c r="R54">
        <f>'Orig data'!AJ57</f>
        <v>2003</v>
      </c>
      <c r="S54">
        <v>2003453.7036245412</v>
      </c>
      <c r="T54">
        <v>0.25509588830895702</v>
      </c>
    </row>
    <row r="55" spans="18:20" x14ac:dyDescent="0.55000000000000004">
      <c r="R55">
        <f>'Orig data'!AJ58</f>
        <v>2004</v>
      </c>
      <c r="S55">
        <v>3348300.0367474952</v>
      </c>
      <c r="T55">
        <v>0.18975647470329315</v>
      </c>
    </row>
    <row r="56" spans="18:20" x14ac:dyDescent="0.55000000000000004">
      <c r="R56">
        <f>'Orig data'!AJ59</f>
        <v>2005</v>
      </c>
      <c r="S56">
        <v>1794323.8982165304</v>
      </c>
      <c r="T56">
        <v>0.2621207108581336</v>
      </c>
    </row>
    <row r="57" spans="18:20" x14ac:dyDescent="0.55000000000000004">
      <c r="R57">
        <f>'Orig data'!AJ60</f>
        <v>2006</v>
      </c>
      <c r="S57">
        <v>2683639.5726586096</v>
      </c>
      <c r="T57">
        <v>0.26569915366442842</v>
      </c>
    </row>
    <row r="58" spans="18:20" x14ac:dyDescent="0.55000000000000004">
      <c r="R58">
        <f>'Orig data'!AJ61</f>
        <v>2007</v>
      </c>
      <c r="S58">
        <v>1382600.7638578219</v>
      </c>
      <c r="T58">
        <v>0.23533793702535577</v>
      </c>
    </row>
    <row r="59" spans="18:20" x14ac:dyDescent="0.55000000000000004">
      <c r="R59">
        <f>'Orig data'!AJ62</f>
        <v>2008</v>
      </c>
      <c r="S59">
        <v>1232707.4700926775</v>
      </c>
      <c r="T59">
        <v>0.20287027983265393</v>
      </c>
    </row>
    <row r="60" spans="18:20" x14ac:dyDescent="0.55000000000000004">
      <c r="R60">
        <f>'Orig data'!AJ63</f>
        <v>2009</v>
      </c>
      <c r="S60">
        <v>816443.22330445587</v>
      </c>
      <c r="T60">
        <v>0.41909970141729669</v>
      </c>
    </row>
    <row r="61" spans="18:20" x14ac:dyDescent="0.55000000000000004">
      <c r="R61">
        <f>'Orig data'!AJ64</f>
        <v>2010</v>
      </c>
      <c r="S61">
        <v>659539.7334426723</v>
      </c>
      <c r="T61">
        <v>8.0120544316124476E-2</v>
      </c>
    </row>
    <row r="62" spans="18:20" x14ac:dyDescent="0.55000000000000004">
      <c r="R62">
        <f>'Orig data'!AJ65</f>
        <v>2011</v>
      </c>
      <c r="S62">
        <v>1420920.271489149</v>
      </c>
      <c r="T62">
        <v>0.24058744294460999</v>
      </c>
    </row>
    <row r="63" spans="18:20" x14ac:dyDescent="0.55000000000000004">
      <c r="R63">
        <f>'Orig data'!AJ66</f>
        <v>2012</v>
      </c>
      <c r="S63">
        <v>1702180.4100898972</v>
      </c>
      <c r="T63">
        <v>0.18856883391753065</v>
      </c>
    </row>
    <row r="64" spans="18:20" x14ac:dyDescent="0.55000000000000004">
      <c r="R64">
        <f>'Orig data'!AJ67</f>
        <v>2013</v>
      </c>
      <c r="S64">
        <v>1587914.8449579652</v>
      </c>
      <c r="T64">
        <v>0.27069681105165166</v>
      </c>
    </row>
    <row r="65" spans="18:20" x14ac:dyDescent="0.55000000000000004">
      <c r="R65">
        <f>'Orig data'!AJ68</f>
        <v>2014</v>
      </c>
      <c r="S65">
        <v>1505232.4783333885</v>
      </c>
      <c r="T65">
        <v>0.22700035149764719</v>
      </c>
    </row>
    <row r="66" spans="18:20" x14ac:dyDescent="0.55000000000000004">
      <c r="R66">
        <f>'Orig data'!AJ69</f>
        <v>2015</v>
      </c>
      <c r="S66">
        <v>1449275.9871404259</v>
      </c>
      <c r="T66">
        <v>0.34545149017060428</v>
      </c>
    </row>
    <row r="67" spans="18:20" x14ac:dyDescent="0.55000000000000004">
      <c r="R67">
        <f>'Orig data'!AJ70</f>
        <v>2016</v>
      </c>
      <c r="S67">
        <v>2938495.2258277331</v>
      </c>
      <c r="T67">
        <v>0.32921171050971265</v>
      </c>
    </row>
    <row r="68" spans="18:20" x14ac:dyDescent="0.55000000000000004">
      <c r="R68">
        <f>'Orig data'!AJ71</f>
        <v>2017</v>
      </c>
      <c r="S68">
        <v>1068450.2983042465</v>
      </c>
      <c r="T68">
        <v>0.38482371184271913</v>
      </c>
    </row>
    <row r="69" spans="18:20" x14ac:dyDescent="0.55000000000000004">
      <c r="R69">
        <f>'Orig data'!AJ72</f>
        <v>2018</v>
      </c>
      <c r="S69">
        <v>787555.98977639445</v>
      </c>
      <c r="T69">
        <v>0.13248409423599394</v>
      </c>
    </row>
    <row r="70" spans="18:20" x14ac:dyDescent="0.55000000000000004">
      <c r="R70">
        <f>'Orig data'!AJ73</f>
        <v>2019</v>
      </c>
      <c r="S70">
        <v>325911.25786833616</v>
      </c>
      <c r="T70">
        <v>6.8453816568776693E-2</v>
      </c>
    </row>
    <row r="71" spans="18:20" x14ac:dyDescent="0.55000000000000004">
      <c r="R71">
        <f>'Orig data'!AJ74</f>
        <v>2020</v>
      </c>
      <c r="S71">
        <v>674495.91978459386</v>
      </c>
      <c r="T71">
        <v>0.1958100162343841</v>
      </c>
    </row>
    <row r="72" spans="18:20" x14ac:dyDescent="0.55000000000000004">
      <c r="R72">
        <f>'Orig data'!AJ75</f>
        <v>2021</v>
      </c>
      <c r="S72">
        <v>700998.23639917164</v>
      </c>
      <c r="T72">
        <v>5.2634874494096096E-2</v>
      </c>
    </row>
    <row r="73" spans="18:20" x14ac:dyDescent="0.55000000000000004">
      <c r="R73">
        <f>'Orig data'!AJ76</f>
        <v>2022</v>
      </c>
      <c r="S73">
        <v>1154090.649235846</v>
      </c>
      <c r="T73">
        <v>8.7425475424698362E-2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Orig data</vt:lpstr>
      <vt:lpstr>policy compare</vt:lpstr>
      <vt:lpstr>aa</vt:lpstr>
      <vt:lpstr>bb</vt:lpstr>
      <vt:lpstr>cslope</vt:lpstr>
      <vt:lpstr>nlim</vt:lpstr>
      <vt:lpstr>retroU</vt:lpstr>
      <vt:lpstr>retroUtil</vt:lpstr>
      <vt:lpstr>retroY</vt:lpstr>
      <vt:lpstr>umethod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McAllister, Murdoch</dc:creator>
  <cp:lastModifiedBy>Walters, Carl John</cp:lastModifiedBy>
  <dcterms:created xsi:type="dcterms:W3CDTF">2025-07-18T23:03:54Z</dcterms:created>
  <dcterms:modified xsi:type="dcterms:W3CDTF">2025-09-10T00:25:52Z</dcterms:modified>
</cp:coreProperties>
</file>